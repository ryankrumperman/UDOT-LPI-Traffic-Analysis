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yu.sharepoint.com/sites/LeadingPedestrianInterval/Shared Documents/General/Activity X004 - Data Analysis and Summary/Delay Analysis/Analysis by Intersection/"/>
    </mc:Choice>
  </mc:AlternateContent>
  <xr:revisionPtr revIDLastSave="2542" documentId="11_E50B668C95E3F1A7668B738514BBCDAED2C48B49" xr6:coauthVersionLast="47" xr6:coauthVersionMax="47" xr10:uidLastSave="{9D468B43-988D-4EE8-8AA6-BD99660B487F}"/>
  <bookViews>
    <workbookView xWindow="-120" yWindow="-120" windowWidth="38640" windowHeight="21240" firstSheet="7" activeTab="8" xr2:uid="{00000000-000D-0000-FFFF-FFFF00000000}"/>
  </bookViews>
  <sheets>
    <sheet name="Summary" sheetId="15" r:id="rId1"/>
    <sheet name="Normalized Delay" sheetId="21" r:id="rId2"/>
    <sheet name="Traffic Volumes" sheetId="20" r:id="rId3"/>
    <sheet name="Approach Delay" sheetId="17" r:id="rId4"/>
    <sheet name="Arrivals on Red" sheetId="18" r:id="rId5"/>
    <sheet name="Pedestrian Delay" sheetId="16" r:id="rId6"/>
    <sheet name="Wait Time" sheetId="19" r:id="rId7"/>
    <sheet name="Wait Time Volumes" sheetId="22" r:id="rId8"/>
    <sheet name="R Consolidated" sheetId="2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S16" i="22" l="1"/>
  <c r="CU16" i="22"/>
  <c r="BW16" i="22"/>
  <c r="AY16" i="22"/>
  <c r="AA16" i="22"/>
  <c r="C16" i="22"/>
  <c r="DS15" i="22"/>
  <c r="CU15" i="22"/>
  <c r="BW15" i="22"/>
  <c r="AY15" i="22"/>
  <c r="AA15" i="22"/>
  <c r="C15" i="22"/>
  <c r="DS14" i="22"/>
  <c r="CU14" i="22"/>
  <c r="BW14" i="22"/>
  <c r="AY14" i="22"/>
  <c r="AA14" i="22"/>
  <c r="C14" i="22"/>
  <c r="DS13" i="22"/>
  <c r="CU13" i="22"/>
  <c r="BW13" i="22"/>
  <c r="AY13" i="22"/>
  <c r="AA13" i="22"/>
  <c r="C13" i="22"/>
  <c r="DS12" i="22"/>
  <c r="CU12" i="22"/>
  <c r="BW12" i="22"/>
  <c r="AY12" i="22"/>
  <c r="AA12" i="22"/>
  <c r="C12" i="22"/>
  <c r="DS11" i="22"/>
  <c r="CU11" i="22"/>
  <c r="BW11" i="22"/>
  <c r="AY11" i="22"/>
  <c r="AA11" i="22"/>
  <c r="C11" i="22"/>
  <c r="DS10" i="22"/>
  <c r="CU10" i="22"/>
  <c r="BW10" i="22"/>
  <c r="AY10" i="22"/>
  <c r="AA10" i="22"/>
  <c r="C10" i="22"/>
  <c r="DS9" i="22"/>
  <c r="CU9" i="22"/>
  <c r="BW9" i="22"/>
  <c r="AY9" i="22"/>
  <c r="AA9" i="22"/>
  <c r="C9" i="22"/>
  <c r="DS8" i="22"/>
  <c r="CU8" i="22"/>
  <c r="BW8" i="22"/>
  <c r="AY8" i="22"/>
  <c r="AA8" i="22"/>
  <c r="C8" i="22"/>
  <c r="R109" i="21"/>
  <c r="Q109" i="21"/>
  <c r="P109" i="21"/>
  <c r="O109" i="21"/>
  <c r="N109" i="21"/>
  <c r="M109" i="21"/>
  <c r="L109" i="21"/>
  <c r="K109" i="21"/>
  <c r="J109" i="21"/>
  <c r="R97" i="21"/>
  <c r="Q97" i="21"/>
  <c r="P97" i="21"/>
  <c r="O97" i="21"/>
  <c r="N97" i="21"/>
  <c r="M97" i="21"/>
  <c r="L97" i="21"/>
  <c r="K97" i="21"/>
  <c r="J97" i="21"/>
  <c r="B9" i="21" a="1"/>
  <c r="B8" i="21" a="1"/>
  <c r="B7" i="21" a="1"/>
  <c r="B6" i="21" a="1"/>
  <c r="B5" i="21" a="1"/>
  <c r="B4" i="21" a="1"/>
  <c r="C10" i="21"/>
  <c r="F51" i="21" s="1"/>
  <c r="D10" i="21"/>
  <c r="G51" i="21" s="1"/>
  <c r="B10" i="20"/>
  <c r="B9" i="20"/>
  <c r="B8" i="20"/>
  <c r="H10" i="20"/>
  <c r="H9" i="20"/>
  <c r="H8" i="20"/>
  <c r="N10" i="20"/>
  <c r="N9" i="20"/>
  <c r="N8" i="20"/>
  <c r="T10" i="20"/>
  <c r="T9" i="20"/>
  <c r="T8" i="20"/>
  <c r="Z10" i="20"/>
  <c r="Z9" i="20"/>
  <c r="Z8" i="20"/>
  <c r="AF10" i="20"/>
  <c r="AF9" i="20"/>
  <c r="AF8" i="20"/>
  <c r="DS16" i="19"/>
  <c r="DS15" i="19"/>
  <c r="DS14" i="19"/>
  <c r="DS13" i="19"/>
  <c r="DS12" i="19"/>
  <c r="DS11" i="19"/>
  <c r="DS10" i="19"/>
  <c r="DS9" i="19"/>
  <c r="DS8" i="19"/>
  <c r="CU16" i="19"/>
  <c r="CU15" i="19"/>
  <c r="CU14" i="19"/>
  <c r="CU13" i="19"/>
  <c r="CU12" i="19"/>
  <c r="CU11" i="19"/>
  <c r="CU10" i="19"/>
  <c r="CU9" i="19"/>
  <c r="CU8" i="19"/>
  <c r="BW16" i="19"/>
  <c r="BW15" i="19"/>
  <c r="BW14" i="19"/>
  <c r="BW13" i="19"/>
  <c r="BW12" i="19"/>
  <c r="BW11" i="19"/>
  <c r="BW10" i="19"/>
  <c r="BW9" i="19"/>
  <c r="BW8" i="19"/>
  <c r="C9" i="19"/>
  <c r="C8" i="19"/>
  <c r="AA9" i="19"/>
  <c r="AA8" i="19"/>
  <c r="AY16" i="19"/>
  <c r="AY15" i="19"/>
  <c r="AY14" i="19"/>
  <c r="AY13" i="19"/>
  <c r="AY12" i="19"/>
  <c r="AY11" i="19"/>
  <c r="AY10" i="19"/>
  <c r="AY9" i="19"/>
  <c r="AY8" i="19"/>
  <c r="AA16" i="19"/>
  <c r="AA15" i="19"/>
  <c r="AA14" i="19"/>
  <c r="AA13" i="19"/>
  <c r="AA12" i="19"/>
  <c r="AA11" i="19"/>
  <c r="AA10" i="19"/>
  <c r="C16" i="19"/>
  <c r="C15" i="19"/>
  <c r="C14" i="19"/>
  <c r="C13" i="19"/>
  <c r="C12" i="19"/>
  <c r="C11" i="19"/>
  <c r="C10" i="19"/>
  <c r="BJ9" i="16"/>
  <c r="BJ8" i="16"/>
  <c r="BJ12" i="16"/>
  <c r="BJ11" i="16"/>
  <c r="BJ10" i="16"/>
  <c r="AX9" i="16"/>
  <c r="AX12" i="16"/>
  <c r="AX11" i="16"/>
  <c r="AX10" i="16"/>
  <c r="AX8" i="16"/>
  <c r="AL12" i="16"/>
  <c r="AL11" i="16"/>
  <c r="AL10" i="16"/>
  <c r="AL9" i="16"/>
  <c r="AL8" i="16"/>
  <c r="Z9" i="16"/>
  <c r="Z8" i="16"/>
  <c r="Z12" i="16"/>
  <c r="Z11" i="16"/>
  <c r="Z10" i="16"/>
  <c r="N12" i="16"/>
  <c r="N11" i="16"/>
  <c r="N10" i="16"/>
  <c r="N9" i="16"/>
  <c r="N8" i="16"/>
  <c r="B12" i="16"/>
  <c r="B11" i="16"/>
  <c r="B10" i="16"/>
  <c r="B9" i="16"/>
  <c r="B8" i="16"/>
  <c r="T8" i="17"/>
  <c r="R133" i="15"/>
  <c r="N133" i="15"/>
  <c r="J88" i="15"/>
  <c r="J87" i="15"/>
  <c r="J86" i="15"/>
  <c r="J84" i="15"/>
  <c r="I88" i="15"/>
  <c r="I87" i="15"/>
  <c r="I86" i="15"/>
  <c r="I84" i="15"/>
  <c r="H88" i="15"/>
  <c r="H87" i="15"/>
  <c r="H86" i="15"/>
  <c r="H84" i="15"/>
  <c r="G88" i="15"/>
  <c r="G87" i="15"/>
  <c r="G86" i="15"/>
  <c r="G85" i="15"/>
  <c r="G84" i="15"/>
  <c r="G83" i="15"/>
  <c r="F88" i="15"/>
  <c r="F87" i="15"/>
  <c r="F86" i="15"/>
  <c r="F84" i="15"/>
  <c r="O133" i="15"/>
  <c r="P133" i="15"/>
  <c r="Q133" i="15"/>
  <c r="H56" i="15"/>
  <c r="H55" i="15"/>
  <c r="H54" i="15"/>
  <c r="H52" i="15"/>
  <c r="G56" i="15"/>
  <c r="G55" i="15"/>
  <c r="G54" i="15"/>
  <c r="G52" i="15"/>
  <c r="F56" i="15"/>
  <c r="F55" i="15"/>
  <c r="F54" i="15"/>
  <c r="F52" i="15"/>
  <c r="H24" i="15"/>
  <c r="H23" i="15"/>
  <c r="H22" i="15"/>
  <c r="H20" i="15"/>
  <c r="G24" i="15"/>
  <c r="G23" i="15"/>
  <c r="G22" i="15"/>
  <c r="G20" i="15"/>
  <c r="G19" i="15"/>
  <c r="F24" i="15"/>
  <c r="F23" i="15"/>
  <c r="F22" i="15"/>
  <c r="F20" i="15"/>
  <c r="J76" i="15"/>
  <c r="I76" i="15"/>
  <c r="H76" i="15"/>
  <c r="G76" i="15"/>
  <c r="F76" i="15"/>
  <c r="J75" i="15"/>
  <c r="I75" i="15"/>
  <c r="H75" i="15"/>
  <c r="G75" i="15"/>
  <c r="F75" i="15"/>
  <c r="G74" i="15"/>
  <c r="J73" i="15"/>
  <c r="I73" i="15"/>
  <c r="H73" i="15"/>
  <c r="G73" i="15"/>
  <c r="F73" i="15"/>
  <c r="J72" i="15"/>
  <c r="I72" i="15"/>
  <c r="H72" i="15"/>
  <c r="G72" i="15"/>
  <c r="F72" i="15"/>
  <c r="G71" i="15"/>
  <c r="J70" i="15"/>
  <c r="I70" i="15"/>
  <c r="H70" i="15"/>
  <c r="G70" i="15"/>
  <c r="F70" i="15"/>
  <c r="I69" i="15"/>
  <c r="J69" i="15"/>
  <c r="H69" i="15"/>
  <c r="G69" i="15"/>
  <c r="F69" i="15"/>
  <c r="G68" i="15"/>
  <c r="AF10" i="18"/>
  <c r="AF9" i="18"/>
  <c r="AF8" i="18"/>
  <c r="Z10" i="18"/>
  <c r="Z9" i="18"/>
  <c r="Z8" i="18"/>
  <c r="T10" i="18"/>
  <c r="T9" i="18"/>
  <c r="T8" i="18"/>
  <c r="N10" i="18"/>
  <c r="N9" i="18"/>
  <c r="N8" i="18"/>
  <c r="H10" i="18"/>
  <c r="H9" i="18"/>
  <c r="H8" i="18"/>
  <c r="H41" i="15"/>
  <c r="G41" i="15"/>
  <c r="F41" i="15"/>
  <c r="H40" i="15"/>
  <c r="G40" i="15"/>
  <c r="F40" i="15"/>
  <c r="H38" i="15"/>
  <c r="G38" i="15"/>
  <c r="F38" i="15"/>
  <c r="H37" i="15"/>
  <c r="F37" i="15"/>
  <c r="B10" i="18"/>
  <c r="B9" i="18"/>
  <c r="B8" i="18"/>
  <c r="H12" i="15"/>
  <c r="G12" i="15"/>
  <c r="F12" i="15"/>
  <c r="H11" i="15"/>
  <c r="G11" i="15"/>
  <c r="F11" i="15"/>
  <c r="H6" i="15"/>
  <c r="G6" i="15"/>
  <c r="F6" i="15"/>
  <c r="H5" i="15"/>
  <c r="G5" i="15"/>
  <c r="F5" i="15"/>
  <c r="H4" i="15"/>
  <c r="G4" i="15"/>
  <c r="T10" i="17"/>
  <c r="T9" i="17"/>
  <c r="AF10" i="17"/>
  <c r="AF9" i="17"/>
  <c r="AF8" i="17"/>
  <c r="H9" i="15"/>
  <c r="G9" i="15"/>
  <c r="F9" i="15"/>
  <c r="H8" i="15"/>
  <c r="G8" i="15"/>
  <c r="F8" i="15"/>
  <c r="H7" i="15"/>
  <c r="G7" i="15"/>
  <c r="Z10" i="17"/>
  <c r="Z9" i="17"/>
  <c r="Z8" i="17"/>
  <c r="N10" i="17"/>
  <c r="N9" i="17"/>
  <c r="N8" i="17"/>
  <c r="H10" i="17"/>
  <c r="H9" i="17"/>
  <c r="H8" i="17"/>
  <c r="B10" i="17"/>
  <c r="B9" i="17"/>
  <c r="B8" i="17"/>
  <c r="C52" i="21" l="1"/>
  <c r="F52" i="21" s="1"/>
  <c r="D52" i="21"/>
  <c r="G52" i="21" s="1"/>
  <c r="B52" i="21"/>
  <c r="G48" i="21"/>
  <c r="D68" i="21" s="1"/>
  <c r="G50" i="21"/>
  <c r="F47" i="21"/>
  <c r="F50" i="21"/>
  <c r="F49" i="21"/>
  <c r="G47" i="21"/>
  <c r="G46" i="21"/>
  <c r="D58" i="21" s="1"/>
  <c r="G49" i="21"/>
  <c r="B10" i="21"/>
  <c r="F48" i="21"/>
  <c r="F46" i="21"/>
  <c r="D67" i="21"/>
  <c r="D77" i="21"/>
  <c r="D82" i="21"/>
  <c r="D57" i="21"/>
  <c r="D72" i="21"/>
  <c r="D62" i="21"/>
  <c r="D78" i="21"/>
  <c r="D83" i="21"/>
  <c r="D73" i="21"/>
  <c r="D63" i="21"/>
  <c r="E4" i="21"/>
  <c r="D14" i="21" s="1"/>
  <c r="E7" i="21"/>
  <c r="D29" i="21" s="1"/>
  <c r="E5" i="21"/>
  <c r="D19" i="21" s="1"/>
  <c r="E8" i="21"/>
  <c r="D34" i="21" s="1"/>
  <c r="E9" i="21"/>
  <c r="D39" i="21" s="1"/>
  <c r="E6" i="21"/>
  <c r="D24" i="21" s="1"/>
  <c r="F6" i="21"/>
  <c r="D25" i="21" s="1"/>
  <c r="F10" i="21"/>
  <c r="F5" i="21"/>
  <c r="D20" i="21" s="1"/>
  <c r="F8" i="21"/>
  <c r="D35" i="21" s="1"/>
  <c r="F7" i="21"/>
  <c r="D30" i="21" s="1"/>
  <c r="F4" i="21"/>
  <c r="D15" i="21" s="1"/>
  <c r="F9" i="21"/>
  <c r="D40" i="21" s="1"/>
  <c r="G9" i="21"/>
  <c r="D41" i="21" s="1"/>
  <c r="G5" i="21"/>
  <c r="D21" i="21" s="1"/>
  <c r="G8" i="21"/>
  <c r="D36" i="21" s="1"/>
  <c r="G7" i="21"/>
  <c r="D31" i="21" s="1"/>
  <c r="G6" i="21"/>
  <c r="D26" i="21" s="1"/>
  <c r="G4" i="21"/>
  <c r="D16" i="21" s="1"/>
  <c r="G10" i="21"/>
  <c r="J71" i="15"/>
  <c r="J85" i="15"/>
  <c r="J83" i="15"/>
  <c r="J74" i="15"/>
  <c r="J68" i="15"/>
  <c r="H85" i="15"/>
  <c r="H83" i="15"/>
  <c r="H74" i="15"/>
  <c r="H71" i="15"/>
  <c r="H68" i="15"/>
  <c r="H53" i="15"/>
  <c r="H51" i="15"/>
  <c r="H57" i="15" s="1"/>
  <c r="G53" i="15"/>
  <c r="G51" i="15"/>
  <c r="G57" i="15" s="1"/>
  <c r="F53" i="15"/>
  <c r="F51" i="15"/>
  <c r="F57" i="15" s="1"/>
  <c r="H21" i="15"/>
  <c r="H19" i="15"/>
  <c r="H10" i="15"/>
  <c r="G10" i="15"/>
  <c r="G21" i="15"/>
  <c r="F21" i="15"/>
  <c r="F10" i="15"/>
  <c r="F7" i="15"/>
  <c r="F19" i="15"/>
  <c r="F4" i="15"/>
  <c r="F13" i="15" s="1"/>
  <c r="N121" i="15"/>
  <c r="O121" i="15"/>
  <c r="L121" i="15"/>
  <c r="P121" i="15"/>
  <c r="Q121" i="15"/>
  <c r="R121" i="15"/>
  <c r="K121" i="15"/>
  <c r="J121" i="15"/>
  <c r="G77" i="15"/>
  <c r="H13" i="15"/>
  <c r="M121" i="15"/>
  <c r="H77" i="15"/>
  <c r="G25" i="15"/>
  <c r="G13" i="15"/>
  <c r="G89" i="15"/>
  <c r="H89" i="15"/>
  <c r="H25" i="15"/>
  <c r="J89" i="15"/>
  <c r="L133" i="15"/>
  <c r="M133" i="15"/>
  <c r="K133" i="15"/>
  <c r="J133" i="15"/>
  <c r="H44" i="15"/>
  <c r="H43" i="15"/>
  <c r="G44" i="15"/>
  <c r="G43" i="15"/>
  <c r="F44" i="15"/>
  <c r="F43" i="15"/>
  <c r="H42" i="15"/>
  <c r="H39" i="15"/>
  <c r="H36" i="15"/>
  <c r="G42" i="15"/>
  <c r="G39" i="15"/>
  <c r="G37" i="15"/>
  <c r="G36" i="15"/>
  <c r="F42" i="15"/>
  <c r="F39" i="15"/>
  <c r="F36" i="15"/>
  <c r="H73" i="21" l="1"/>
  <c r="I73" i="21"/>
  <c r="E51" i="21"/>
  <c r="D81" i="21" s="1"/>
  <c r="E10" i="21"/>
  <c r="E52" i="21"/>
  <c r="E50" i="21"/>
  <c r="D76" i="21" s="1"/>
  <c r="E48" i="21"/>
  <c r="D66" i="21" s="1"/>
  <c r="E47" i="21"/>
  <c r="D61" i="21" s="1"/>
  <c r="G60" i="21" s="1"/>
  <c r="E49" i="21"/>
  <c r="D71" i="21" s="1"/>
  <c r="E46" i="21"/>
  <c r="D56" i="21" s="1"/>
  <c r="G62" i="21" s="1"/>
  <c r="G31" i="21"/>
  <c r="H61" i="21"/>
  <c r="H59" i="21"/>
  <c r="H60" i="21"/>
  <c r="I76" i="21"/>
  <c r="I60" i="21"/>
  <c r="I59" i="21"/>
  <c r="I61" i="21"/>
  <c r="I58" i="21"/>
  <c r="I56" i="21"/>
  <c r="I57" i="21"/>
  <c r="G72" i="21"/>
  <c r="G71" i="21"/>
  <c r="H72" i="21"/>
  <c r="H71" i="21"/>
  <c r="I72" i="21"/>
  <c r="I71" i="21"/>
  <c r="H76" i="21"/>
  <c r="G75" i="21"/>
  <c r="G64" i="21"/>
  <c r="G74" i="21"/>
  <c r="G63" i="21"/>
  <c r="H64" i="21"/>
  <c r="H63" i="21"/>
  <c r="H75" i="21"/>
  <c r="H62" i="21"/>
  <c r="H74" i="21"/>
  <c r="H56" i="21"/>
  <c r="H57" i="21"/>
  <c r="H58" i="21"/>
  <c r="I62" i="21"/>
  <c r="I74" i="21"/>
  <c r="I75" i="21"/>
  <c r="I64" i="21"/>
  <c r="I63" i="21"/>
  <c r="G14" i="21"/>
  <c r="G15" i="21"/>
  <c r="G16" i="21"/>
  <c r="G18" i="21"/>
  <c r="G17" i="21"/>
  <c r="G19" i="21"/>
  <c r="G34" i="21"/>
  <c r="G32" i="21"/>
  <c r="G33" i="21"/>
  <c r="G22" i="21"/>
  <c r="G21" i="21"/>
  <c r="G20" i="21"/>
  <c r="G29" i="21"/>
  <c r="G30" i="21"/>
  <c r="H29" i="21"/>
  <c r="H30" i="21"/>
  <c r="H34" i="21"/>
  <c r="H19" i="21"/>
  <c r="H17" i="21"/>
  <c r="H18" i="21"/>
  <c r="H16" i="21"/>
  <c r="H15" i="21"/>
  <c r="H14" i="21"/>
  <c r="H22" i="21"/>
  <c r="H21" i="21"/>
  <c r="H33" i="21"/>
  <c r="H32" i="21"/>
  <c r="H20" i="21"/>
  <c r="I33" i="21"/>
  <c r="I32" i="21"/>
  <c r="I20" i="21"/>
  <c r="I22" i="21"/>
  <c r="I21" i="21"/>
  <c r="I34" i="21"/>
  <c r="I19" i="21"/>
  <c r="I18" i="21"/>
  <c r="I17" i="21"/>
  <c r="I16" i="21"/>
  <c r="I14" i="21"/>
  <c r="I15" i="21"/>
  <c r="I30" i="21"/>
  <c r="I29" i="21"/>
  <c r="H31" i="21"/>
  <c r="I31" i="21"/>
  <c r="F25" i="15"/>
  <c r="J77" i="15"/>
  <c r="H45" i="15"/>
  <c r="G45" i="15"/>
  <c r="F45" i="15"/>
  <c r="H65" i="21" l="1"/>
  <c r="G76" i="21"/>
  <c r="G59" i="21"/>
  <c r="G61" i="21"/>
  <c r="G56" i="21"/>
  <c r="G57" i="21"/>
  <c r="G65" i="21" s="1"/>
  <c r="G58" i="21"/>
  <c r="I77" i="21"/>
  <c r="H77" i="21"/>
  <c r="I65" i="21"/>
  <c r="G35" i="21"/>
  <c r="G73" i="21"/>
  <c r="G77" i="21"/>
  <c r="I23" i="21"/>
  <c r="I35" i="21"/>
  <c r="H35" i="21"/>
  <c r="G23" i="21"/>
  <c r="H23" i="21"/>
  <c r="F68" i="15"/>
  <c r="F74" i="15"/>
  <c r="F83" i="15"/>
  <c r="F71" i="15"/>
  <c r="F85" i="15"/>
  <c r="I71" i="15"/>
  <c r="I83" i="15"/>
  <c r="I85" i="15"/>
  <c r="I68" i="15"/>
  <c r="I74" i="15"/>
  <c r="F77" i="15" l="1"/>
  <c r="I89" i="15"/>
  <c r="F89" i="15"/>
  <c r="I77" i="15"/>
  <c r="B9" i="21"/>
  <c r="B8" i="21"/>
  <c r="B7" i="21"/>
  <c r="B6" i="21"/>
  <c r="B5" i="21"/>
  <c r="B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<sst xmlns="http://schemas.openxmlformats.org/spreadsheetml/2006/main" count="2885" uniqueCount="144">
  <si>
    <t>Approach Delay</t>
  </si>
  <si>
    <t xml:space="preserve"> Before After Delay Calculations</t>
  </si>
  <si>
    <t>May 5th</t>
  </si>
  <si>
    <t>Average Approach Delay</t>
  </si>
  <si>
    <t>NBT Ph2</t>
  </si>
  <si>
    <t>SBT Ph6</t>
  </si>
  <si>
    <t>Sec/Veh</t>
  </si>
  <si>
    <t>June 23rd and May 5th</t>
  </si>
  <si>
    <t>June 23rd and May 6th</t>
  </si>
  <si>
    <t>June 23rd and May 18th</t>
  </si>
  <si>
    <t>July 14th vs May 5th</t>
  </si>
  <si>
    <t>May 6th</t>
  </si>
  <si>
    <t>July 14th vs May 6th</t>
  </si>
  <si>
    <t>July 14th vs May 18th</t>
  </si>
  <si>
    <t>July 15th and May 5th</t>
  </si>
  <si>
    <t>July 15th and May 6th</t>
  </si>
  <si>
    <t>July 15th and May 18th</t>
  </si>
  <si>
    <t>May 18th</t>
  </si>
  <si>
    <t>Overall Average</t>
  </si>
  <si>
    <t>No delay found after LPI implementation</t>
  </si>
  <si>
    <t>Absolute Value Random Fluctuations Between Days</t>
  </si>
  <si>
    <t>June 23rd</t>
  </si>
  <si>
    <t>May 18th and May 5th</t>
  </si>
  <si>
    <t>May 18th and May 6th</t>
  </si>
  <si>
    <t>May 6th and May 5th</t>
  </si>
  <si>
    <t>July 15th and June 23</t>
  </si>
  <si>
    <t>July 14th</t>
  </si>
  <si>
    <t>July 15th and July 14th</t>
  </si>
  <si>
    <t>July 14th and June 23rd</t>
  </si>
  <si>
    <t>Random fluctuation of 0.6 seconds</t>
  </si>
  <si>
    <t>July 15th</t>
  </si>
  <si>
    <t>LPI does not appear to have any impact on delay</t>
  </si>
  <si>
    <t>Arrival on Red</t>
  </si>
  <si>
    <t xml:space="preserve"> Before After Arrival on Red Calculations (%)</t>
  </si>
  <si>
    <t>Average % Arrivals on Red</t>
  </si>
  <si>
    <t>% Arrivals on Red</t>
  </si>
  <si>
    <t>%</t>
  </si>
  <si>
    <t>Absolute Value Random Fluctuations Between Days (%)</t>
  </si>
  <si>
    <t>There appears to be no change in arrivals on red, the random fluctuation is 5 times larger than the decrease seen from the LPI</t>
  </si>
  <si>
    <t>Pedestrian Delay</t>
  </si>
  <si>
    <t xml:space="preserve"> Before After Delay Calculations (Sec/Cycle)</t>
  </si>
  <si>
    <t>Average Pedestrian Delay</t>
  </si>
  <si>
    <t>EBT Ph4</t>
  </si>
  <si>
    <t>WBT Ph8</t>
  </si>
  <si>
    <t>Intersection Avg Delay</t>
  </si>
  <si>
    <t>Sec/Cycle</t>
  </si>
  <si>
    <t>Absolute Value Random Fluctuations Between Days (Sec/Cycle)</t>
  </si>
  <si>
    <t>There appears to changes in pedestrian delay as the decrease in delay is much smaller than the random flucturations between similar weeks</t>
  </si>
  <si>
    <t>Wait Time</t>
  </si>
  <si>
    <t>Before After Delay Calculations</t>
  </si>
  <si>
    <t>Intersection Avg Wait Time</t>
  </si>
  <si>
    <t xml:space="preserve">SBL Ph1  </t>
  </si>
  <si>
    <t xml:space="preserve">WBL Ph3  </t>
  </si>
  <si>
    <t xml:space="preserve">EBT Ph4 </t>
  </si>
  <si>
    <t xml:space="preserve">NBL Ph5  </t>
  </si>
  <si>
    <t xml:space="preserve">EBL Ph7  </t>
  </si>
  <si>
    <t>WBT PH8</t>
  </si>
  <si>
    <t>LPI resulted in a small decrerase in delay, but it might not be significant</t>
  </si>
  <si>
    <t>Normalization Factors</t>
  </si>
  <si>
    <t>Total Traffic Volumes</t>
  </si>
  <si>
    <t>Total Weight Factor</t>
  </si>
  <si>
    <t>NBT Ph2 Weight Factor</t>
  </si>
  <si>
    <t>SBT Weight Factor</t>
  </si>
  <si>
    <t>Average</t>
  </si>
  <si>
    <t xml:space="preserve"> Before After Normalized Delay Calculations (Sec/Veh)</t>
  </si>
  <si>
    <t>Delay</t>
  </si>
  <si>
    <t>Normalized Delay</t>
  </si>
  <si>
    <t>Normalized Absolute Value Random Fluctuations Between Days (Sec/Veh)</t>
  </si>
  <si>
    <t xml:space="preserve"> Normalized Before After Arrival on Red Calculations (%)</t>
  </si>
  <si>
    <t>Normalized %</t>
  </si>
  <si>
    <t>Normalized Absolute Value Random Fluctuations Between Days (%)</t>
  </si>
  <si>
    <t>Before After Delay Calculations (Sec/Veh)</t>
  </si>
  <si>
    <t>Absolute Value Random Fluctuations Between Days (Sec/Veh)</t>
  </si>
  <si>
    <t>Before Data Day 1</t>
  </si>
  <si>
    <t>Before Data Day 2</t>
  </si>
  <si>
    <t>Before Data Day 3</t>
  </si>
  <si>
    <t>After Data Day 1</t>
  </si>
  <si>
    <t>After Data Day 2</t>
  </si>
  <si>
    <t>After Data Day 3</t>
  </si>
  <si>
    <t>Performance Measures - ATSPM</t>
  </si>
  <si>
    <t>Traffic Volumes</t>
  </si>
  <si>
    <t>6311 - State Street @ Center Street</t>
  </si>
  <si>
    <t>May 5 2026 at 00:00:00 - May 6 2026 at 00:00:00</t>
  </si>
  <si>
    <t>May 6 2026 at 00:00:00 - May 7 2026 at 00:00:00</t>
  </si>
  <si>
    <t>May 18 2026 at 00:00:00 - May 19 2026 at 00:00:00</t>
  </si>
  <si>
    <t>June 23 2026 at 00:00:00 - June 24 2026 at 00:00:00</t>
  </si>
  <si>
    <t>July 14 2026 at 00:00:00 - July 15 2026 at 00:00:00</t>
  </si>
  <si>
    <t>July 15 2026 at 00:00:00 - July 16 2026 at 00:00:00</t>
  </si>
  <si>
    <t>Traffic Volumes Summary</t>
  </si>
  <si>
    <t>Veh/Day</t>
  </si>
  <si>
    <t>Total Vehicles</t>
  </si>
  <si>
    <t>Approach Delay Summary</t>
  </si>
  <si>
    <t>Per Vehicle</t>
  </si>
  <si>
    <t>(per second)</t>
  </si>
  <si>
    <t>Arrivals on Red</t>
  </si>
  <si>
    <t>Arrivals on Red Summary</t>
  </si>
  <si>
    <t xml:space="preserve">*Pedestrian delay records the delay each pedestrian encounters. This data is for each pedestrian, it is not sorted into bins. </t>
  </si>
  <si>
    <t xml:space="preserve">May 5 at 00.00 to May 6 at 00.00 </t>
  </si>
  <si>
    <t xml:space="preserve">May 6 at 00.00 to May 7 at 00.00 </t>
  </si>
  <si>
    <t xml:space="preserve">May 18 at 00.00 to May 19 at 00.00 </t>
  </si>
  <si>
    <t xml:space="preserve">June 23 at 00.00 to June 24 at 00.00 </t>
  </si>
  <si>
    <t xml:space="preserve">July 14 at 00.00 to July 15 at 00.00 </t>
  </si>
  <si>
    <t xml:space="preserve">July 15 at 00.00 to July 16 at 00.00 </t>
  </si>
  <si>
    <t>Direction</t>
  </si>
  <si>
    <t>Wait Time Summary</t>
  </si>
  <si>
    <t xml:space="preserve">SBL Ph1 </t>
  </si>
  <si>
    <t xml:space="preserve">WBL Ph3 </t>
  </si>
  <si>
    <t xml:space="preserve">NBL Ph5 </t>
  </si>
  <si>
    <t xml:space="preserve">EBL Ph7 </t>
  </si>
  <si>
    <t>Average Wait</t>
  </si>
  <si>
    <t>Wait Time Volumes</t>
  </si>
  <si>
    <t>Wait Time Volumes Summary</t>
  </si>
  <si>
    <t>Intersection Total Volume</t>
  </si>
  <si>
    <t>Vehicles/day</t>
  </si>
  <si>
    <t>Volume Per Hour</t>
  </si>
  <si>
    <t>timestamp</t>
  </si>
  <si>
    <t>date</t>
  </si>
  <si>
    <t>time</t>
  </si>
  <si>
    <t>study_day</t>
  </si>
  <si>
    <t>period</t>
  </si>
  <si>
    <t>day_number</t>
  </si>
  <si>
    <t>wait_time_sbl_ph1_protected</t>
  </si>
  <si>
    <t>wait_time_sbl_ph1_permitted</t>
  </si>
  <si>
    <t>wait_time_nbt_ph2</t>
  </si>
  <si>
    <t>wait_time_wbl_ph3_protected</t>
  </si>
  <si>
    <t>wait_time_wbl_ph3_permissive</t>
  </si>
  <si>
    <t>wait_time_ebt_ph4</t>
  </si>
  <si>
    <t>wait_time_nbl_ph5_protected</t>
  </si>
  <si>
    <t>wait_time_nbl_ph5_permitted</t>
  </si>
  <si>
    <t>wait_time_sbt_ph6</t>
  </si>
  <si>
    <t>wait_time_ebl_ph7_protected</t>
  </si>
  <si>
    <t>wait_time_ebl_ph7_permissive</t>
  </si>
  <si>
    <t>wait_time_wbt_ph8</t>
  </si>
  <si>
    <t>wait_time_volume_sbl_ph1</t>
  </si>
  <si>
    <t>wait_time_volume_nbt_ph2</t>
  </si>
  <si>
    <t>wait_time_volume_wbl_ph3</t>
  </si>
  <si>
    <t>wait_time_volume_ebt_ph4</t>
  </si>
  <si>
    <t>wait_time_volume_nbl_ph5</t>
  </si>
  <si>
    <t>wait_time_volume_sbt_ph6</t>
  </si>
  <si>
    <t>wait_time_volume_ebl_ph7</t>
  </si>
  <si>
    <t>wait_time_volume_wbt_ph8</t>
  </si>
  <si>
    <t>pedestrian_crossing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</si>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</sst>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\-mm\-dd\ hh:mm:ss"/>
    <numFmt numFmtId="166" formatCode="yyyy\-mm\-dd"/>
    <numFmt numFmtId="167" formatCode="hh:mm"/>
    <numFmt numFmtId="168" formatCode="0.##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0" xfId="1"/>
    <xf numFmtId="0" fontId="1" fillId="0" borderId="0" xfId="0" applyFont="1"/>
    <xf numFmtId="2" fontId="0" fillId="0" borderId="0" xfId="0" applyNumberFormat="1"/>
    <xf numFmtId="16" fontId="0" fillId="0" borderId="0" xfId="0" applyNumberFormat="1"/>
    <xf numFmtId="0" fontId="0" fillId="0" borderId="1" xfId="0" applyBorder="1"/>
    <xf numFmtId="2" fontId="1" fillId="0" borderId="0" xfId="0" applyNumberFormat="1" applyFont="1"/>
    <xf numFmtId="0" fontId="1" fillId="0" borderId="1" xfId="0" applyFont="1" applyBorder="1"/>
    <xf numFmtId="164" fontId="0" fillId="0" borderId="0" xfId="0" applyNumberFormat="1"/>
    <xf numFmtId="49" fontId="1" fillId="0" borderId="0" xfId="0" applyNumberFormat="1" applyFont="1"/>
    <xf numFmtId="0" fontId="0" fillId="0" borderId="2" xfId="0" applyBorder="1"/>
    <xf numFmtId="164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5">
    <dxf>
      <numFmt numFmtId="1" formatCode="0"/>
    </dxf>
    <dxf>
      <numFmt numFmtId="168" formatCode="0.##"/>
    </dxf>
    <dxf>
      <numFmt numFmtId="168" formatCode="0.##"/>
    </dxf>
    <dxf>
      <numFmt numFmtId="168" formatCode="0.##"/>
    </dxf>
    <dxf>
      <numFmt numFmtId="168" formatCode="0.##"/>
    </dxf>
    <dxf>
      <numFmt numFmtId="168" formatCode="0.##"/>
    </dxf>
    <dxf>
      <numFmt numFmtId="168" formatCode="0.##"/>
    </dxf>
    <dxf>
      <numFmt numFmtId="168" formatCode="0.##"/>
    </dxf>
    <dxf>
      <numFmt numFmtId="168" formatCode="0.##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hh:mm"/>
    </dxf>
    <dxf>
      <numFmt numFmtId="166" formatCode="yyyy\-mm\-dd"/>
    </dxf>
    <dxf>
      <numFmt numFmtId="165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9C316-99DF-457D-8459-1DB284576A6F}" name="tblRConsolidated" displayName="tblRConsolidated" ref="A1:AA577" totalsRowShown="0" headerRowDxfId="24">
  <autoFilter ref="A1:AA577" xr:uid="{6929C316-99DF-457D-8459-1DB284576A6F}"/>
  <tableColumns count="27">
    <tableColumn id="1" xr3:uid="{447FDAB8-6DF3-469B-A611-FFAEBE4D5218}" name="timestamp" dataDxfId="23"/>
    <tableColumn id="2" xr3:uid="{E3BC3897-F6C1-4A8E-847A-692EDB8F7F44}" name="date" dataDxfId="22"/>
    <tableColumn id="3" xr3:uid="{870F5E91-47D3-4FEF-8C2B-A7188739AC38}" name="time" dataDxfId="21"/>
    <tableColumn id="4" xr3:uid="{A22654EC-DD61-4BD5-8F46-0444D892DA3F}" name="study_day"/>
    <tableColumn id="5" xr3:uid="{2ED68EB9-65E7-4942-8E42-71F9DB00D7AD}" name="period"/>
    <tableColumn id="6" xr3:uid="{6ABABBDC-2EAA-493A-9CF5-913A863CE685}" name="day_number"/>
    <tableColumn id="7" xr3:uid="{0FF6DAB0-BD47-4BA9-8185-41F489D059F6}" name="wait_time_sbl_ph1_protected" dataDxfId="20"/>
    <tableColumn id="8" xr3:uid="{4C0BFB2A-85BF-495F-AD24-BC5F43D81727}" name="wait_time_sbl_ph1_permitted" dataDxfId="19"/>
    <tableColumn id="9" xr3:uid="{C65F7BB6-5867-4145-92FF-1E396A312C9C}" name="wait_time_nbt_ph2" dataDxfId="18"/>
    <tableColumn id="10" xr3:uid="{4C9D5B21-EE0E-409A-B852-E3C4EC06D154}" name="wait_time_wbl_ph3_protected" dataDxfId="17"/>
    <tableColumn id="11" xr3:uid="{A1567F7B-0D3B-47E0-83F2-C620E0E9E8FE}" name="wait_time_wbl_ph3_permissive" dataDxfId="16"/>
    <tableColumn id="12" xr3:uid="{DCE98EE2-28F3-4F19-8E60-BAF2C4F13557}" name="wait_time_ebt_ph4" dataDxfId="15"/>
    <tableColumn id="13" xr3:uid="{940367B5-EF20-4DBE-8DEB-1F950AAB7892}" name="wait_time_nbl_ph5_protected" dataDxfId="14"/>
    <tableColumn id="14" xr3:uid="{9D20B95A-5EE5-44D7-BD7B-20EEE1966BE6}" name="wait_time_nbl_ph5_permitted" dataDxfId="13"/>
    <tableColumn id="15" xr3:uid="{C4723F02-0F51-483F-8F1B-6E803AD0CE97}" name="wait_time_sbt_ph6" dataDxfId="12"/>
    <tableColumn id="16" xr3:uid="{E2CA2AD4-FB8D-4FE7-876A-604DDE22AC0B}" name="wait_time_ebl_ph7_protected" dataDxfId="11"/>
    <tableColumn id="17" xr3:uid="{1692DD1F-12F7-4C5F-945E-ACDA35152275}" name="wait_time_ebl_ph7_permissive" dataDxfId="10"/>
    <tableColumn id="18" xr3:uid="{6330B02A-36C3-41F6-A885-FDD7EF44C738}" name="wait_time_wbt_ph8" dataDxfId="9"/>
    <tableColumn id="19" xr3:uid="{7FAE3EBF-28EB-45C3-B582-B3C2B5D67C27}" name="wait_time_volume_sbl_ph1" dataDxfId="8"/>
    <tableColumn id="20" xr3:uid="{F7FC636A-1A4D-46F8-86C3-E4968EFA871A}" name="wait_time_volume_nbt_ph2" dataDxfId="7"/>
    <tableColumn id="21" xr3:uid="{23A74A7E-D35E-4076-BB97-5C67BC626439}" name="wait_time_volume_wbl_ph3" dataDxfId="6"/>
    <tableColumn id="22" xr3:uid="{AEA55728-34FA-4E0D-908D-6ABB1E900CF7}" name="wait_time_volume_ebt_ph4" dataDxfId="5"/>
    <tableColumn id="23" xr3:uid="{CB7865BF-E1A1-4D6B-B162-FD0D0ACD923A}" name="wait_time_volume_nbl_ph5" dataDxfId="4"/>
    <tableColumn id="24" xr3:uid="{1FBCCAC2-1753-44E3-9772-031087378365}" name="wait_time_volume_sbt_ph6" dataDxfId="3"/>
    <tableColumn id="25" xr3:uid="{A1E98AFF-5CA8-40A2-8797-8E91CA6E379D}" name="wait_time_volume_ebl_ph7" dataDxfId="2"/>
    <tableColumn id="26" xr3:uid="{12D8758D-39DE-486C-89E0-34E6BBA3723E}" name="wait_time_volume_wbt_ph8" dataDxfId="1"/>
    <tableColumn id="27" xr3:uid="{D6221DA7-DE30-48A6-8CDC-02D7AB122A6B}" name="pedestrian_cross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80EC2F3-70F2-46D3-86F6-668346546B1A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37832404-c7eb-4306-bbb5-95c55d98059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tspm.udot.utah.gov/performance-measures" TargetMode="External"/><Relationship Id="rId2" Type="http://schemas.openxmlformats.org/officeDocument/2006/relationships/hyperlink" Target="https://atspm.udot.utah.gov/performance-measures" TargetMode="External"/><Relationship Id="rId1" Type="http://schemas.openxmlformats.org/officeDocument/2006/relationships/hyperlink" Target="https://atspm.udot.utah.gov/performance-measures" TargetMode="External"/><Relationship Id="rId6" Type="http://schemas.openxmlformats.org/officeDocument/2006/relationships/hyperlink" Target="https://atspm.udot.utah.gov/performance-measures" TargetMode="External"/><Relationship Id="rId5" Type="http://schemas.openxmlformats.org/officeDocument/2006/relationships/hyperlink" Target="https://atspm.udot.utah.gov/performance-measures" TargetMode="External"/><Relationship Id="rId4" Type="http://schemas.openxmlformats.org/officeDocument/2006/relationships/hyperlink" Target="https://atspm.udot.utah.gov/performance-measur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61A-92E8-4E46-B18B-6621D0D1C8CA}">
  <dimension ref="A1:R200"/>
  <sheetViews>
    <sheetView topLeftCell="A59" workbookViewId="0">
      <selection activeCell="F100" sqref="F100"/>
    </sheetView>
  </sheetViews>
  <sheetFormatPr defaultRowHeight="15"/>
  <cols>
    <col min="1" max="1" width="24.140625" bestFit="1" customWidth="1"/>
    <col min="2" max="2" width="9.28515625" customWidth="1"/>
    <col min="5" max="5" width="25.140625" customWidth="1"/>
    <col min="6" max="6" width="24.140625" bestFit="1" customWidth="1"/>
    <col min="7" max="7" width="8.7109375" customWidth="1"/>
    <col min="8" max="8" width="9" customWidth="1"/>
    <col min="9" max="9" width="23" bestFit="1" customWidth="1"/>
    <col min="10" max="10" width="25.5703125" bestFit="1" customWidth="1"/>
    <col min="11" max="18" width="8.7109375" customWidth="1"/>
    <col min="20" max="20" width="18.5703125" bestFit="1" customWidth="1"/>
    <col min="21" max="21" width="19.5703125" bestFit="1" customWidth="1"/>
  </cols>
  <sheetData>
    <row r="1" spans="1:8" ht="23.25">
      <c r="A1" s="1" t="s">
        <v>0</v>
      </c>
    </row>
    <row r="2" spans="1:8">
      <c r="E2" s="3" t="s">
        <v>1</v>
      </c>
    </row>
    <row r="3" spans="1:8">
      <c r="A3" s="10" t="s">
        <v>2</v>
      </c>
      <c r="F3" s="3" t="s">
        <v>3</v>
      </c>
      <c r="G3" s="3" t="s">
        <v>4</v>
      </c>
      <c r="H3" s="3" t="s">
        <v>5</v>
      </c>
    </row>
    <row r="4" spans="1:8">
      <c r="A4" t="s">
        <v>3</v>
      </c>
      <c r="B4" s="9">
        <v>19.642552083333339</v>
      </c>
      <c r="C4" t="s">
        <v>6</v>
      </c>
      <c r="E4" s="3" t="s">
        <v>7</v>
      </c>
      <c r="F4" s="9">
        <f>B19-B4</f>
        <v>0.26869791666666032</v>
      </c>
      <c r="G4" s="9">
        <f>B20-B5</f>
        <v>-0.85729166666667744</v>
      </c>
      <c r="H4" s="9">
        <f>B21-B6</f>
        <v>1.3946875000000141</v>
      </c>
    </row>
    <row r="5" spans="1:8">
      <c r="A5" t="s">
        <v>4</v>
      </c>
      <c r="B5" s="9">
        <v>16.134583333333342</v>
      </c>
      <c r="C5" t="s">
        <v>6</v>
      </c>
      <c r="E5" s="3" t="s">
        <v>8</v>
      </c>
      <c r="F5" s="9">
        <f>B19-B9</f>
        <v>-0.73234374999999829</v>
      </c>
      <c r="G5" s="9">
        <f>B20-B5</f>
        <v>-0.85729166666667744</v>
      </c>
      <c r="H5" s="9">
        <f>B21-B11</f>
        <v>0.41072916666668036</v>
      </c>
    </row>
    <row r="6" spans="1:8">
      <c r="A6" t="s">
        <v>5</v>
      </c>
      <c r="B6" s="9">
        <v>23.150520833333331</v>
      </c>
      <c r="C6" t="s">
        <v>6</v>
      </c>
      <c r="E6" s="3" t="s">
        <v>9</v>
      </c>
      <c r="F6" s="9">
        <f>B19-B14</f>
        <v>0.51177083333332973</v>
      </c>
      <c r="G6" s="9">
        <f>B20-B15</f>
        <v>-1.1726041666666678</v>
      </c>
      <c r="H6" s="9">
        <f>B21-B16</f>
        <v>2.1961458333333432</v>
      </c>
    </row>
    <row r="7" spans="1:8">
      <c r="E7" s="3" t="s">
        <v>10</v>
      </c>
      <c r="F7" s="9">
        <f>B24-B4</f>
        <v>2.15624999999946E-2</v>
      </c>
      <c r="G7" s="9">
        <f>B25-B5</f>
        <v>-1.4730208333333454</v>
      </c>
      <c r="H7" s="9">
        <f>B26-B6</f>
        <v>1.5161458333333293</v>
      </c>
    </row>
    <row r="8" spans="1:8">
      <c r="A8" s="3" t="s">
        <v>11</v>
      </c>
      <c r="E8" s="3" t="s">
        <v>12</v>
      </c>
      <c r="F8" s="9">
        <f>B24-B9</f>
        <v>-0.97947916666666401</v>
      </c>
      <c r="G8" s="9">
        <f>B25-B10</f>
        <v>-2.4911458333333432</v>
      </c>
      <c r="H8" s="9">
        <f>B26-B11</f>
        <v>0.53218749999999559</v>
      </c>
    </row>
    <row r="9" spans="1:8">
      <c r="A9" t="s">
        <v>3</v>
      </c>
      <c r="B9" s="9">
        <v>20.643593749999997</v>
      </c>
      <c r="C9" t="s">
        <v>6</v>
      </c>
      <c r="E9" s="3" t="s">
        <v>13</v>
      </c>
      <c r="F9" s="9">
        <f>B24-B14</f>
        <v>0.26463541666666401</v>
      </c>
      <c r="G9" s="9">
        <f>B25-B15</f>
        <v>-1.7883333333333358</v>
      </c>
      <c r="H9" s="9">
        <f>B26-B16</f>
        <v>2.3176041666666585</v>
      </c>
    </row>
    <row r="10" spans="1:8">
      <c r="A10" t="s">
        <v>4</v>
      </c>
      <c r="B10" s="9">
        <v>17.15270833333334</v>
      </c>
      <c r="C10" t="s">
        <v>6</v>
      </c>
      <c r="E10" s="3" t="s">
        <v>14</v>
      </c>
      <c r="F10" s="9">
        <f>B29-B4</f>
        <v>0.5516666666666552</v>
      </c>
      <c r="G10" s="9">
        <f>B30-B5</f>
        <v>-0.36645833333334465</v>
      </c>
      <c r="H10" s="9">
        <f>B31-B6</f>
        <v>1.4697916666666764</v>
      </c>
    </row>
    <row r="11" spans="1:8">
      <c r="A11" t="s">
        <v>5</v>
      </c>
      <c r="B11" s="9">
        <v>24.134479166666665</v>
      </c>
      <c r="C11" t="s">
        <v>6</v>
      </c>
      <c r="E11" s="3" t="s">
        <v>15</v>
      </c>
      <c r="F11" s="9">
        <f>B29-B9</f>
        <v>-0.44937500000000341</v>
      </c>
      <c r="G11" s="9">
        <f>B30-B10</f>
        <v>-1.3845833333333424</v>
      </c>
      <c r="H11" s="9">
        <f>B31-B11</f>
        <v>0.48583333333334267</v>
      </c>
    </row>
    <row r="12" spans="1:8">
      <c r="E12" s="3" t="s">
        <v>16</v>
      </c>
      <c r="F12" s="9">
        <f>B29-B14</f>
        <v>0.79473958333332462</v>
      </c>
      <c r="G12" s="9">
        <f>B30-B15</f>
        <v>-0.68177083333333499</v>
      </c>
      <c r="H12" s="9">
        <f>B31-B16</f>
        <v>2.2712500000000055</v>
      </c>
    </row>
    <row r="13" spans="1:8">
      <c r="A13" s="3" t="s">
        <v>17</v>
      </c>
      <c r="E13" s="3" t="s">
        <v>18</v>
      </c>
      <c r="F13" s="12">
        <f>AVERAGE(F4:F12)</f>
        <v>2.7986111111106975E-2</v>
      </c>
      <c r="G13" s="12">
        <f t="shared" ref="G13:H13" si="0">AVERAGE(G4:G12)</f>
        <v>-1.2302777777777854</v>
      </c>
      <c r="H13" s="12">
        <f t="shared" si="0"/>
        <v>1.3993750000000051</v>
      </c>
    </row>
    <row r="14" spans="1:8">
      <c r="A14" t="s">
        <v>3</v>
      </c>
      <c r="B14" s="9">
        <v>19.399479166666669</v>
      </c>
      <c r="C14" t="s">
        <v>6</v>
      </c>
    </row>
    <row r="15" spans="1:8">
      <c r="A15" t="s">
        <v>4</v>
      </c>
      <c r="B15" s="9">
        <v>16.449895833333333</v>
      </c>
      <c r="C15" t="s">
        <v>6</v>
      </c>
      <c r="E15" t="s">
        <v>19</v>
      </c>
    </row>
    <row r="16" spans="1:8">
      <c r="A16" t="s">
        <v>5</v>
      </c>
      <c r="B16" s="9">
        <v>22.349062500000002</v>
      </c>
      <c r="C16" t="s">
        <v>6</v>
      </c>
    </row>
    <row r="17" spans="1:15">
      <c r="E17" s="3" t="s">
        <v>20</v>
      </c>
    </row>
    <row r="18" spans="1:15">
      <c r="A18" s="3" t="s">
        <v>21</v>
      </c>
      <c r="F18" s="3" t="s">
        <v>3</v>
      </c>
      <c r="G18" s="3" t="s">
        <v>4</v>
      </c>
      <c r="H18" s="3" t="s">
        <v>5</v>
      </c>
    </row>
    <row r="19" spans="1:15">
      <c r="A19" t="s">
        <v>3</v>
      </c>
      <c r="B19" s="9">
        <v>19.911249999999999</v>
      </c>
      <c r="C19" t="s">
        <v>6</v>
      </c>
      <c r="E19" s="3" t="s">
        <v>22</v>
      </c>
      <c r="F19" s="9">
        <f>ABS(B14-B4)</f>
        <v>0.24307291666666941</v>
      </c>
      <c r="G19" s="9">
        <f>ABS(B15-B5)</f>
        <v>0.31531249999999034</v>
      </c>
      <c r="H19" s="9">
        <f>ABS(B16-B6)</f>
        <v>0.80145833333332916</v>
      </c>
    </row>
    <row r="20" spans="1:15">
      <c r="A20" t="s">
        <v>4</v>
      </c>
      <c r="B20" s="9">
        <v>15.277291666666665</v>
      </c>
      <c r="C20" t="s">
        <v>6</v>
      </c>
      <c r="E20" s="3" t="s">
        <v>23</v>
      </c>
      <c r="F20" s="9">
        <f>ABS(B14-B9)</f>
        <v>1.244114583333328</v>
      </c>
      <c r="G20" s="9">
        <f>ABS(B15-B10)</f>
        <v>0.70281250000000739</v>
      </c>
      <c r="H20" s="9">
        <f>ABS(B16-B11)</f>
        <v>1.7854166666666629</v>
      </c>
    </row>
    <row r="21" spans="1:15">
      <c r="A21" t="s">
        <v>5</v>
      </c>
      <c r="B21" s="9">
        <v>24.545208333333346</v>
      </c>
      <c r="C21" t="s">
        <v>6</v>
      </c>
      <c r="E21" s="3" t="s">
        <v>24</v>
      </c>
      <c r="F21" s="9">
        <f>ABS(B9-B4)</f>
        <v>1.0010416666666586</v>
      </c>
      <c r="G21" s="9">
        <f>ABS(B10-B5)</f>
        <v>1.0181249999999977</v>
      </c>
      <c r="H21" s="9">
        <f>ABS(B11-B6)</f>
        <v>0.98395833333333371</v>
      </c>
    </row>
    <row r="22" spans="1:15">
      <c r="E22" s="3" t="s">
        <v>25</v>
      </c>
      <c r="F22" s="9">
        <f>ABS(B29-B19)</f>
        <v>0.28296874999999488</v>
      </c>
      <c r="G22" s="9">
        <f>ABS(B30-B20)</f>
        <v>0.49083333333333279</v>
      </c>
      <c r="H22" s="9">
        <f>ABS(B31-B21)</f>
        <v>7.5104166666662309E-2</v>
      </c>
    </row>
    <row r="23" spans="1:15">
      <c r="A23" s="3" t="s">
        <v>26</v>
      </c>
      <c r="E23" s="3" t="s">
        <v>27</v>
      </c>
      <c r="F23" s="9">
        <f>ABS(B29-B24)</f>
        <v>0.5301041666666606</v>
      </c>
      <c r="G23" s="9">
        <f>ABS(B30-B25)</f>
        <v>1.1065625000000008</v>
      </c>
      <c r="H23" s="9">
        <f>ABS(B31-B26)</f>
        <v>4.635416666665293E-2</v>
      </c>
    </row>
    <row r="24" spans="1:15">
      <c r="A24" t="s">
        <v>3</v>
      </c>
      <c r="B24" s="9">
        <v>19.664114583333333</v>
      </c>
      <c r="C24" t="s">
        <v>6</v>
      </c>
      <c r="E24" s="3" t="s">
        <v>28</v>
      </c>
      <c r="F24" s="9">
        <f>ABS(B24-B19)</f>
        <v>0.24713541666666572</v>
      </c>
      <c r="G24" s="9">
        <f>ABS(B25-B20)</f>
        <v>0.61572916666666799</v>
      </c>
      <c r="H24" s="9">
        <f>ABS(B26-B21)</f>
        <v>0.12145833333331524</v>
      </c>
    </row>
    <row r="25" spans="1:15">
      <c r="A25" t="s">
        <v>4</v>
      </c>
      <c r="B25" s="9">
        <v>14.661562499999997</v>
      </c>
      <c r="C25" t="s">
        <v>6</v>
      </c>
      <c r="E25" s="3" t="s">
        <v>18</v>
      </c>
      <c r="F25" s="12">
        <f>AVERAGE(F19:F24)</f>
        <v>0.59140624999999625</v>
      </c>
      <c r="G25" s="12">
        <f t="shared" ref="G25:H25" si="1">AVERAGE(G19:G24)</f>
        <v>0.70822916666666613</v>
      </c>
      <c r="H25" s="12">
        <f t="shared" si="1"/>
        <v>0.63562499999999267</v>
      </c>
    </row>
    <row r="26" spans="1:15">
      <c r="A26" t="s">
        <v>5</v>
      </c>
      <c r="B26" s="9">
        <v>24.666666666666661</v>
      </c>
      <c r="C26" t="s">
        <v>6</v>
      </c>
    </row>
    <row r="27" spans="1:15">
      <c r="E27" t="s">
        <v>29</v>
      </c>
    </row>
    <row r="28" spans="1:15">
      <c r="A28" s="3" t="s">
        <v>30</v>
      </c>
    </row>
    <row r="29" spans="1:15">
      <c r="A29" t="s">
        <v>3</v>
      </c>
      <c r="B29" s="9">
        <v>20.194218749999994</v>
      </c>
      <c r="C29" t="s">
        <v>6</v>
      </c>
      <c r="E29" t="s">
        <v>31</v>
      </c>
    </row>
    <row r="30" spans="1:15">
      <c r="A30" t="s">
        <v>4</v>
      </c>
      <c r="B30" s="9">
        <v>15.768124999999998</v>
      </c>
      <c r="C30" t="s">
        <v>6</v>
      </c>
    </row>
    <row r="31" spans="1:15">
      <c r="A31" t="s">
        <v>5</v>
      </c>
      <c r="B31" s="9">
        <v>24.620312500000008</v>
      </c>
      <c r="C31" t="s">
        <v>6</v>
      </c>
    </row>
    <row r="32" spans="1:15" ht="15.75" thickBo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8" ht="23.25">
      <c r="A33" s="1" t="s">
        <v>32</v>
      </c>
    </row>
    <row r="34" spans="1:8">
      <c r="E34" s="3" t="s">
        <v>33</v>
      </c>
    </row>
    <row r="35" spans="1:8">
      <c r="A35" s="10" t="s">
        <v>2</v>
      </c>
      <c r="F35" s="3" t="s">
        <v>34</v>
      </c>
      <c r="G35" s="3" t="s">
        <v>4</v>
      </c>
      <c r="H35" s="3" t="s">
        <v>5</v>
      </c>
    </row>
    <row r="36" spans="1:8">
      <c r="A36" t="s">
        <v>35</v>
      </c>
      <c r="B36" s="9">
        <v>51.80203124999997</v>
      </c>
      <c r="C36" t="s">
        <v>36</v>
      </c>
      <c r="E36" s="3" t="s">
        <v>7</v>
      </c>
      <c r="F36" s="9">
        <f>B51-B36</f>
        <v>0.396093750000027</v>
      </c>
      <c r="G36" s="9">
        <f>B52-B37</f>
        <v>-0.1790625000000361</v>
      </c>
      <c r="H36" s="9">
        <f>B53-B38</f>
        <v>0.97125000000001904</v>
      </c>
    </row>
    <row r="37" spans="1:8">
      <c r="A37" t="s">
        <v>4</v>
      </c>
      <c r="B37" s="9">
        <v>46.609375</v>
      </c>
      <c r="C37" t="s">
        <v>36</v>
      </c>
      <c r="E37" s="3" t="s">
        <v>8</v>
      </c>
      <c r="F37" s="9">
        <f>B51-B41</f>
        <v>-2.3088541666666771</v>
      </c>
      <c r="G37" s="9">
        <f>B52-B37</f>
        <v>-0.1790625000000361</v>
      </c>
      <c r="H37" s="9">
        <f>B53-B43</f>
        <v>-1.0155208333333263</v>
      </c>
    </row>
    <row r="38" spans="1:8">
      <c r="A38" t="s">
        <v>5</v>
      </c>
      <c r="B38" s="9">
        <v>56.994687499999998</v>
      </c>
      <c r="C38" t="s">
        <v>36</v>
      </c>
      <c r="E38" s="3" t="s">
        <v>9</v>
      </c>
      <c r="F38" s="9">
        <f>B51-B46</f>
        <v>1.7361979166666686</v>
      </c>
      <c r="G38" s="9">
        <f>B52-B47</f>
        <v>0.35447916666663559</v>
      </c>
      <c r="H38" s="9">
        <f>B53-B48</f>
        <v>3.1179166666666873</v>
      </c>
    </row>
    <row r="39" spans="1:8">
      <c r="E39" s="3" t="s">
        <v>10</v>
      </c>
      <c r="F39" s="9">
        <f>B56-B36</f>
        <v>-8.4427083333345365E-2</v>
      </c>
      <c r="G39" s="9">
        <f>B57-B37</f>
        <v>-1.5881250000000193</v>
      </c>
      <c r="H39" s="9">
        <f>B58-B38</f>
        <v>1.4192708333333357</v>
      </c>
    </row>
    <row r="40" spans="1:8">
      <c r="A40" s="3" t="s">
        <v>11</v>
      </c>
      <c r="E40" s="3" t="s">
        <v>12</v>
      </c>
      <c r="F40" s="9">
        <f>B56-B41</f>
        <v>-2.7893750000000495</v>
      </c>
      <c r="G40" s="9">
        <f>B57-B42</f>
        <v>-5.0112500000000182</v>
      </c>
      <c r="H40" s="9">
        <f>B58-B43</f>
        <v>-0.56750000000000966</v>
      </c>
    </row>
    <row r="41" spans="1:8">
      <c r="A41" t="s">
        <v>35</v>
      </c>
      <c r="B41" s="9">
        <v>54.506979166666675</v>
      </c>
      <c r="C41" t="s">
        <v>36</v>
      </c>
      <c r="E41" s="3" t="s">
        <v>13</v>
      </c>
      <c r="F41" s="9">
        <f>B56-B46</f>
        <v>1.2556770833332962</v>
      </c>
      <c r="G41" s="9">
        <f>B57-B47</f>
        <v>-1.0545833333333476</v>
      </c>
      <c r="H41" s="9">
        <f>B58-B48</f>
        <v>3.565937500000004</v>
      </c>
    </row>
    <row r="42" spans="1:8">
      <c r="A42" t="s">
        <v>4</v>
      </c>
      <c r="B42" s="9">
        <v>50.032499999999999</v>
      </c>
      <c r="C42" t="s">
        <v>36</v>
      </c>
      <c r="E42" s="3" t="s">
        <v>14</v>
      </c>
      <c r="F42" s="9">
        <f>B61-B36</f>
        <v>0.24432291666668249</v>
      </c>
      <c r="G42" s="9">
        <f>B62-B37</f>
        <v>-0.73281249999999432</v>
      </c>
      <c r="H42" s="9">
        <f>B63-B38</f>
        <v>1.2214583333333451</v>
      </c>
    </row>
    <row r="43" spans="1:8">
      <c r="A43" t="s">
        <v>5</v>
      </c>
      <c r="B43" s="9">
        <v>58.981458333333343</v>
      </c>
      <c r="C43" t="s">
        <v>36</v>
      </c>
      <c r="E43" s="3" t="s">
        <v>15</v>
      </c>
      <c r="F43" s="9">
        <f>B61-B41</f>
        <v>-2.4606250000000216</v>
      </c>
      <c r="G43" s="9">
        <f>B62-B42</f>
        <v>-4.1559374999999932</v>
      </c>
      <c r="H43" s="9">
        <f>B63-B43</f>
        <v>-0.76531250000000028</v>
      </c>
    </row>
    <row r="44" spans="1:8">
      <c r="E44" s="3" t="s">
        <v>16</v>
      </c>
      <c r="F44" s="9">
        <f>B61-B46</f>
        <v>1.584427083333324</v>
      </c>
      <c r="G44" s="9">
        <f>B62-B47</f>
        <v>-0.19927083333332263</v>
      </c>
      <c r="H44" s="9">
        <f>B63-B48</f>
        <v>3.3681250000000134</v>
      </c>
    </row>
    <row r="45" spans="1:8">
      <c r="A45" s="3" t="s">
        <v>17</v>
      </c>
      <c r="E45" s="3" t="s">
        <v>18</v>
      </c>
      <c r="F45" s="12">
        <f>AVERAGE(F36:F44)</f>
        <v>-0.26961805555556612</v>
      </c>
      <c r="G45" s="12">
        <f t="shared" ref="G45" si="2">AVERAGE(G36:G44)</f>
        <v>-1.4161805555555702</v>
      </c>
      <c r="H45" s="12">
        <f t="shared" ref="H45" si="3">AVERAGE(H36:H44)</f>
        <v>1.2572916666666742</v>
      </c>
    </row>
    <row r="46" spans="1:8">
      <c r="A46" t="s">
        <v>35</v>
      </c>
      <c r="B46" s="9">
        <v>50.461927083333329</v>
      </c>
      <c r="C46" t="s">
        <v>36</v>
      </c>
    </row>
    <row r="47" spans="1:8">
      <c r="A47" t="s">
        <v>4</v>
      </c>
      <c r="B47" s="9">
        <v>46.075833333333328</v>
      </c>
      <c r="C47" t="s">
        <v>36</v>
      </c>
    </row>
    <row r="48" spans="1:8">
      <c r="A48" t="s">
        <v>5</v>
      </c>
      <c r="B48" s="9">
        <v>54.848020833333329</v>
      </c>
      <c r="C48" t="s">
        <v>36</v>
      </c>
    </row>
    <row r="49" spans="1:15">
      <c r="E49" s="3" t="s">
        <v>37</v>
      </c>
    </row>
    <row r="50" spans="1:15">
      <c r="A50" s="3" t="s">
        <v>21</v>
      </c>
      <c r="F50" s="3" t="s">
        <v>34</v>
      </c>
      <c r="G50" s="3" t="s">
        <v>4</v>
      </c>
      <c r="H50" s="3" t="s">
        <v>5</v>
      </c>
    </row>
    <row r="51" spans="1:15">
      <c r="A51" t="s">
        <v>35</v>
      </c>
      <c r="B51" s="9">
        <v>52.198124999999997</v>
      </c>
      <c r="C51" t="s">
        <v>36</v>
      </c>
      <c r="E51" s="3" t="s">
        <v>22</v>
      </c>
      <c r="F51" s="9">
        <f>ABS(B46-B36)</f>
        <v>1.3401041666666416</v>
      </c>
      <c r="G51" s="9">
        <f>ABS(B47-B37)</f>
        <v>0.53354166666667169</v>
      </c>
      <c r="H51" s="9">
        <f>ABS(B48-B38)</f>
        <v>2.1466666666666683</v>
      </c>
    </row>
    <row r="52" spans="1:15">
      <c r="A52" t="s">
        <v>4</v>
      </c>
      <c r="B52" s="9">
        <v>46.430312499999964</v>
      </c>
      <c r="C52" t="s">
        <v>36</v>
      </c>
      <c r="E52" s="3" t="s">
        <v>23</v>
      </c>
      <c r="F52" s="9">
        <f>ABS(B46-B41)</f>
        <v>4.0450520833333456</v>
      </c>
      <c r="G52" s="9">
        <f>ABS(B47-B42)</f>
        <v>3.9566666666666706</v>
      </c>
      <c r="H52" s="9">
        <f>ABS(B48-B43)</f>
        <v>4.1334375000000136</v>
      </c>
    </row>
    <row r="53" spans="1:15">
      <c r="A53" t="s">
        <v>5</v>
      </c>
      <c r="B53" s="9">
        <v>57.965937500000017</v>
      </c>
      <c r="C53" t="s">
        <v>36</v>
      </c>
      <c r="E53" s="3" t="s">
        <v>24</v>
      </c>
      <c r="F53" s="9">
        <f>ABS(B41-B36)</f>
        <v>2.7049479166667041</v>
      </c>
      <c r="G53" s="9">
        <f>ABS(B42-B37)</f>
        <v>3.4231249999999989</v>
      </c>
      <c r="H53" s="9">
        <f>ABS(B43-B38)</f>
        <v>1.9867708333333454</v>
      </c>
    </row>
    <row r="54" spans="1:15">
      <c r="E54" s="3" t="s">
        <v>25</v>
      </c>
      <c r="F54" s="9">
        <f>ABS(B61-B51)</f>
        <v>0.15177083333334451</v>
      </c>
      <c r="G54" s="9">
        <f>ABS(B62-B52)</f>
        <v>0.55374999999995822</v>
      </c>
      <c r="H54" s="9">
        <f>ABS(B63-B53)</f>
        <v>0.25020833333332604</v>
      </c>
    </row>
    <row r="55" spans="1:15">
      <c r="A55" s="3" t="s">
        <v>26</v>
      </c>
      <c r="E55" s="3" t="s">
        <v>27</v>
      </c>
      <c r="F55" s="9">
        <f>ABS(B61-B56)</f>
        <v>0.32875000000002785</v>
      </c>
      <c r="G55" s="9">
        <f>ABS(B62-B57)</f>
        <v>0.85531250000002501</v>
      </c>
      <c r="H55" s="9">
        <f>ABS(B63-B58)</f>
        <v>0.19781249999999062</v>
      </c>
    </row>
    <row r="56" spans="1:15">
      <c r="A56" t="s">
        <v>35</v>
      </c>
      <c r="B56" s="9">
        <v>51.717604166666625</v>
      </c>
      <c r="C56" t="s">
        <v>36</v>
      </c>
      <c r="E56" s="3" t="s">
        <v>28</v>
      </c>
      <c r="F56" s="9">
        <f>ABS(B56-B51)</f>
        <v>0.48052083333337237</v>
      </c>
      <c r="G56" s="9">
        <f>ABS(B57-B52)</f>
        <v>1.4090624999999832</v>
      </c>
      <c r="H56" s="9">
        <f>ABS(B58-B53)</f>
        <v>0.44802083333331666</v>
      </c>
    </row>
    <row r="57" spans="1:15">
      <c r="A57" t="s">
        <v>4</v>
      </c>
      <c r="B57" s="9">
        <v>45.021249999999981</v>
      </c>
      <c r="C57" t="s">
        <v>36</v>
      </c>
      <c r="E57" s="3" t="s">
        <v>18</v>
      </c>
      <c r="F57" s="12">
        <f>AVERAGE(F51:F56)</f>
        <v>1.5085243055555726</v>
      </c>
      <c r="G57" s="12">
        <f t="shared" ref="G57" si="4">AVERAGE(G51:G56)</f>
        <v>1.7885763888888846</v>
      </c>
      <c r="H57" s="12">
        <f t="shared" ref="H57" si="5">AVERAGE(H51:H56)</f>
        <v>1.5271527777777767</v>
      </c>
    </row>
    <row r="58" spans="1:15">
      <c r="A58" t="s">
        <v>5</v>
      </c>
      <c r="B58" s="9">
        <v>58.413958333333333</v>
      </c>
      <c r="C58" t="s">
        <v>36</v>
      </c>
    </row>
    <row r="59" spans="1:15">
      <c r="E59" t="s">
        <v>38</v>
      </c>
    </row>
    <row r="60" spans="1:15">
      <c r="A60" s="3" t="s">
        <v>30</v>
      </c>
    </row>
    <row r="61" spans="1:15">
      <c r="A61" t="s">
        <v>35</v>
      </c>
      <c r="B61" s="9">
        <v>52.046354166666653</v>
      </c>
      <c r="C61" t="s">
        <v>36</v>
      </c>
    </row>
    <row r="62" spans="1:15">
      <c r="A62" t="s">
        <v>4</v>
      </c>
      <c r="B62" s="9">
        <v>45.876562500000006</v>
      </c>
      <c r="C62" t="s">
        <v>36</v>
      </c>
    </row>
    <row r="63" spans="1:15">
      <c r="A63" t="s">
        <v>5</v>
      </c>
      <c r="B63" s="9">
        <v>58.216145833333343</v>
      </c>
      <c r="C63" t="s">
        <v>36</v>
      </c>
    </row>
    <row r="64" spans="1:15" ht="15.75" thickBo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1:10" ht="23.25">
      <c r="A65" s="1" t="s">
        <v>39</v>
      </c>
    </row>
    <row r="66" spans="1:10">
      <c r="E66" s="3" t="s">
        <v>40</v>
      </c>
    </row>
    <row r="67" spans="1:10">
      <c r="A67" s="10" t="s">
        <v>2</v>
      </c>
      <c r="F67" s="3" t="s">
        <v>41</v>
      </c>
      <c r="G67" s="3" t="s">
        <v>4</v>
      </c>
      <c r="H67" s="3" t="s">
        <v>42</v>
      </c>
      <c r="I67" s="3" t="s">
        <v>5</v>
      </c>
      <c r="J67" s="3" t="s">
        <v>43</v>
      </c>
    </row>
    <row r="68" spans="1:10">
      <c r="A68" t="s">
        <v>44</v>
      </c>
      <c r="B68" s="9">
        <v>47.185823754789283</v>
      </c>
      <c r="C68" t="s">
        <v>45</v>
      </c>
      <c r="E68" s="3" t="s">
        <v>7</v>
      </c>
      <c r="F68" s="9">
        <f>B89-B68</f>
        <v>-9.8649282324011978</v>
      </c>
      <c r="G68" s="9">
        <f>B90-B69</f>
        <v>-2.7803030303030312</v>
      </c>
      <c r="H68" s="9">
        <f>B91-B70</f>
        <v>-9.9867424242424008</v>
      </c>
      <c r="I68" s="9">
        <f>B92-B71</f>
        <v>-7.2072115384615394</v>
      </c>
      <c r="J68" s="9">
        <f>B93-B72</f>
        <v>-19.196391263057926</v>
      </c>
    </row>
    <row r="69" spans="1:10">
      <c r="A69" t="s">
        <v>4</v>
      </c>
      <c r="B69" s="9">
        <v>40.113636363636374</v>
      </c>
      <c r="C69" t="s">
        <v>45</v>
      </c>
      <c r="E69" s="3" t="s">
        <v>8</v>
      </c>
      <c r="F69" s="9">
        <f>B89-B75</f>
        <v>-4.575748772913947</v>
      </c>
      <c r="G69" s="9">
        <f>B90-B76</f>
        <v>-4.2504504504504297</v>
      </c>
      <c r="H69" s="9">
        <f>B91-B77</f>
        <v>-1.5840772179627507</v>
      </c>
      <c r="I69" s="9">
        <f>B92-B78</f>
        <v>-12.93131868131869</v>
      </c>
      <c r="J69" s="9">
        <f>B93-B79</f>
        <v>-3.1423076923077105</v>
      </c>
    </row>
    <row r="70" spans="1:10">
      <c r="A70" t="s">
        <v>42</v>
      </c>
      <c r="B70" s="9">
        <v>53.44242424242421</v>
      </c>
      <c r="C70" t="s">
        <v>45</v>
      </c>
      <c r="E70" s="3" t="s">
        <v>9</v>
      </c>
      <c r="F70" s="9">
        <f>B89-B82</f>
        <v>-0.28135166862317362</v>
      </c>
      <c r="G70" s="9">
        <f>B90-B83</f>
        <v>8.5068627450980401</v>
      </c>
      <c r="H70" s="9">
        <f>B91-B84</f>
        <v>-9.4935935441370347</v>
      </c>
      <c r="I70" s="9">
        <f>B92-B85</f>
        <v>-1.7606837606837793</v>
      </c>
      <c r="J70" s="9">
        <f>B93-B86</f>
        <v>-1.4019893899204376</v>
      </c>
    </row>
    <row r="71" spans="1:10">
      <c r="A71" t="s">
        <v>5</v>
      </c>
      <c r="B71" s="9">
        <v>38.618749999999999</v>
      </c>
      <c r="C71" t="s">
        <v>45</v>
      </c>
      <c r="E71" s="3" t="s">
        <v>10</v>
      </c>
      <c r="F71" s="9">
        <f>B96-B68</f>
        <v>-4.8668422733078032</v>
      </c>
      <c r="G71" s="9">
        <f>B97-B69</f>
        <v>4.3067026194144873</v>
      </c>
      <c r="H71" s="9">
        <f>B98-B70</f>
        <v>-12.162424242424201</v>
      </c>
      <c r="I71" s="9">
        <f>B99-B71</f>
        <v>-0.33789893617021249</v>
      </c>
      <c r="J71" s="9">
        <f>B100-B72</f>
        <v>-8.3726150392816905</v>
      </c>
    </row>
    <row r="72" spans="1:10">
      <c r="A72" t="s">
        <v>43</v>
      </c>
      <c r="B72" s="9">
        <v>52.927160493827152</v>
      </c>
      <c r="C72" t="s">
        <v>45</v>
      </c>
      <c r="E72" s="3" t="s">
        <v>12</v>
      </c>
      <c r="F72" s="9">
        <f>B96-B75</f>
        <v>0.4223371861794476</v>
      </c>
      <c r="G72" s="9">
        <f>B97-B76</f>
        <v>2.8365551992670888</v>
      </c>
      <c r="H72" s="9">
        <f>B98-B77</f>
        <v>-3.7597590361445512</v>
      </c>
      <c r="I72" s="9">
        <f>B99-B78</f>
        <v>-6.0620060790273627</v>
      </c>
      <c r="J72" s="9">
        <f>B100-B79</f>
        <v>7.6814685314685249</v>
      </c>
    </row>
    <row r="73" spans="1:10">
      <c r="E73" s="3" t="s">
        <v>13</v>
      </c>
      <c r="F73" s="9">
        <f>B96-B82</f>
        <v>4.716734290470221</v>
      </c>
      <c r="G73" s="9">
        <f>B97-B83</f>
        <v>15.593868394815559</v>
      </c>
      <c r="H73" s="9">
        <f>B98-B84</f>
        <v>-11.669275362318835</v>
      </c>
      <c r="I73" s="9">
        <f>B99-B85</f>
        <v>5.1086288416075476</v>
      </c>
      <c r="J73" s="9">
        <f>B100-B86</f>
        <v>9.4217868338557977</v>
      </c>
    </row>
    <row r="74" spans="1:10">
      <c r="A74" s="3" t="s">
        <v>11</v>
      </c>
      <c r="E74" s="3" t="s">
        <v>14</v>
      </c>
      <c r="F74" s="9">
        <f>B103-B68</f>
        <v>-3.3435001033369929</v>
      </c>
      <c r="G74" s="9">
        <f>B104-B69</f>
        <v>2.4644458281444486</v>
      </c>
      <c r="H74" s="9">
        <f>B105-B70</f>
        <v>1.9247632575757834</v>
      </c>
      <c r="I74" s="9">
        <f>B106-B71</f>
        <v>-4.3421874999999943</v>
      </c>
      <c r="J74" s="9">
        <f>B107-B72</f>
        <v>-9.9121604938271446</v>
      </c>
    </row>
    <row r="75" spans="1:10">
      <c r="A75" t="s">
        <v>44</v>
      </c>
      <c r="B75" s="9">
        <v>41.896644295302032</v>
      </c>
      <c r="C75" t="s">
        <v>45</v>
      </c>
      <c r="E75" s="3" t="s">
        <v>15</v>
      </c>
      <c r="F75" s="9">
        <f>B103-B75</f>
        <v>1.9456793561502579</v>
      </c>
      <c r="G75" s="9">
        <f>B104-B76</f>
        <v>0.99429840799705005</v>
      </c>
      <c r="H75" s="9">
        <f>B105-B77</f>
        <v>10.327428463855433</v>
      </c>
      <c r="I75" s="9">
        <f>B106-B78</f>
        <v>-10.066294642857144</v>
      </c>
      <c r="J75" s="9">
        <f>B107-B79</f>
        <v>6.1419230769230708</v>
      </c>
    </row>
    <row r="76" spans="1:10">
      <c r="A76" t="s">
        <v>4</v>
      </c>
      <c r="B76" s="9">
        <v>41.583783783783772</v>
      </c>
      <c r="C76" t="s">
        <v>45</v>
      </c>
      <c r="E76" s="3" t="s">
        <v>16</v>
      </c>
      <c r="F76" s="9">
        <f>B103-B82</f>
        <v>6.2400764604410313</v>
      </c>
      <c r="G76" s="9">
        <f>B104-B83</f>
        <v>13.75161160354552</v>
      </c>
      <c r="H76" s="9">
        <f>B105-B84</f>
        <v>2.4179121376811494</v>
      </c>
      <c r="I76" s="9">
        <f>B106-B85</f>
        <v>1.1043402777777658</v>
      </c>
      <c r="J76" s="9">
        <f>B107-B86</f>
        <v>7.8822413793103436</v>
      </c>
    </row>
    <row r="77" spans="1:10">
      <c r="A77" t="s">
        <v>42</v>
      </c>
      <c r="B77" s="9">
        <v>45.039759036144559</v>
      </c>
      <c r="C77" t="s">
        <v>45</v>
      </c>
      <c r="E77" s="3" t="s">
        <v>18</v>
      </c>
      <c r="F77" s="12">
        <f>AVERAGE(F68:F76)</f>
        <v>-1.0675048619269063</v>
      </c>
      <c r="G77" s="12">
        <f t="shared" ref="G77" si="6">AVERAGE(G68:G76)</f>
        <v>4.6026212575031922</v>
      </c>
      <c r="H77" s="12">
        <f t="shared" ref="H77" si="7">AVERAGE(H68:H76)</f>
        <v>-3.7761964409019342</v>
      </c>
      <c r="I77" s="12">
        <f>AVERAGE(I68:I76)</f>
        <v>-4.0549591132370448</v>
      </c>
      <c r="J77" s="12">
        <f t="shared" ref="J77" si="8">AVERAGE(J68:J76)</f>
        <v>-1.2108937840930192</v>
      </c>
    </row>
    <row r="78" spans="1:10">
      <c r="A78" t="s">
        <v>5</v>
      </c>
      <c r="B78" s="9">
        <v>44.342857142857149</v>
      </c>
      <c r="C78" t="s">
        <v>45</v>
      </c>
    </row>
    <row r="79" spans="1:10">
      <c r="A79" t="s">
        <v>43</v>
      </c>
      <c r="B79" s="9">
        <v>36.873076923076937</v>
      </c>
      <c r="C79" t="s">
        <v>45</v>
      </c>
    </row>
    <row r="80" spans="1:10">
      <c r="B80" s="9"/>
    </row>
    <row r="81" spans="1:10">
      <c r="A81" s="3" t="s">
        <v>17</v>
      </c>
      <c r="B81" s="9"/>
      <c r="E81" s="3" t="s">
        <v>46</v>
      </c>
    </row>
    <row r="82" spans="1:10">
      <c r="A82" t="s">
        <v>44</v>
      </c>
      <c r="B82" s="9">
        <v>37.602247191011259</v>
      </c>
      <c r="C82" t="s">
        <v>45</v>
      </c>
      <c r="F82" s="3" t="s">
        <v>41</v>
      </c>
      <c r="G82" s="3" t="s">
        <v>4</v>
      </c>
      <c r="H82" s="3" t="s">
        <v>42</v>
      </c>
      <c r="I82" s="3" t="s">
        <v>5</v>
      </c>
      <c r="J82" s="3" t="s">
        <v>43</v>
      </c>
    </row>
    <row r="83" spans="1:10">
      <c r="A83" t="s">
        <v>4</v>
      </c>
      <c r="B83" s="9">
        <v>28.826470588235303</v>
      </c>
      <c r="C83" t="s">
        <v>45</v>
      </c>
      <c r="E83" s="3" t="s">
        <v>22</v>
      </c>
      <c r="F83" s="9">
        <f>ABS(B82-B68)</f>
        <v>9.5835765637780241</v>
      </c>
      <c r="G83" s="9">
        <f>ABS(B83-B69)</f>
        <v>11.287165775401071</v>
      </c>
      <c r="H83" s="9">
        <f>ABS(B84-B70)</f>
        <v>0.49314888010536606</v>
      </c>
      <c r="I83" s="9">
        <f>ABS(B85-B71)</f>
        <v>5.4465277777777601</v>
      </c>
      <c r="J83" s="9">
        <f>ABS(B86-B72)</f>
        <v>17.794401873137488</v>
      </c>
    </row>
    <row r="84" spans="1:10">
      <c r="A84" t="s">
        <v>42</v>
      </c>
      <c r="B84" s="9">
        <v>52.949275362318843</v>
      </c>
      <c r="C84" t="s">
        <v>45</v>
      </c>
      <c r="E84" s="3" t="s">
        <v>23</v>
      </c>
      <c r="F84" s="9">
        <f>ABS(B82-B75)</f>
        <v>4.2943971042907734</v>
      </c>
      <c r="G84" s="9">
        <f>ABS(B83-B76)</f>
        <v>12.75731319554847</v>
      </c>
      <c r="H84" s="9">
        <f>ABS(B84-B77)</f>
        <v>7.909516326174284</v>
      </c>
      <c r="I84" s="9">
        <f>ABS(B85-B78)</f>
        <v>11.17063492063491</v>
      </c>
      <c r="J84" s="9">
        <f>ABS(B86-B79)</f>
        <v>1.7403183023872728</v>
      </c>
    </row>
    <row r="85" spans="1:10">
      <c r="A85" t="s">
        <v>5</v>
      </c>
      <c r="B85" s="9">
        <v>33.172222222222238</v>
      </c>
      <c r="C85" t="s">
        <v>45</v>
      </c>
      <c r="E85" s="3" t="s">
        <v>24</v>
      </c>
      <c r="F85" s="9">
        <f>ABS(B75-B68)</f>
        <v>5.2891794594872508</v>
      </c>
      <c r="G85" s="9">
        <f>ABS(B76-B69)</f>
        <v>1.4701474201473985</v>
      </c>
      <c r="H85" s="9">
        <f>ABS(B77-B70)</f>
        <v>8.4026652062796501</v>
      </c>
      <c r="I85" s="9">
        <f>ABS(B78-B71)</f>
        <v>5.7241071428571502</v>
      </c>
      <c r="J85" s="9">
        <f>ABS(B79-B72)</f>
        <v>16.054083570750215</v>
      </c>
    </row>
    <row r="86" spans="1:10">
      <c r="A86" t="s">
        <v>43</v>
      </c>
      <c r="B86" s="9">
        <v>35.132758620689664</v>
      </c>
      <c r="C86" t="s">
        <v>45</v>
      </c>
      <c r="E86" s="3" t="s">
        <v>25</v>
      </c>
      <c r="F86" s="9">
        <f>ABS(B103-B89)</f>
        <v>6.5214281290642049</v>
      </c>
      <c r="G86" s="9">
        <f>ABS(B104-B90)</f>
        <v>5.2447488584474797</v>
      </c>
      <c r="H86" s="9">
        <f>ABS(B105-B91)</f>
        <v>11.911505681818184</v>
      </c>
      <c r="I86" s="9">
        <f>ABS(B106-B92)</f>
        <v>2.8650240384615451</v>
      </c>
      <c r="J86" s="9">
        <f>ABS(B107-B93)</f>
        <v>9.2842307692307813</v>
      </c>
    </row>
    <row r="87" spans="1:10">
      <c r="E87" s="3" t="s">
        <v>27</v>
      </c>
      <c r="F87" s="9">
        <f>ABS(B103-B96)</f>
        <v>1.5233421699708103</v>
      </c>
      <c r="G87" s="9">
        <f>ABS(B104-B97)</f>
        <v>1.8422567912700387</v>
      </c>
      <c r="H87" s="9">
        <f>ABS(B105-B98)</f>
        <v>14.087187499999985</v>
      </c>
      <c r="I87" s="9">
        <f>ABS(B106-B99)</f>
        <v>4.0042885638297818</v>
      </c>
      <c r="J87" s="9">
        <f>ABS(B107-B100)</f>
        <v>1.5395454545454541</v>
      </c>
    </row>
    <row r="88" spans="1:10">
      <c r="A88" s="3" t="s">
        <v>21</v>
      </c>
      <c r="E88" s="3" t="s">
        <v>28</v>
      </c>
      <c r="F88" s="9">
        <f>ABS(B96-B89)</f>
        <v>4.9980859590933946</v>
      </c>
      <c r="G88" s="9">
        <f>ABS(B97-B90)</f>
        <v>7.0870056497175185</v>
      </c>
      <c r="H88" s="9">
        <f>ABS(B98-B91)</f>
        <v>2.1756818181818005</v>
      </c>
      <c r="I88" s="9">
        <f>ABS(B99-B92)</f>
        <v>6.8693126022913269</v>
      </c>
      <c r="J88" s="9">
        <f>ABS(B100-B93)</f>
        <v>10.823776223776235</v>
      </c>
    </row>
    <row r="89" spans="1:10">
      <c r="A89" t="s">
        <v>44</v>
      </c>
      <c r="B89" s="9">
        <v>37.320895522388085</v>
      </c>
      <c r="C89" t="s">
        <v>45</v>
      </c>
      <c r="E89" s="3" t="s">
        <v>18</v>
      </c>
      <c r="F89" s="12">
        <f>AVERAGE(F83:F88)</f>
        <v>5.3683348976140763</v>
      </c>
      <c r="G89" s="12">
        <f t="shared" ref="G89" si="9">AVERAGE(G83:G88)</f>
        <v>6.6147729484219964</v>
      </c>
      <c r="H89" s="12">
        <f t="shared" ref="H89" si="10">AVERAGE(H83:H88)</f>
        <v>7.4966175687598779</v>
      </c>
      <c r="I89" s="12">
        <f>AVERAGE(I83:I88)</f>
        <v>6.0133158409754124</v>
      </c>
      <c r="J89" s="12">
        <f t="shared" ref="J89" si="11">AVERAGE(J83:J88)</f>
        <v>9.5393926989712412</v>
      </c>
    </row>
    <row r="90" spans="1:10">
      <c r="A90" t="s">
        <v>4</v>
      </c>
      <c r="B90" s="9">
        <v>37.333333333333343</v>
      </c>
      <c r="C90" t="s">
        <v>45</v>
      </c>
    </row>
    <row r="91" spans="1:10">
      <c r="A91" t="s">
        <v>42</v>
      </c>
      <c r="B91" s="9">
        <v>43.455681818181809</v>
      </c>
      <c r="C91" t="s">
        <v>45</v>
      </c>
      <c r="E91" t="s">
        <v>47</v>
      </c>
    </row>
    <row r="92" spans="1:10">
      <c r="A92" t="s">
        <v>5</v>
      </c>
      <c r="B92" s="9">
        <v>31.411538461538459</v>
      </c>
      <c r="C92" t="s">
        <v>45</v>
      </c>
    </row>
    <row r="93" spans="1:10">
      <c r="A93" t="s">
        <v>43</v>
      </c>
      <c r="B93" s="9">
        <v>33.730769230769226</v>
      </c>
      <c r="C93" t="s">
        <v>45</v>
      </c>
    </row>
    <row r="95" spans="1:10">
      <c r="A95" s="3" t="s">
        <v>26</v>
      </c>
    </row>
    <row r="96" spans="1:10">
      <c r="A96" t="s">
        <v>44</v>
      </c>
      <c r="B96" s="9">
        <v>42.31898148148148</v>
      </c>
      <c r="C96" t="s">
        <v>45</v>
      </c>
    </row>
    <row r="97" spans="1:18">
      <c r="A97" t="s">
        <v>4</v>
      </c>
      <c r="B97" s="9">
        <v>44.420338983050861</v>
      </c>
      <c r="C97" t="s">
        <v>45</v>
      </c>
    </row>
    <row r="98" spans="1:18">
      <c r="A98" t="s">
        <v>42</v>
      </c>
      <c r="B98" s="9">
        <v>41.280000000000008</v>
      </c>
      <c r="C98" t="s">
        <v>45</v>
      </c>
    </row>
    <row r="99" spans="1:18">
      <c r="A99" t="s">
        <v>5</v>
      </c>
      <c r="B99" s="9">
        <v>38.280851063829786</v>
      </c>
      <c r="C99" t="s">
        <v>45</v>
      </c>
    </row>
    <row r="100" spans="1:18">
      <c r="A100" t="s">
        <v>43</v>
      </c>
      <c r="B100" s="9">
        <v>44.554545454545462</v>
      </c>
      <c r="C100" t="s">
        <v>45</v>
      </c>
    </row>
    <row r="102" spans="1:18">
      <c r="A102" s="3" t="s">
        <v>30</v>
      </c>
    </row>
    <row r="103" spans="1:18">
      <c r="A103" t="s">
        <v>44</v>
      </c>
      <c r="B103" s="9">
        <v>43.84232365145229</v>
      </c>
      <c r="C103" t="s">
        <v>45</v>
      </c>
    </row>
    <row r="104" spans="1:18">
      <c r="A104" t="s">
        <v>4</v>
      </c>
      <c r="B104" s="9">
        <v>42.578082191780823</v>
      </c>
      <c r="C104" t="s">
        <v>45</v>
      </c>
    </row>
    <row r="105" spans="1:18">
      <c r="A105" t="s">
        <v>42</v>
      </c>
      <c r="B105" s="9">
        <v>55.367187499999993</v>
      </c>
      <c r="C105" t="s">
        <v>45</v>
      </c>
    </row>
    <row r="106" spans="1:18">
      <c r="A106" t="s">
        <v>5</v>
      </c>
      <c r="B106" s="9">
        <v>34.276562500000004</v>
      </c>
      <c r="C106" t="s">
        <v>45</v>
      </c>
    </row>
    <row r="107" spans="1:18">
      <c r="A107" t="s">
        <v>43</v>
      </c>
      <c r="B107" s="9">
        <v>43.015000000000008</v>
      </c>
      <c r="C107" t="s">
        <v>45</v>
      </c>
    </row>
    <row r="108" spans="1:18" ht="15.75" thickBo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8" ht="23.25">
      <c r="A109" s="1" t="s">
        <v>48</v>
      </c>
    </row>
    <row r="110" spans="1:18">
      <c r="I110" s="3" t="s">
        <v>49</v>
      </c>
    </row>
    <row r="111" spans="1:18">
      <c r="A111" s="10" t="s">
        <v>2</v>
      </c>
      <c r="E111" s="3" t="s">
        <v>21</v>
      </c>
      <c r="J111" s="3" t="s">
        <v>50</v>
      </c>
      <c r="K111" s="3" t="s">
        <v>51</v>
      </c>
      <c r="L111" s="3" t="s">
        <v>4</v>
      </c>
      <c r="M111" s="3" t="s">
        <v>52</v>
      </c>
      <c r="N111" s="3" t="s">
        <v>53</v>
      </c>
      <c r="O111" s="3" t="s">
        <v>54</v>
      </c>
      <c r="P111" s="3" t="s">
        <v>5</v>
      </c>
      <c r="Q111" s="3" t="s">
        <v>55</v>
      </c>
      <c r="R111" s="3" t="s">
        <v>56</v>
      </c>
    </row>
    <row r="112" spans="1:18">
      <c r="A112" s="13" t="s">
        <v>50</v>
      </c>
      <c r="B112" s="9">
        <v>61.390597014925319</v>
      </c>
      <c r="C112" t="s">
        <v>6</v>
      </c>
      <c r="E112" s="13" t="s">
        <v>50</v>
      </c>
      <c r="F112" s="9">
        <v>60.821689373296977</v>
      </c>
      <c r="G112" t="s">
        <v>6</v>
      </c>
      <c r="I112" s="3" t="s">
        <v>7</v>
      </c>
      <c r="J112" s="9">
        <v>-0.56890764162834273</v>
      </c>
      <c r="K112" s="9">
        <v>0.71572395301323866</v>
      </c>
      <c r="L112" s="9">
        <v>0.24184782608692501</v>
      </c>
      <c r="M112" s="9">
        <v>-5.2267441860465382</v>
      </c>
      <c r="N112" s="9">
        <v>-2.7386384439359333</v>
      </c>
      <c r="O112" s="9">
        <v>0.24691932624112667</v>
      </c>
      <c r="P112" s="9">
        <v>0.86947368421056836</v>
      </c>
      <c r="Q112" s="9">
        <v>1.1696750561266853</v>
      </c>
      <c r="R112" s="9">
        <v>-1.0081720430107737</v>
      </c>
    </row>
    <row r="113" spans="1:18">
      <c r="A113" s="13" t="s">
        <v>51</v>
      </c>
      <c r="B113" s="9">
        <v>69.080568181818208</v>
      </c>
      <c r="C113" t="s">
        <v>6</v>
      </c>
      <c r="E113" s="13" t="s">
        <v>51</v>
      </c>
      <c r="F113" s="9">
        <v>69.796292134831447</v>
      </c>
      <c r="G113" t="s">
        <v>6</v>
      </c>
      <c r="I113" s="3" t="s">
        <v>8</v>
      </c>
      <c r="J113" s="9">
        <v>-1.7183914892367298</v>
      </c>
      <c r="K113" s="9">
        <v>-0.89535621681687871</v>
      </c>
      <c r="L113" s="9">
        <v>-1.4882744565217649</v>
      </c>
      <c r="M113" s="9">
        <v>-4.8016867469879472</v>
      </c>
      <c r="N113" s="9">
        <v>-2.1747918593894795</v>
      </c>
      <c r="O113" s="9">
        <v>-1.2537056737588728</v>
      </c>
      <c r="P113" s="9">
        <v>1.0652982456140663</v>
      </c>
      <c r="Q113" s="9">
        <v>-3.4794541841982323</v>
      </c>
      <c r="R113" s="9">
        <v>-1.4804312514298701</v>
      </c>
    </row>
    <row r="114" spans="1:18">
      <c r="A114" s="13" t="s">
        <v>4</v>
      </c>
      <c r="B114" s="9">
        <v>49.439565217391319</v>
      </c>
      <c r="C114" t="s">
        <v>6</v>
      </c>
      <c r="E114" s="13" t="s">
        <v>4</v>
      </c>
      <c r="F114" s="9">
        <v>49.681413043478244</v>
      </c>
      <c r="G114" t="s">
        <v>6</v>
      </c>
      <c r="I114" s="3" t="s">
        <v>9</v>
      </c>
      <c r="J114" s="9">
        <v>-1.5696597226696198</v>
      </c>
      <c r="K114" s="9">
        <v>-6.0873549239920948</v>
      </c>
      <c r="L114" s="9">
        <v>0.33663526570045832</v>
      </c>
      <c r="M114" s="9">
        <v>-0.29287500000001643</v>
      </c>
      <c r="N114" s="9">
        <v>-3.4281521739130412</v>
      </c>
      <c r="O114" s="9">
        <v>-1.2566357812857518</v>
      </c>
      <c r="P114" s="9">
        <v>0.81336842105265816</v>
      </c>
      <c r="Q114" s="9">
        <v>-1.8180172515656778</v>
      </c>
      <c r="R114" s="9">
        <v>-1.3687096774193606</v>
      </c>
    </row>
    <row r="115" spans="1:18">
      <c r="A115" s="13" t="s">
        <v>52</v>
      </c>
      <c r="B115" s="9">
        <v>65.586744186046516</v>
      </c>
      <c r="C115" t="s">
        <v>6</v>
      </c>
      <c r="E115" s="13" t="s">
        <v>52</v>
      </c>
      <c r="F115" s="9">
        <v>60.359999999999978</v>
      </c>
      <c r="G115" t="s">
        <v>6</v>
      </c>
      <c r="I115" s="3" t="s">
        <v>10</v>
      </c>
      <c r="J115" s="9">
        <v>-0.92776300682818658</v>
      </c>
      <c r="K115" s="9">
        <v>-1.4248538961038975</v>
      </c>
      <c r="L115" s="9">
        <v>1.4517681159420306</v>
      </c>
      <c r="M115" s="9">
        <v>-0.5892147742818139</v>
      </c>
      <c r="N115" s="9">
        <v>0.3921052631578732</v>
      </c>
      <c r="O115" s="9">
        <v>-0.69656249999995623</v>
      </c>
      <c r="P115" s="9">
        <v>0.22273684210529154</v>
      </c>
      <c r="Q115" s="9">
        <v>-7.1494848901098749</v>
      </c>
      <c r="R115" s="9">
        <v>-0.63322580645163384</v>
      </c>
    </row>
    <row r="116" spans="1:18">
      <c r="A116" s="13" t="s">
        <v>53</v>
      </c>
      <c r="B116" s="9">
        <v>53.478421052631589</v>
      </c>
      <c r="C116" t="s">
        <v>6</v>
      </c>
      <c r="E116" s="13" t="s">
        <v>53</v>
      </c>
      <c r="F116" s="9">
        <v>50.739782608695656</v>
      </c>
      <c r="G116" t="s">
        <v>6</v>
      </c>
      <c r="I116" s="3" t="s">
        <v>12</v>
      </c>
      <c r="J116" s="9">
        <v>-2.0772468544365736</v>
      </c>
      <c r="K116" s="9">
        <v>-3.0359340659340148</v>
      </c>
      <c r="L116" s="9">
        <v>-0.27835416666665935</v>
      </c>
      <c r="M116" s="9">
        <v>-0.16415733522322284</v>
      </c>
      <c r="N116" s="9">
        <v>0.95595184770432695</v>
      </c>
      <c r="O116" s="9">
        <v>-2.1971874999999557</v>
      </c>
      <c r="P116" s="9">
        <v>0.41856140350878945</v>
      </c>
      <c r="Q116" s="9">
        <v>-11.798614130434792</v>
      </c>
      <c r="R116" s="9">
        <v>-1.1054850148707303</v>
      </c>
    </row>
    <row r="117" spans="1:18">
      <c r="A117" s="13" t="s">
        <v>54</v>
      </c>
      <c r="B117" s="9">
        <v>71.480208333333323</v>
      </c>
      <c r="C117" t="s">
        <v>6</v>
      </c>
      <c r="E117" s="13" t="s">
        <v>54</v>
      </c>
      <c r="F117" s="9">
        <v>71.72712765957445</v>
      </c>
      <c r="G117" t="s">
        <v>6</v>
      </c>
      <c r="I117" s="3" t="s">
        <v>13</v>
      </c>
      <c r="J117" s="9">
        <v>-1.9285150878694637</v>
      </c>
      <c r="K117" s="9">
        <v>-8.2279327731092309</v>
      </c>
      <c r="L117" s="9">
        <v>1.5465555555555639</v>
      </c>
      <c r="M117" s="9">
        <v>4.3446544117647079</v>
      </c>
      <c r="N117" s="9">
        <v>-0.29740846681923472</v>
      </c>
      <c r="O117" s="9">
        <v>-2.2001176075268347</v>
      </c>
      <c r="P117" s="9">
        <v>0.16663157894738134</v>
      </c>
      <c r="Q117" s="9">
        <v>-10.137177197802238</v>
      </c>
      <c r="R117" s="9">
        <v>-0.99376344086022073</v>
      </c>
    </row>
    <row r="118" spans="1:18">
      <c r="A118" s="13" t="s">
        <v>5</v>
      </c>
      <c r="B118" s="9">
        <v>56.549157894736815</v>
      </c>
      <c r="C118" t="s">
        <v>6</v>
      </c>
      <c r="E118" s="13" t="s">
        <v>5</v>
      </c>
      <c r="F118" s="9">
        <v>57.418631578947384</v>
      </c>
      <c r="G118" t="s">
        <v>6</v>
      </c>
      <c r="I118" s="3" t="s">
        <v>14</v>
      </c>
      <c r="J118" s="9">
        <v>1.4835219874527183E-3</v>
      </c>
      <c r="K118" s="9">
        <v>-2.8374499022483093</v>
      </c>
      <c r="L118" s="9">
        <v>2.2795556617295745</v>
      </c>
      <c r="M118" s="9">
        <v>2.4529028727770168</v>
      </c>
      <c r="N118" s="9">
        <v>-2.5149835526315911</v>
      </c>
      <c r="O118" s="9">
        <v>1.3928442982456062</v>
      </c>
      <c r="P118" s="9">
        <v>2.7603212719298611</v>
      </c>
      <c r="Q118" s="9">
        <v>-4.1793652092587976</v>
      </c>
      <c r="R118" s="9">
        <v>-9.3844934917932221E-2</v>
      </c>
    </row>
    <row r="119" spans="1:18">
      <c r="A119" s="13" t="s">
        <v>55</v>
      </c>
      <c r="B119" s="9">
        <v>63.620109890109866</v>
      </c>
      <c r="C119" t="s">
        <v>6</v>
      </c>
      <c r="E119" s="13" t="s">
        <v>55</v>
      </c>
      <c r="F119" s="9">
        <v>64.789784946236551</v>
      </c>
      <c r="G119" t="s">
        <v>6</v>
      </c>
      <c r="I119" s="3" t="s">
        <v>15</v>
      </c>
      <c r="J119" s="9">
        <v>-1.1480003256209343</v>
      </c>
      <c r="K119" s="9">
        <v>-4.4485300720784267</v>
      </c>
      <c r="L119" s="9">
        <v>0.54943337912088452</v>
      </c>
      <c r="M119" s="9">
        <v>2.8779603118356079</v>
      </c>
      <c r="N119" s="9">
        <v>-1.9511369680851374</v>
      </c>
      <c r="O119" s="9">
        <v>-0.10778070175439325</v>
      </c>
      <c r="P119" s="9">
        <v>2.956145833333359</v>
      </c>
      <c r="Q119" s="9">
        <v>-8.8284944495837152</v>
      </c>
      <c r="R119" s="9">
        <v>-0.56610414333702863</v>
      </c>
    </row>
    <row r="120" spans="1:18">
      <c r="A120" t="s">
        <v>56</v>
      </c>
      <c r="B120" s="9">
        <v>63.147634408602165</v>
      </c>
      <c r="C120" t="s">
        <v>6</v>
      </c>
      <c r="E120" t="s">
        <v>56</v>
      </c>
      <c r="F120" s="9">
        <v>62.139462365591392</v>
      </c>
      <c r="G120" t="s">
        <v>6</v>
      </c>
      <c r="I120" s="3" t="s">
        <v>16</v>
      </c>
      <c r="J120" s="9">
        <v>-0.99926855905382439</v>
      </c>
      <c r="K120" s="9">
        <v>-9.6405287792536427</v>
      </c>
      <c r="L120" s="9">
        <v>2.3743431013431078</v>
      </c>
      <c r="M120" s="9">
        <v>7.3867720588235386</v>
      </c>
      <c r="N120" s="9">
        <v>-3.204497282608699</v>
      </c>
      <c r="O120" s="9">
        <v>-0.1107108092812723</v>
      </c>
      <c r="P120" s="9">
        <v>2.7042160087719509</v>
      </c>
      <c r="Q120" s="9">
        <v>-7.1670575169511608</v>
      </c>
      <c r="R120" s="9">
        <v>-0.4543825693265191</v>
      </c>
    </row>
    <row r="121" spans="1:18">
      <c r="B121" s="9"/>
      <c r="F121" s="9"/>
      <c r="I121" s="3" t="s">
        <v>18</v>
      </c>
      <c r="J121" s="12">
        <f>AVERAGE(J112:J120)</f>
        <v>-1.2151410183729137</v>
      </c>
      <c r="K121" s="12">
        <f>AVERAGE(K112:K120)</f>
        <v>-3.9869129640581398</v>
      </c>
      <c r="L121" s="12">
        <f>AVERAGE(L112:L120)</f>
        <v>0.77927892025445777</v>
      </c>
      <c r="M121" s="12">
        <f>AVERAGE(M112:M120)</f>
        <v>0.66529017918459254</v>
      </c>
      <c r="N121" s="12">
        <f t="shared" ref="N121:R121" si="12">AVERAGE(N112:N120)</f>
        <v>-1.6623946262801017</v>
      </c>
      <c r="O121" s="12">
        <f t="shared" si="12"/>
        <v>-0.68699299434670047</v>
      </c>
      <c r="P121" s="12">
        <f t="shared" si="12"/>
        <v>1.3307503654971029</v>
      </c>
      <c r="Q121" s="12">
        <f t="shared" si="12"/>
        <v>-5.9319988637530896</v>
      </c>
      <c r="R121" s="12">
        <f t="shared" si="12"/>
        <v>-0.85601320906934097</v>
      </c>
    </row>
    <row r="122" spans="1:18">
      <c r="A122" s="3" t="s">
        <v>11</v>
      </c>
      <c r="B122" s="9"/>
      <c r="E122" s="3" t="s">
        <v>26</v>
      </c>
      <c r="F122" s="9"/>
    </row>
    <row r="123" spans="1:18">
      <c r="A123" t="s">
        <v>50</v>
      </c>
      <c r="B123" s="9">
        <v>62.540080862533706</v>
      </c>
      <c r="C123" t="s">
        <v>6</v>
      </c>
      <c r="E123" t="s">
        <v>50</v>
      </c>
      <c r="F123" s="9">
        <v>60.462834008097133</v>
      </c>
      <c r="G123" t="s">
        <v>6</v>
      </c>
    </row>
    <row r="124" spans="1:18">
      <c r="A124" t="s">
        <v>51</v>
      </c>
      <c r="B124" s="9">
        <v>70.691648351648325</v>
      </c>
      <c r="C124" t="s">
        <v>6</v>
      </c>
      <c r="E124" t="s">
        <v>51</v>
      </c>
      <c r="F124" s="9">
        <v>67.655714285714311</v>
      </c>
      <c r="G124" t="s">
        <v>6</v>
      </c>
    </row>
    <row r="125" spans="1:18">
      <c r="A125" t="s">
        <v>4</v>
      </c>
      <c r="B125" s="9">
        <v>51.169687500000009</v>
      </c>
      <c r="C125" t="s">
        <v>6</v>
      </c>
      <c r="E125" s="13" t="s">
        <v>4</v>
      </c>
      <c r="F125" s="9">
        <v>50.89133333333335</v>
      </c>
      <c r="G125" t="s">
        <v>6</v>
      </c>
      <c r="I125" s="3" t="s">
        <v>20</v>
      </c>
    </row>
    <row r="126" spans="1:18">
      <c r="A126" t="s">
        <v>52</v>
      </c>
      <c r="B126" s="9">
        <v>65.161686746987925</v>
      </c>
      <c r="C126" t="s">
        <v>6</v>
      </c>
      <c r="E126" t="s">
        <v>52</v>
      </c>
      <c r="F126" s="9">
        <v>64.997529411764702</v>
      </c>
      <c r="G126" t="s">
        <v>6</v>
      </c>
      <c r="J126" s="3" t="s">
        <v>50</v>
      </c>
      <c r="K126" s="3" t="s">
        <v>51</v>
      </c>
      <c r="L126" s="3" t="s">
        <v>4</v>
      </c>
      <c r="M126" s="3" t="s">
        <v>52</v>
      </c>
      <c r="N126" s="3" t="s">
        <v>53</v>
      </c>
      <c r="O126" s="3" t="s">
        <v>54</v>
      </c>
      <c r="P126" s="3" t="s">
        <v>5</v>
      </c>
      <c r="Q126" s="3" t="s">
        <v>55</v>
      </c>
      <c r="R126" s="3" t="s">
        <v>56</v>
      </c>
    </row>
    <row r="127" spans="1:18">
      <c r="A127" s="13" t="s">
        <v>53</v>
      </c>
      <c r="B127" s="9">
        <v>52.914574468085135</v>
      </c>
      <c r="C127" t="s">
        <v>6</v>
      </c>
      <c r="E127" s="13" t="s">
        <v>53</v>
      </c>
      <c r="F127" s="9">
        <v>53.870526315789462</v>
      </c>
      <c r="G127" t="s">
        <v>6</v>
      </c>
      <c r="I127" s="3" t="s">
        <v>22</v>
      </c>
      <c r="J127" s="9">
        <v>1.0007520810412771</v>
      </c>
      <c r="K127" s="9">
        <v>6.8030788770053334</v>
      </c>
      <c r="L127" s="9">
        <v>9.4787439613533309E-2</v>
      </c>
      <c r="M127" s="9">
        <v>4.9338691860465218</v>
      </c>
      <c r="N127" s="9">
        <v>0.68951372997710791</v>
      </c>
      <c r="O127" s="9">
        <v>1.5035551075268785</v>
      </c>
      <c r="P127" s="9">
        <v>5.6105263157910201E-2</v>
      </c>
      <c r="Q127" s="9">
        <v>2.9876923076923632</v>
      </c>
      <c r="R127" s="9">
        <v>0.36053763440858688</v>
      </c>
    </row>
    <row r="128" spans="1:18">
      <c r="A128" s="13" t="s">
        <v>54</v>
      </c>
      <c r="B128" s="9">
        <v>72.980833333333322</v>
      </c>
      <c r="C128" t="s">
        <v>6</v>
      </c>
      <c r="E128" s="13" t="s">
        <v>54</v>
      </c>
      <c r="F128" s="9">
        <v>70.783645833333367</v>
      </c>
      <c r="G128" t="s">
        <v>6</v>
      </c>
      <c r="I128" s="3" t="s">
        <v>23</v>
      </c>
      <c r="J128" s="9">
        <v>0.14873176656710996</v>
      </c>
      <c r="K128" s="9">
        <v>5.1919987071752161</v>
      </c>
      <c r="L128" s="9">
        <v>1.8249097222222233</v>
      </c>
      <c r="M128" s="9">
        <v>4.5088117469879307</v>
      </c>
      <c r="N128" s="9">
        <v>1.2533603145235617</v>
      </c>
      <c r="O128" s="9">
        <v>2.9301075268790555E-3</v>
      </c>
      <c r="P128" s="9">
        <v>0.25192982456140811</v>
      </c>
      <c r="Q128" s="9">
        <v>1.6614369326325544</v>
      </c>
      <c r="R128" s="9">
        <v>0.11172157401050953</v>
      </c>
    </row>
    <row r="129" spans="1:18">
      <c r="A129" s="13" t="s">
        <v>5</v>
      </c>
      <c r="B129" s="9">
        <v>56.353333333333318</v>
      </c>
      <c r="C129" t="s">
        <v>6</v>
      </c>
      <c r="E129" s="13" t="s">
        <v>5</v>
      </c>
      <c r="F129" s="9">
        <v>56.771894736842107</v>
      </c>
      <c r="G129" t="s">
        <v>6</v>
      </c>
      <c r="I129" s="3" t="s">
        <v>24</v>
      </c>
      <c r="J129" s="9">
        <v>1.1494838476083871</v>
      </c>
      <c r="K129" s="9">
        <v>1.6110801698301174</v>
      </c>
      <c r="L129" s="9">
        <v>1.7301222826086899</v>
      </c>
      <c r="M129" s="9">
        <v>0.42505743905859106</v>
      </c>
      <c r="N129" s="9">
        <v>0.56384658454645376</v>
      </c>
      <c r="O129" s="9">
        <v>1.5006249999999994</v>
      </c>
      <c r="P129" s="9">
        <v>0.19582456140349791</v>
      </c>
      <c r="Q129" s="9">
        <v>4.6491292403249176</v>
      </c>
      <c r="R129" s="9">
        <v>0.47225920841909641</v>
      </c>
    </row>
    <row r="130" spans="1:18">
      <c r="A130" s="13" t="s">
        <v>55</v>
      </c>
      <c r="B130" s="9">
        <v>68.269239130434784</v>
      </c>
      <c r="C130" t="s">
        <v>6</v>
      </c>
      <c r="E130" s="13" t="s">
        <v>55</v>
      </c>
      <c r="F130" s="9">
        <v>56.470624999999991</v>
      </c>
      <c r="G130" t="s">
        <v>6</v>
      </c>
      <c r="I130" s="3" t="s">
        <v>25</v>
      </c>
      <c r="J130" s="9">
        <v>0.57039116361579545</v>
      </c>
      <c r="K130" s="9">
        <v>3.5531738552615479</v>
      </c>
      <c r="L130" s="9">
        <v>2.0377078356426495</v>
      </c>
      <c r="M130" s="9">
        <v>7.679647058823555</v>
      </c>
      <c r="N130" s="9">
        <v>0.22365489130434213</v>
      </c>
      <c r="O130" s="9">
        <v>1.1459249720044795</v>
      </c>
      <c r="P130" s="9">
        <v>1.8908475877192927</v>
      </c>
      <c r="Q130" s="9">
        <v>5.3490402653854829</v>
      </c>
      <c r="R130" s="9">
        <v>0.91432710809284146</v>
      </c>
    </row>
    <row r="131" spans="1:18">
      <c r="A131" s="13" t="s">
        <v>56</v>
      </c>
      <c r="B131" s="9">
        <v>63.619893617021262</v>
      </c>
      <c r="C131" t="s">
        <v>6</v>
      </c>
      <c r="E131" s="13" t="s">
        <v>56</v>
      </c>
      <c r="F131" s="9">
        <v>62.514408602150532</v>
      </c>
      <c r="G131" t="s">
        <v>6</v>
      </c>
      <c r="I131" s="3" t="s">
        <v>27</v>
      </c>
      <c r="J131" s="9">
        <v>0.92924652881563929</v>
      </c>
      <c r="K131" s="9">
        <v>1.4125960061444118</v>
      </c>
      <c r="L131" s="9">
        <v>0.82778754578754388</v>
      </c>
      <c r="M131" s="9">
        <v>3.0421176470588307</v>
      </c>
      <c r="N131" s="9">
        <v>2.9070888157894643</v>
      </c>
      <c r="O131" s="9">
        <v>2.0894067982455624</v>
      </c>
      <c r="P131" s="9">
        <v>2.5375844298245696</v>
      </c>
      <c r="Q131" s="9">
        <v>2.9701196808510772</v>
      </c>
      <c r="R131" s="9">
        <v>0.53938087153370162</v>
      </c>
    </row>
    <row r="132" spans="1:18">
      <c r="A132" s="13"/>
      <c r="B132" s="9"/>
      <c r="E132" s="13"/>
      <c r="F132" s="9"/>
      <c r="I132" s="3" t="s">
        <v>28</v>
      </c>
      <c r="J132" s="9">
        <v>0.35885536519984385</v>
      </c>
      <c r="K132" s="9">
        <v>2.1405778491171361</v>
      </c>
      <c r="L132" s="9">
        <v>1.2099202898551056</v>
      </c>
      <c r="M132" s="9">
        <v>4.6375294117647243</v>
      </c>
      <c r="N132" s="9">
        <v>3.1307437070938064</v>
      </c>
      <c r="O132" s="9">
        <v>0.9434818262410829</v>
      </c>
      <c r="P132" s="9">
        <v>0.64673684210527682</v>
      </c>
      <c r="Q132" s="9">
        <v>8.3191599462365602</v>
      </c>
      <c r="R132" s="9">
        <v>0.37494623655913983</v>
      </c>
    </row>
    <row r="133" spans="1:18">
      <c r="A133" s="3" t="s">
        <v>17</v>
      </c>
      <c r="B133" s="9"/>
      <c r="E133" s="3" t="s">
        <v>30</v>
      </c>
      <c r="F133" s="9"/>
      <c r="I133" s="3" t="s">
        <v>18</v>
      </c>
      <c r="J133" s="12">
        <f>AVERAGE(J127:J132)</f>
        <v>0.69291012547467545</v>
      </c>
      <c r="K133" s="12">
        <f>AVERAGE(K127:K132)</f>
        <v>3.4520842440889603</v>
      </c>
      <c r="L133" s="12">
        <f>AVERAGE(L127:L132)</f>
        <v>1.2875391859549576</v>
      </c>
      <c r="M133" s="12">
        <f>AVERAGE(M127:M132)</f>
        <v>4.2045054149566923</v>
      </c>
      <c r="N133" s="12">
        <f t="shared" ref="N133:R133" si="13">AVERAGE(N127:N132)</f>
        <v>1.4613680072057893</v>
      </c>
      <c r="O133" s="12">
        <f t="shared" si="13"/>
        <v>1.1976539685908136</v>
      </c>
      <c r="P133" s="12">
        <f t="shared" si="13"/>
        <v>0.92983808479532593</v>
      </c>
      <c r="Q133" s="12">
        <f t="shared" si="13"/>
        <v>4.3227630621871596</v>
      </c>
      <c r="R133" s="12">
        <f t="shared" si="13"/>
        <v>0.46219543883731262</v>
      </c>
    </row>
    <row r="134" spans="1:18">
      <c r="A134" t="s">
        <v>50</v>
      </c>
      <c r="B134" s="9">
        <v>62.391349095966596</v>
      </c>
      <c r="C134" t="s">
        <v>6</v>
      </c>
      <c r="E134" s="13" t="s">
        <v>50</v>
      </c>
      <c r="F134" s="9">
        <v>61.392080536912772</v>
      </c>
      <c r="G134" t="s">
        <v>6</v>
      </c>
      <c r="I134" s="9"/>
      <c r="J134" s="9"/>
    </row>
    <row r="135" spans="1:18">
      <c r="A135" t="s">
        <v>51</v>
      </c>
      <c r="B135" s="9">
        <v>75.883647058823541</v>
      </c>
      <c r="C135" t="s">
        <v>6</v>
      </c>
      <c r="E135" t="s">
        <v>51</v>
      </c>
      <c r="F135" s="9">
        <v>66.243118279569899</v>
      </c>
      <c r="G135" t="s">
        <v>6</v>
      </c>
      <c r="I135" t="s">
        <v>57</v>
      </c>
    </row>
    <row r="136" spans="1:18">
      <c r="A136" t="s">
        <v>4</v>
      </c>
      <c r="B136" s="9">
        <v>49.344777777777786</v>
      </c>
      <c r="C136" t="s">
        <v>6</v>
      </c>
      <c r="E136" t="s">
        <v>4</v>
      </c>
      <c r="F136" s="9">
        <v>51.719120879120894</v>
      </c>
      <c r="G136" t="s">
        <v>6</v>
      </c>
      <c r="I136" s="9"/>
      <c r="J136" s="9"/>
      <c r="K136" s="9"/>
      <c r="L136" s="9"/>
      <c r="M136" s="9"/>
      <c r="N136" s="9"/>
      <c r="O136" s="9"/>
      <c r="P136" s="9"/>
      <c r="Q136" s="9"/>
    </row>
    <row r="137" spans="1:18">
      <c r="A137" t="s">
        <v>52</v>
      </c>
      <c r="B137" s="9">
        <v>60.652874999999995</v>
      </c>
      <c r="C137" t="s">
        <v>6</v>
      </c>
      <c r="E137" t="s">
        <v>52</v>
      </c>
      <c r="F137" s="9">
        <v>68.039647058823533</v>
      </c>
      <c r="G137" t="s">
        <v>6</v>
      </c>
      <c r="I137" s="9"/>
      <c r="J137" s="9"/>
      <c r="K137" s="9"/>
      <c r="L137" s="9"/>
      <c r="M137" s="9"/>
      <c r="N137" s="9"/>
      <c r="O137" s="9"/>
      <c r="P137" s="9"/>
      <c r="Q137" s="9"/>
    </row>
    <row r="138" spans="1:18">
      <c r="A138" t="s">
        <v>53</v>
      </c>
      <c r="B138" s="9">
        <v>54.167934782608697</v>
      </c>
      <c r="C138" t="s">
        <v>6</v>
      </c>
      <c r="E138" t="s">
        <v>53</v>
      </c>
      <c r="F138" s="9">
        <v>50.963437499999998</v>
      </c>
      <c r="G138" t="s">
        <v>6</v>
      </c>
      <c r="I138" s="9"/>
      <c r="J138" s="9"/>
      <c r="K138" s="9"/>
      <c r="L138" s="9"/>
      <c r="M138" s="9"/>
      <c r="N138" s="9"/>
      <c r="O138" s="9"/>
      <c r="P138" s="9"/>
      <c r="Q138" s="9"/>
    </row>
    <row r="139" spans="1:18">
      <c r="A139" s="13" t="s">
        <v>54</v>
      </c>
      <c r="B139" s="9">
        <v>72.983763440860201</v>
      </c>
      <c r="C139" t="s">
        <v>6</v>
      </c>
      <c r="E139" t="s">
        <v>54</v>
      </c>
      <c r="F139" s="9">
        <v>72.873052631578929</v>
      </c>
      <c r="G139" t="s">
        <v>6</v>
      </c>
      <c r="I139" s="9"/>
      <c r="J139" s="9"/>
      <c r="K139" s="9"/>
      <c r="L139" s="9"/>
      <c r="M139" s="9"/>
      <c r="N139" s="9"/>
      <c r="O139" s="9"/>
      <c r="P139" s="9"/>
      <c r="Q139" s="9"/>
    </row>
    <row r="140" spans="1:18">
      <c r="A140" t="s">
        <v>5</v>
      </c>
      <c r="B140" s="9">
        <v>56.605263157894726</v>
      </c>
      <c r="C140" t="s">
        <v>6</v>
      </c>
      <c r="E140" s="13" t="s">
        <v>5</v>
      </c>
      <c r="F140" s="9">
        <v>59.309479166666677</v>
      </c>
      <c r="G140" t="s">
        <v>6</v>
      </c>
      <c r="I140" s="9"/>
      <c r="J140" s="9"/>
      <c r="K140" s="9"/>
      <c r="L140" s="9"/>
      <c r="M140" s="9"/>
      <c r="N140" s="9"/>
      <c r="O140" s="9"/>
      <c r="P140" s="9"/>
      <c r="Q140" s="9"/>
    </row>
    <row r="141" spans="1:18">
      <c r="A141" t="s">
        <v>55</v>
      </c>
      <c r="B141" s="9">
        <v>66.607802197802229</v>
      </c>
      <c r="C141" t="s">
        <v>6</v>
      </c>
      <c r="E141" t="s">
        <v>55</v>
      </c>
      <c r="F141" s="9">
        <v>59.440744680851068</v>
      </c>
      <c r="G141" t="s">
        <v>6</v>
      </c>
      <c r="I141" s="9"/>
      <c r="J141" s="9"/>
      <c r="K141" s="9"/>
      <c r="L141" s="9"/>
      <c r="M141" s="9"/>
      <c r="N141" s="9"/>
      <c r="O141" s="9"/>
      <c r="P141" s="9"/>
      <c r="Q141" s="9"/>
    </row>
    <row r="142" spans="1:18">
      <c r="A142" s="13" t="s">
        <v>56</v>
      </c>
      <c r="B142" s="9">
        <v>63.508172043010752</v>
      </c>
      <c r="C142" t="s">
        <v>6</v>
      </c>
      <c r="E142" t="s">
        <v>56</v>
      </c>
      <c r="F142" s="9">
        <v>63.053789473684233</v>
      </c>
      <c r="G142" t="s">
        <v>6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>
      <c r="A143" s="13"/>
      <c r="B143" s="9"/>
      <c r="C143" s="9"/>
      <c r="D143" s="13"/>
      <c r="F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>
      <c r="A144" s="13"/>
      <c r="B144" s="9"/>
      <c r="C144" s="9"/>
      <c r="D144" s="13"/>
      <c r="F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>
      <c r="A145" s="13"/>
      <c r="B145" s="9"/>
      <c r="C145" s="9"/>
      <c r="D145" s="13"/>
      <c r="F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>
      <c r="A146" s="13"/>
      <c r="B146" s="9"/>
      <c r="D146" s="13"/>
      <c r="F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>
      <c r="A147" s="13"/>
      <c r="B147" s="9"/>
      <c r="D147" s="13"/>
      <c r="F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>
      <c r="B148" s="9"/>
      <c r="D148" s="13"/>
      <c r="F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>
      <c r="B149" s="9"/>
      <c r="D149" s="13"/>
      <c r="F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>
      <c r="B150" s="9"/>
      <c r="F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>
      <c r="B151" s="9"/>
      <c r="F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>
      <c r="B152" s="9"/>
      <c r="F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>
      <c r="A153" s="13"/>
      <c r="B153" s="9"/>
      <c r="F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>
      <c r="B154" s="9"/>
      <c r="F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>
      <c r="D155" s="13"/>
      <c r="F155" s="9"/>
      <c r="I155" s="9"/>
      <c r="Q155" s="9"/>
    </row>
    <row r="156" spans="1:18">
      <c r="I156" s="9"/>
    </row>
    <row r="157" spans="1:18">
      <c r="B157" s="9"/>
      <c r="D157" s="13"/>
    </row>
    <row r="158" spans="1:18">
      <c r="B158" s="9"/>
      <c r="D158" s="13"/>
      <c r="E158" s="3"/>
      <c r="F158" s="9"/>
      <c r="G158" s="9"/>
      <c r="H158" s="9"/>
      <c r="I158" s="9"/>
      <c r="J158" s="9"/>
    </row>
    <row r="159" spans="1:18">
      <c r="B159" s="9"/>
      <c r="D159" s="13"/>
      <c r="E159" s="3"/>
      <c r="F159" s="9"/>
      <c r="G159" s="9"/>
      <c r="H159" s="9"/>
      <c r="I159" s="9"/>
      <c r="J159" s="9"/>
    </row>
    <row r="160" spans="1:18">
      <c r="B160" s="9"/>
      <c r="D160" s="13"/>
      <c r="E160" s="3"/>
      <c r="F160" s="9"/>
      <c r="G160" s="9"/>
      <c r="H160" s="9"/>
      <c r="I160" s="9"/>
      <c r="J160" s="9"/>
    </row>
    <row r="161" spans="2:10">
      <c r="B161" s="9"/>
      <c r="D161" s="13"/>
      <c r="E161" s="3"/>
      <c r="F161" s="9"/>
      <c r="G161" s="9"/>
      <c r="H161" s="9"/>
      <c r="I161" s="9"/>
      <c r="J161" s="9"/>
    </row>
    <row r="162" spans="2:10">
      <c r="B162" s="9"/>
      <c r="D162" s="13"/>
      <c r="E162" s="3"/>
      <c r="F162" s="9"/>
      <c r="G162" s="9"/>
      <c r="H162" s="9"/>
      <c r="I162" s="9"/>
      <c r="J162" s="9"/>
    </row>
    <row r="163" spans="2:10">
      <c r="B163" s="9"/>
      <c r="D163" s="13"/>
      <c r="E163" s="3"/>
      <c r="F163" s="9"/>
      <c r="G163" s="9"/>
      <c r="H163" s="9"/>
      <c r="I163" s="9"/>
      <c r="J163" s="9"/>
    </row>
    <row r="164" spans="2:10">
      <c r="B164" s="9"/>
      <c r="D164" s="13"/>
      <c r="E164" s="3"/>
      <c r="F164" s="9"/>
      <c r="G164" s="9"/>
      <c r="H164" s="9"/>
      <c r="I164" s="9"/>
      <c r="J164" s="9"/>
    </row>
    <row r="165" spans="2:10">
      <c r="B165" s="9"/>
    </row>
    <row r="166" spans="2:10">
      <c r="B166" s="9"/>
    </row>
    <row r="167" spans="2:10">
      <c r="B167" s="9"/>
    </row>
    <row r="168" spans="2:10">
      <c r="B168" s="9"/>
    </row>
    <row r="169" spans="2:10">
      <c r="B169" s="9"/>
    </row>
    <row r="170" spans="2:10">
      <c r="B170" s="9"/>
      <c r="D170" s="13"/>
    </row>
    <row r="172" spans="2:10">
      <c r="B172" s="9"/>
      <c r="D172" s="13"/>
    </row>
    <row r="173" spans="2:10">
      <c r="B173" s="9"/>
      <c r="D173" s="13"/>
    </row>
    <row r="174" spans="2:10">
      <c r="B174" s="9"/>
      <c r="D174" s="13"/>
    </row>
    <row r="175" spans="2:10">
      <c r="B175" s="9"/>
      <c r="D175" s="13"/>
    </row>
    <row r="176" spans="2:10">
      <c r="B176" s="9"/>
      <c r="D176" s="13"/>
    </row>
    <row r="177" spans="1:4">
      <c r="B177" s="9"/>
      <c r="D177" s="13"/>
    </row>
    <row r="178" spans="1:4">
      <c r="B178" s="9"/>
      <c r="D178" s="13"/>
    </row>
    <row r="179" spans="1:4">
      <c r="B179" s="9"/>
      <c r="D179" s="13"/>
    </row>
    <row r="180" spans="1:4">
      <c r="B180" s="9"/>
    </row>
    <row r="181" spans="1:4">
      <c r="B181" s="9"/>
    </row>
    <row r="182" spans="1:4">
      <c r="B182" s="9"/>
    </row>
    <row r="183" spans="1:4">
      <c r="B183" s="9"/>
    </row>
    <row r="184" spans="1:4">
      <c r="B184" s="9"/>
    </row>
    <row r="185" spans="1:4">
      <c r="B185" s="9"/>
      <c r="D185" s="13"/>
    </row>
    <row r="187" spans="1:4">
      <c r="A187" s="13"/>
      <c r="B187" s="9"/>
      <c r="D187" s="13"/>
    </row>
    <row r="188" spans="1:4">
      <c r="A188" s="13"/>
      <c r="B188" s="9"/>
      <c r="D188" s="13"/>
    </row>
    <row r="189" spans="1:4">
      <c r="A189" s="13"/>
      <c r="B189" s="9"/>
      <c r="D189" s="13"/>
    </row>
    <row r="190" spans="1:4">
      <c r="A190" s="13"/>
      <c r="B190" s="9"/>
      <c r="D190" s="13"/>
    </row>
    <row r="191" spans="1:4">
      <c r="A191" s="13"/>
      <c r="B191" s="9"/>
      <c r="D191" s="13"/>
    </row>
    <row r="192" spans="1:4">
      <c r="A192" s="13"/>
      <c r="B192" s="9"/>
      <c r="D192" s="13"/>
    </row>
    <row r="193" spans="1:4">
      <c r="A193" s="13"/>
      <c r="B193" s="9"/>
      <c r="D193" s="13"/>
    </row>
    <row r="194" spans="1:4">
      <c r="A194" s="13"/>
      <c r="B194" s="9"/>
      <c r="D194" s="13"/>
    </row>
    <row r="195" spans="1:4">
      <c r="B195" s="9"/>
    </row>
    <row r="196" spans="1:4">
      <c r="B196" s="9"/>
    </row>
    <row r="197" spans="1:4">
      <c r="B197" s="9"/>
    </row>
    <row r="198" spans="1:4">
      <c r="B198" s="9"/>
    </row>
    <row r="199" spans="1:4">
      <c r="B199" s="9"/>
    </row>
    <row r="200" spans="1:4">
      <c r="A200" s="13"/>
      <c r="B200" s="9"/>
      <c r="D2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4AE8-837C-414E-897F-3E5E42238519}">
  <dimension ref="A1:V176"/>
  <sheetViews>
    <sheetView topLeftCell="A36" zoomScaleNormal="100" workbookViewId="0">
      <selection activeCell="F70" sqref="F70"/>
    </sheetView>
  </sheetViews>
  <sheetFormatPr defaultRowHeight="15"/>
  <cols>
    <col min="1" max="1" width="24.140625" bestFit="1" customWidth="1"/>
    <col min="2" max="2" width="20" bestFit="1" customWidth="1"/>
    <col min="4" max="4" width="15.7109375" bestFit="1" customWidth="1"/>
    <col min="5" max="5" width="25.140625" customWidth="1"/>
    <col min="6" max="6" width="20.85546875" customWidth="1"/>
    <col min="7" max="7" width="23.7109375" bestFit="1" customWidth="1"/>
    <col min="8" max="8" width="22" bestFit="1" customWidth="1"/>
    <col min="9" max="9" width="23" bestFit="1" customWidth="1"/>
    <col min="10" max="10" width="25.5703125" bestFit="1" customWidth="1"/>
    <col min="11" max="11" width="18.5703125" bestFit="1" customWidth="1"/>
    <col min="12" max="12" width="18.85546875" bestFit="1" customWidth="1"/>
    <col min="14" max="14" width="19.5703125" bestFit="1" customWidth="1"/>
    <col min="15" max="15" width="20.5703125" bestFit="1" customWidth="1"/>
    <col min="17" max="17" width="19" bestFit="1" customWidth="1"/>
    <col min="18" max="18" width="19.28515625" bestFit="1" customWidth="1"/>
    <col min="20" max="20" width="18.5703125" bestFit="1" customWidth="1"/>
    <col min="21" max="21" width="19.5703125" bestFit="1" customWidth="1"/>
  </cols>
  <sheetData>
    <row r="1" spans="1:9" ht="23.25">
      <c r="A1" s="1" t="s">
        <v>0</v>
      </c>
    </row>
    <row r="2" spans="1:9">
      <c r="A2" s="3" t="s">
        <v>58</v>
      </c>
    </row>
    <row r="3" spans="1:9">
      <c r="B3" s="3" t="s">
        <v>59</v>
      </c>
      <c r="C3" s="3" t="s">
        <v>4</v>
      </c>
      <c r="D3" s="3" t="s">
        <v>5</v>
      </c>
      <c r="E3" s="3" t="s">
        <v>60</v>
      </c>
      <c r="F3" s="3" t="s">
        <v>61</v>
      </c>
      <c r="G3" s="3" t="s">
        <v>62</v>
      </c>
    </row>
    <row r="4" spans="1:9">
      <c r="A4" s="10" t="s">
        <v>2</v>
      </c>
      <c r="B4" s="14" cm="1">
        <f t="array" ref="B4:D4">TRANSPOSE('Traffic Volumes'!B8:B10)</f>
        <v>76294</v>
      </c>
      <c r="C4" s="14">
        <v>32915</v>
      </c>
      <c r="D4" s="14">
        <v>43379</v>
      </c>
      <c r="E4" s="4">
        <f>B$10/B4</f>
        <v>0.84726627694619938</v>
      </c>
      <c r="F4" s="4">
        <f>C$10/C4</f>
        <v>0.85633196617550256</v>
      </c>
      <c r="G4" s="4">
        <f>D$10/D4</f>
        <v>0.84038743785395387</v>
      </c>
    </row>
    <row r="5" spans="1:9">
      <c r="A5" s="3" t="s">
        <v>11</v>
      </c>
      <c r="B5" s="14" cm="1">
        <f t="array" ref="B5:D5">TRANSPOSE('Traffic Volumes'!H8:H10)</f>
        <v>83144</v>
      </c>
      <c r="C5" s="14">
        <v>35669</v>
      </c>
      <c r="D5" s="14">
        <v>47475</v>
      </c>
      <c r="E5" s="4">
        <f>B$10/B5</f>
        <v>0.77746239456044131</v>
      </c>
      <c r="F5" s="4">
        <f>C$10/C5</f>
        <v>0.7902146588540937</v>
      </c>
      <c r="G5" s="4">
        <f>D$10/D5</f>
        <v>0.76788134105669648</v>
      </c>
    </row>
    <row r="6" spans="1:9">
      <c r="A6" s="3" t="s">
        <v>17</v>
      </c>
      <c r="B6" s="14" cm="1">
        <f t="array" ref="B6:D6">TRANSPOSE('Traffic Volumes'!N8:N10)</f>
        <v>86218</v>
      </c>
      <c r="C6" s="14">
        <v>36652</v>
      </c>
      <c r="D6" s="14">
        <v>49566</v>
      </c>
      <c r="E6" s="4">
        <f>B$10/B6</f>
        <v>0.74974289978117492</v>
      </c>
      <c r="F6" s="4">
        <f>C$10/C6</f>
        <v>0.76902124486158108</v>
      </c>
      <c r="G6" s="4">
        <f>D$10/D6</f>
        <v>0.73548736364981371</v>
      </c>
    </row>
    <row r="7" spans="1:9">
      <c r="A7" s="3" t="s">
        <v>21</v>
      </c>
      <c r="B7" s="14" cm="1">
        <f t="array" ref="B7:D7">TRANSPOSE('Traffic Volumes'!T8:T10)</f>
        <v>54952</v>
      </c>
      <c r="C7" s="14">
        <v>24357</v>
      </c>
      <c r="D7" s="14">
        <v>30595</v>
      </c>
      <c r="E7" s="4">
        <f>B$10/B7</f>
        <v>1.1763235793662348</v>
      </c>
      <c r="F7" s="4">
        <f>C$10/C7</f>
        <v>1.157210110714237</v>
      </c>
      <c r="G7" s="4">
        <f>D$10/D7</f>
        <v>1.191540011984529</v>
      </c>
    </row>
    <row r="8" spans="1:9">
      <c r="A8" s="3" t="s">
        <v>26</v>
      </c>
      <c r="B8" s="14" cm="1">
        <f t="array" ref="B8:D8">TRANSPOSE('Traffic Volumes'!Z8:Z10)</f>
        <v>43881</v>
      </c>
      <c r="C8" s="14">
        <v>19672</v>
      </c>
      <c r="D8" s="14">
        <v>24209</v>
      </c>
      <c r="E8" s="4">
        <f>B$10/B8</f>
        <v>1.4731052923436871</v>
      </c>
      <c r="F8" s="4">
        <f>C$10/C8</f>
        <v>1.4328063575979395</v>
      </c>
      <c r="G8" s="4">
        <f>D$10/D8</f>
        <v>1.5058518181943354</v>
      </c>
    </row>
    <row r="9" spans="1:9">
      <c r="A9" s="3" t="s">
        <v>30</v>
      </c>
      <c r="B9" s="14" cm="1">
        <f t="array" ref="B9:D9">TRANSPOSE('Traffic Volumes'!AF8:AF10)</f>
        <v>43359</v>
      </c>
      <c r="C9" s="14">
        <v>19852</v>
      </c>
      <c r="D9" s="14">
        <v>23507</v>
      </c>
      <c r="E9" s="4">
        <f>B$10/B9</f>
        <v>1.4908400408988522</v>
      </c>
      <c r="F9" s="4">
        <f>C$10/C9</f>
        <v>1.4198149640674325</v>
      </c>
      <c r="G9" s="4">
        <f>D$10/D9</f>
        <v>1.5508217410416754</v>
      </c>
    </row>
    <row r="10" spans="1:9">
      <c r="A10" s="3" t="s">
        <v>63</v>
      </c>
      <c r="B10" s="15">
        <f>AVERAGE(B4:B9)</f>
        <v>64641.333333333336</v>
      </c>
      <c r="C10" s="15">
        <f>AVERAGE(C4:C9)</f>
        <v>28186.166666666668</v>
      </c>
      <c r="D10" s="15">
        <f>AVERAGE(D4:D9)</f>
        <v>36455.166666666664</v>
      </c>
      <c r="E10" s="4">
        <f>B$10/B10</f>
        <v>1</v>
      </c>
      <c r="F10" s="4">
        <f>C$10/C10</f>
        <v>1</v>
      </c>
      <c r="G10" s="4">
        <f>D$10/D10</f>
        <v>1</v>
      </c>
    </row>
    <row r="12" spans="1:9">
      <c r="F12" s="3" t="s">
        <v>64</v>
      </c>
    </row>
    <row r="13" spans="1:9">
      <c r="A13" s="10" t="s">
        <v>2</v>
      </c>
      <c r="B13" s="3" t="s">
        <v>65</v>
      </c>
      <c r="D13" s="3" t="s">
        <v>66</v>
      </c>
      <c r="G13" s="3" t="s">
        <v>3</v>
      </c>
      <c r="H13" s="3" t="s">
        <v>4</v>
      </c>
      <c r="I13" s="3" t="s">
        <v>5</v>
      </c>
    </row>
    <row r="14" spans="1:9">
      <c r="A14" t="s">
        <v>3</v>
      </c>
      <c r="B14" s="9">
        <v>19.642552083333339</v>
      </c>
      <c r="C14" t="s">
        <v>6</v>
      </c>
      <c r="D14" s="9">
        <f>B14*E4</f>
        <v>16.642471973367652</v>
      </c>
      <c r="E14" t="s">
        <v>6</v>
      </c>
      <c r="F14" s="3" t="s">
        <v>7</v>
      </c>
      <c r="G14" s="9">
        <f>D29-D14</f>
        <v>6.7796008962882901</v>
      </c>
      <c r="H14" s="9">
        <f>D30-D15</f>
        <v>3.8624769117411866</v>
      </c>
      <c r="I14" s="9">
        <f>D31-D16</f>
        <v>9.7911909435531967</v>
      </c>
    </row>
    <row r="15" spans="1:9">
      <c r="A15" t="s">
        <v>4</v>
      </c>
      <c r="B15" s="9">
        <v>16.134583333333342</v>
      </c>
      <c r="C15" t="s">
        <v>6</v>
      </c>
      <c r="D15" s="9">
        <f>B15*F4</f>
        <v>13.816559469255836</v>
      </c>
      <c r="E15" t="s">
        <v>6</v>
      </c>
      <c r="F15" s="3" t="s">
        <v>8</v>
      </c>
      <c r="G15" s="9">
        <f>D29-D19</f>
        <v>7.3724550404479849</v>
      </c>
      <c r="H15" s="9">
        <f>D30-D15</f>
        <v>3.8624769117411866</v>
      </c>
      <c r="I15" s="9">
        <f>D31-D21</f>
        <v>10.714181603457874</v>
      </c>
    </row>
    <row r="16" spans="1:9">
      <c r="A16" t="s">
        <v>5</v>
      </c>
      <c r="B16" s="9">
        <v>23.150520833333331</v>
      </c>
      <c r="C16" t="s">
        <v>6</v>
      </c>
      <c r="D16" s="9">
        <f>B16*G4</f>
        <v>19.455406888109579</v>
      </c>
      <c r="E16" t="s">
        <v>6</v>
      </c>
      <c r="F16" s="3" t="s">
        <v>9</v>
      </c>
      <c r="G16" s="9">
        <f>D29-D24</f>
        <v>8.8774511049947833</v>
      </c>
      <c r="H16" s="9">
        <f>D30-D25</f>
        <v>5.028717009403687</v>
      </c>
      <c r="I16" s="9">
        <f>D31-D26</f>
        <v>12.809144773492861</v>
      </c>
    </row>
    <row r="17" spans="1:9">
      <c r="F17" s="3" t="s">
        <v>10</v>
      </c>
      <c r="G17" s="9">
        <f>D34-D14</f>
        <v>12.32483928859336</v>
      </c>
      <c r="H17" s="9">
        <f>D35-D15</f>
        <v>7.190620493063701</v>
      </c>
      <c r="I17" s="9">
        <f>D36-D16</f>
        <v>17.688937960684022</v>
      </c>
    </row>
    <row r="18" spans="1:9">
      <c r="A18" s="3" t="s">
        <v>11</v>
      </c>
      <c r="F18" s="3" t="s">
        <v>12</v>
      </c>
      <c r="G18" s="9">
        <f>D34-D19</f>
        <v>12.917693432753055</v>
      </c>
      <c r="H18" s="9">
        <f>D35-D20</f>
        <v>7.4528583982707612</v>
      </c>
      <c r="I18" s="9">
        <f>D36-D21</f>
        <v>18.611928620588699</v>
      </c>
    </row>
    <row r="19" spans="1:9">
      <c r="A19" t="s">
        <v>3</v>
      </c>
      <c r="B19" s="9">
        <v>20.643593749999997</v>
      </c>
      <c r="C19" t="s">
        <v>6</v>
      </c>
      <c r="D19" s="9">
        <f>B19*E5</f>
        <v>16.049617829207957</v>
      </c>
      <c r="E19" t="s">
        <v>6</v>
      </c>
      <c r="F19" s="3" t="s">
        <v>13</v>
      </c>
      <c r="G19" s="9">
        <f>D34-D24</f>
        <v>14.422689497299853</v>
      </c>
      <c r="H19" s="9">
        <f>D35-D25</f>
        <v>8.3568605907262015</v>
      </c>
      <c r="I19" s="9">
        <f>D36-D26</f>
        <v>20.706891790623686</v>
      </c>
    </row>
    <row r="20" spans="1:9">
      <c r="A20" t="s">
        <v>4</v>
      </c>
      <c r="B20" s="9">
        <v>17.15270833333334</v>
      </c>
      <c r="C20" t="s">
        <v>6</v>
      </c>
      <c r="D20" s="9">
        <f>B20*F5</f>
        <v>13.554321564048776</v>
      </c>
      <c r="E20" t="s">
        <v>6</v>
      </c>
      <c r="F20" s="3" t="s">
        <v>14</v>
      </c>
      <c r="G20" s="9">
        <f>D39-D14</f>
        <v>13.463877933802706</v>
      </c>
      <c r="H20" s="9">
        <f>D40-D15</f>
        <v>8.571260361029946</v>
      </c>
      <c r="I20" s="9">
        <f>D41-D16</f>
        <v>18.726309008130556</v>
      </c>
    </row>
    <row r="21" spans="1:9">
      <c r="A21" t="s">
        <v>5</v>
      </c>
      <c r="B21" s="9">
        <v>24.134479166666665</v>
      </c>
      <c r="C21" t="s">
        <v>6</v>
      </c>
      <c r="D21" s="9">
        <f>B21*G5</f>
        <v>18.532416228204902</v>
      </c>
      <c r="E21" t="s">
        <v>6</v>
      </c>
      <c r="F21" s="3" t="s">
        <v>15</v>
      </c>
      <c r="G21" s="9">
        <f>D39-D19</f>
        <v>14.056732077962401</v>
      </c>
      <c r="H21" s="9">
        <f>D40-D20</f>
        <v>8.8334982662370063</v>
      </c>
      <c r="I21" s="9">
        <f>D41-D21</f>
        <v>19.649299668035233</v>
      </c>
    </row>
    <row r="22" spans="1:9">
      <c r="F22" s="3" t="s">
        <v>16</v>
      </c>
      <c r="G22" s="9">
        <f>D39-D24</f>
        <v>15.5617281425092</v>
      </c>
      <c r="H22" s="9">
        <f>D40-D25</f>
        <v>9.7375004586924465</v>
      </c>
      <c r="I22" s="9">
        <f>D41-D26</f>
        <v>21.74426283807022</v>
      </c>
    </row>
    <row r="23" spans="1:9">
      <c r="A23" s="3" t="s">
        <v>17</v>
      </c>
      <c r="F23" s="3" t="s">
        <v>18</v>
      </c>
      <c r="G23" s="12">
        <f>AVERAGE(G14:G22)</f>
        <v>11.753007490516849</v>
      </c>
      <c r="H23" s="12">
        <f>AVERAGE(H14:H22)</f>
        <v>6.9884743778784575</v>
      </c>
      <c r="I23" s="12">
        <f>AVERAGE(I14:I22)</f>
        <v>16.715794134070705</v>
      </c>
    </row>
    <row r="24" spans="1:9">
      <c r="A24" t="s">
        <v>3</v>
      </c>
      <c r="B24" s="9">
        <v>19.399479166666669</v>
      </c>
      <c r="C24" t="s">
        <v>6</v>
      </c>
      <c r="D24" s="9">
        <f>B24*E6</f>
        <v>14.544621764661159</v>
      </c>
      <c r="E24" t="s">
        <v>6</v>
      </c>
    </row>
    <row r="25" spans="1:9">
      <c r="A25" t="s">
        <v>4</v>
      </c>
      <c r="B25" s="9">
        <v>16.449895833333333</v>
      </c>
      <c r="C25" t="s">
        <v>6</v>
      </c>
      <c r="D25" s="9">
        <f>B25*F6</f>
        <v>12.650319371593335</v>
      </c>
      <c r="E25" t="s">
        <v>6</v>
      </c>
    </row>
    <row r="26" spans="1:9">
      <c r="A26" t="s">
        <v>5</v>
      </c>
      <c r="B26" s="9">
        <v>22.349062500000002</v>
      </c>
      <c r="C26" t="s">
        <v>6</v>
      </c>
      <c r="D26" s="9">
        <f>B26*G6</f>
        <v>16.437453058169915</v>
      </c>
      <c r="E26" t="s">
        <v>6</v>
      </c>
    </row>
    <row r="27" spans="1:9">
      <c r="D27" s="9"/>
      <c r="F27" s="3" t="s">
        <v>67</v>
      </c>
    </row>
    <row r="28" spans="1:9">
      <c r="A28" s="3" t="s">
        <v>21</v>
      </c>
      <c r="G28" s="3" t="s">
        <v>3</v>
      </c>
      <c r="H28" s="3" t="s">
        <v>4</v>
      </c>
      <c r="I28" s="3" t="s">
        <v>5</v>
      </c>
    </row>
    <row r="29" spans="1:9">
      <c r="A29" t="s">
        <v>3</v>
      </c>
      <c r="B29" s="9">
        <v>19.911249999999999</v>
      </c>
      <c r="C29" t="s">
        <v>6</v>
      </c>
      <c r="D29" s="9">
        <f>B29*E7</f>
        <v>23.422072869655942</v>
      </c>
      <c r="E29" t="s">
        <v>6</v>
      </c>
      <c r="F29" s="3" t="s">
        <v>22</v>
      </c>
      <c r="G29" s="9">
        <f>ABS(D24-D14)</f>
        <v>2.0978502087064932</v>
      </c>
      <c r="H29" s="9">
        <f>ABS(D25-D15)</f>
        <v>1.1662400976625005</v>
      </c>
      <c r="I29" s="9">
        <f>ABS(D26-D16)</f>
        <v>3.017953829939664</v>
      </c>
    </row>
    <row r="30" spans="1:9">
      <c r="A30" t="s">
        <v>4</v>
      </c>
      <c r="B30" s="9">
        <v>15.277291666666665</v>
      </c>
      <c r="C30" t="s">
        <v>6</v>
      </c>
      <c r="D30" s="9">
        <f>B30*F7</f>
        <v>17.679036380997022</v>
      </c>
      <c r="E30" t="s">
        <v>6</v>
      </c>
      <c r="F30" s="3" t="s">
        <v>23</v>
      </c>
      <c r="G30" s="9">
        <f>ABS(D24-D19)</f>
        <v>1.5049960645467984</v>
      </c>
      <c r="H30" s="9">
        <f>ABS(D25-D20)</f>
        <v>0.90400219245544022</v>
      </c>
      <c r="I30" s="9">
        <f>ABS(D26-D21)</f>
        <v>2.0949631700349869</v>
      </c>
    </row>
    <row r="31" spans="1:9">
      <c r="A31" t="s">
        <v>5</v>
      </c>
      <c r="B31" s="9">
        <v>24.545208333333346</v>
      </c>
      <c r="C31" t="s">
        <v>6</v>
      </c>
      <c r="D31" s="9">
        <f>B31*G7</f>
        <v>29.246597831662775</v>
      </c>
      <c r="E31" t="s">
        <v>6</v>
      </c>
      <c r="F31" s="3" t="s">
        <v>24</v>
      </c>
      <c r="G31" s="9">
        <f>ABS(D19-D14)</f>
        <v>0.59285414415969484</v>
      </c>
      <c r="H31" s="9">
        <f>ABS(D20-D15)</f>
        <v>0.26223790520706025</v>
      </c>
      <c r="I31" s="9">
        <f>ABS(D21-D16)</f>
        <v>0.9229906599046771</v>
      </c>
    </row>
    <row r="32" spans="1:9">
      <c r="F32" s="3" t="s">
        <v>25</v>
      </c>
      <c r="G32" s="9">
        <f>ABS(D39-D29)</f>
        <v>6.6842770375144163</v>
      </c>
      <c r="H32" s="9">
        <f>ABS(D40-D30)</f>
        <v>4.7087834492887595</v>
      </c>
      <c r="I32" s="9">
        <f>ABS(D41-D31)</f>
        <v>8.9351180645773596</v>
      </c>
    </row>
    <row r="33" spans="1:15">
      <c r="A33" s="3" t="s">
        <v>26</v>
      </c>
      <c r="F33" s="3" t="s">
        <v>27</v>
      </c>
      <c r="G33" s="9">
        <f>ABS(D39-D34)</f>
        <v>1.1390386452093466</v>
      </c>
      <c r="H33" s="9">
        <f>ABS(D40-D35)</f>
        <v>1.380639867966245</v>
      </c>
      <c r="I33" s="9">
        <f>ABS(D41-D36)</f>
        <v>1.0373710474465341</v>
      </c>
    </row>
    <row r="34" spans="1:15">
      <c r="A34" t="s">
        <v>3</v>
      </c>
      <c r="B34" s="9">
        <v>19.664114583333333</v>
      </c>
      <c r="C34" t="s">
        <v>6</v>
      </c>
      <c r="D34" s="9">
        <f>B34*E8</f>
        <v>28.967311261961012</v>
      </c>
      <c r="E34" t="s">
        <v>6</v>
      </c>
      <c r="F34" s="3" t="s">
        <v>28</v>
      </c>
      <c r="G34" s="9">
        <f>ABS(D34-D29)</f>
        <v>5.5452383923050697</v>
      </c>
      <c r="H34" s="9">
        <f>ABS(D35-D30)</f>
        <v>3.3281435813225144</v>
      </c>
      <c r="I34" s="9">
        <f>ABS(D36-D31)</f>
        <v>7.8977470171308255</v>
      </c>
    </row>
    <row r="35" spans="1:15">
      <c r="A35" t="s">
        <v>4</v>
      </c>
      <c r="B35" s="9">
        <v>14.661562499999997</v>
      </c>
      <c r="C35" t="s">
        <v>6</v>
      </c>
      <c r="D35" s="9">
        <f>B35*F8</f>
        <v>21.007179962319537</v>
      </c>
      <c r="E35" t="s">
        <v>6</v>
      </c>
      <c r="F35" s="3" t="s">
        <v>18</v>
      </c>
      <c r="G35" s="12">
        <f>AVERAGE(G29:G34)</f>
        <v>2.9273757487403032</v>
      </c>
      <c r="H35" s="12">
        <f>AVERAGE(H29:H34)</f>
        <v>1.9583411823170866</v>
      </c>
      <c r="I35" s="12">
        <f>AVERAGE(I29:I34)</f>
        <v>3.9843572981723412</v>
      </c>
    </row>
    <row r="36" spans="1:15">
      <c r="A36" t="s">
        <v>5</v>
      </c>
      <c r="B36" s="9">
        <v>24.666666666666661</v>
      </c>
      <c r="C36" t="s">
        <v>6</v>
      </c>
      <c r="D36" s="9">
        <f>B36*G8</f>
        <v>37.144344848793601</v>
      </c>
      <c r="E36" t="s">
        <v>6</v>
      </c>
    </row>
    <row r="38" spans="1:15">
      <c r="A38" s="3" t="s">
        <v>30</v>
      </c>
    </row>
    <row r="39" spans="1:15">
      <c r="A39" t="s">
        <v>3</v>
      </c>
      <c r="B39" s="9">
        <v>20.194218749999994</v>
      </c>
      <c r="C39" t="s">
        <v>6</v>
      </c>
      <c r="D39" s="9">
        <f>B39*E9</f>
        <v>30.106349907170358</v>
      </c>
      <c r="E39" t="s">
        <v>6</v>
      </c>
    </row>
    <row r="40" spans="1:15">
      <c r="A40" t="s">
        <v>4</v>
      </c>
      <c r="B40" s="9">
        <v>15.768124999999998</v>
      </c>
      <c r="C40" t="s">
        <v>6</v>
      </c>
      <c r="D40" s="9">
        <f>B40*F9</f>
        <v>22.387819830285782</v>
      </c>
      <c r="E40" t="s">
        <v>6</v>
      </c>
    </row>
    <row r="41" spans="1:15">
      <c r="A41" t="s">
        <v>5</v>
      </c>
      <c r="B41" s="9">
        <v>24.620312500000008</v>
      </c>
      <c r="C41" t="s">
        <v>6</v>
      </c>
      <c r="D41" s="9">
        <f>B41*G9</f>
        <v>38.181715896240135</v>
      </c>
      <c r="E41" t="s">
        <v>6</v>
      </c>
    </row>
    <row r="42" spans="1:15" ht="15.75" thickBo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ht="23.25">
      <c r="A43" s="1" t="s">
        <v>32</v>
      </c>
    </row>
    <row r="44" spans="1:15">
      <c r="A44" s="3" t="s">
        <v>58</v>
      </c>
    </row>
    <row r="45" spans="1:15">
      <c r="B45" s="3" t="s">
        <v>59</v>
      </c>
      <c r="C45" s="3" t="s">
        <v>4</v>
      </c>
      <c r="D45" s="3" t="s">
        <v>5</v>
      </c>
      <c r="E45" s="3" t="s">
        <v>60</v>
      </c>
      <c r="F45" s="3" t="s">
        <v>61</v>
      </c>
      <c r="G45" s="3" t="s">
        <v>62</v>
      </c>
    </row>
    <row r="46" spans="1:15">
      <c r="A46" s="10" t="s">
        <v>2</v>
      </c>
      <c r="B46" s="14">
        <v>76294</v>
      </c>
      <c r="C46" s="14">
        <v>32915</v>
      </c>
      <c r="D46" s="14">
        <v>43379</v>
      </c>
      <c r="E46" s="4">
        <f>B$10/B46</f>
        <v>0.84726627694619938</v>
      </c>
      <c r="F46" s="4">
        <f>C$10/C46</f>
        <v>0.85633196617550256</v>
      </c>
      <c r="G46" s="4">
        <f>D$10/D46</f>
        <v>0.84038743785395387</v>
      </c>
    </row>
    <row r="47" spans="1:15">
      <c r="A47" s="3" t="s">
        <v>11</v>
      </c>
      <c r="B47" s="14">
        <v>83144</v>
      </c>
      <c r="C47" s="14">
        <v>35669</v>
      </c>
      <c r="D47" s="14">
        <v>47475</v>
      </c>
      <c r="E47" s="4">
        <f>B$10/B47</f>
        <v>0.77746239456044131</v>
      </c>
      <c r="F47" s="4">
        <f>C$10/C47</f>
        <v>0.7902146588540937</v>
      </c>
      <c r="G47" s="4">
        <f>D$10/D47</f>
        <v>0.76788134105669648</v>
      </c>
    </row>
    <row r="48" spans="1:15">
      <c r="A48" s="3" t="s">
        <v>17</v>
      </c>
      <c r="B48" s="14">
        <v>86218</v>
      </c>
      <c r="C48" s="14">
        <v>36652</v>
      </c>
      <c r="D48" s="14">
        <v>49566</v>
      </c>
      <c r="E48" s="4">
        <f>B$10/B48</f>
        <v>0.74974289978117492</v>
      </c>
      <c r="F48" s="4">
        <f>C$10/C48</f>
        <v>0.76902124486158108</v>
      </c>
      <c r="G48" s="4">
        <f>D$10/D48</f>
        <v>0.73548736364981371</v>
      </c>
    </row>
    <row r="49" spans="1:9">
      <c r="A49" s="3" t="s">
        <v>21</v>
      </c>
      <c r="B49" s="14">
        <v>54952</v>
      </c>
      <c r="C49" s="14">
        <v>24357</v>
      </c>
      <c r="D49" s="14">
        <v>30595</v>
      </c>
      <c r="E49" s="4">
        <f>B$10/B49</f>
        <v>1.1763235793662348</v>
      </c>
      <c r="F49" s="4">
        <f>C$10/C49</f>
        <v>1.157210110714237</v>
      </c>
      <c r="G49" s="4">
        <f>D$10/D49</f>
        <v>1.191540011984529</v>
      </c>
    </row>
    <row r="50" spans="1:9">
      <c r="A50" s="3" t="s">
        <v>26</v>
      </c>
      <c r="B50" s="14">
        <v>43881</v>
      </c>
      <c r="C50" s="14">
        <v>19672</v>
      </c>
      <c r="D50" s="14">
        <v>24209</v>
      </c>
      <c r="E50" s="4">
        <f>B$10/B50</f>
        <v>1.4731052923436871</v>
      </c>
      <c r="F50" s="4">
        <f>C$10/C50</f>
        <v>1.4328063575979395</v>
      </c>
      <c r="G50" s="4">
        <f>D$10/D50</f>
        <v>1.5058518181943354</v>
      </c>
    </row>
    <row r="51" spans="1:9">
      <c r="A51" s="3" t="s">
        <v>30</v>
      </c>
      <c r="B51" s="14">
        <v>43359</v>
      </c>
      <c r="C51" s="14">
        <v>19852</v>
      </c>
      <c r="D51" s="14">
        <v>23507</v>
      </c>
      <c r="E51" s="4">
        <f>B$10/B51</f>
        <v>1.4908400408988522</v>
      </c>
      <c r="F51" s="4">
        <f>C$10/C51</f>
        <v>1.4198149640674325</v>
      </c>
      <c r="G51" s="4">
        <f>D$10/D51</f>
        <v>1.5508217410416754</v>
      </c>
    </row>
    <row r="52" spans="1:9">
      <c r="A52" s="3" t="s">
        <v>63</v>
      </c>
      <c r="B52" s="15">
        <f>AVERAGE(B46:B51)</f>
        <v>64641.333333333336</v>
      </c>
      <c r="C52" s="15">
        <f>AVERAGE(C46:C51)</f>
        <v>28186.166666666668</v>
      </c>
      <c r="D52" s="15">
        <f>AVERAGE(D46:D51)</f>
        <v>36455.166666666664</v>
      </c>
      <c r="E52" s="4">
        <f>B$10/B52</f>
        <v>1</v>
      </c>
      <c r="F52" s="4">
        <f>C$10/C52</f>
        <v>1</v>
      </c>
      <c r="G52" s="4">
        <f>D$10/D52</f>
        <v>1</v>
      </c>
    </row>
    <row r="54" spans="1:9">
      <c r="F54" s="3" t="s">
        <v>68</v>
      </c>
    </row>
    <row r="55" spans="1:9">
      <c r="A55" s="10" t="s">
        <v>2</v>
      </c>
      <c r="B55" s="3" t="s">
        <v>36</v>
      </c>
      <c r="D55" s="3" t="s">
        <v>69</v>
      </c>
      <c r="G55" s="3" t="s">
        <v>34</v>
      </c>
      <c r="H55" s="3" t="s">
        <v>4</v>
      </c>
      <c r="I55" s="3" t="s">
        <v>5</v>
      </c>
    </row>
    <row r="56" spans="1:9">
      <c r="A56" t="s">
        <v>35</v>
      </c>
      <c r="B56" s="9">
        <v>51.80203124999997</v>
      </c>
      <c r="C56" t="s">
        <v>36</v>
      </c>
      <c r="D56" s="9">
        <f>B56*E46</f>
        <v>43.890114155438148</v>
      </c>
      <c r="E56" t="s">
        <v>36</v>
      </c>
      <c r="F56" s="3" t="s">
        <v>7</v>
      </c>
      <c r="G56" s="9">
        <f>D71-D56</f>
        <v>17.511771080767993</v>
      </c>
      <c r="H56" s="9">
        <f>D72-D57</f>
        <v>13.816529332660267</v>
      </c>
      <c r="I56" s="9">
        <f>D73-D58</f>
        <v>21.171114464032712</v>
      </c>
    </row>
    <row r="57" spans="1:9">
      <c r="A57" t="s">
        <v>4</v>
      </c>
      <c r="B57" s="9">
        <v>46.609375</v>
      </c>
      <c r="C57" t="s">
        <v>36</v>
      </c>
      <c r="D57" s="9">
        <f>B57*F46</f>
        <v>39.913097735961315</v>
      </c>
      <c r="E57" t="s">
        <v>36</v>
      </c>
      <c r="F57" s="3" t="s">
        <v>8</v>
      </c>
      <c r="G57" s="9">
        <f>D71-D61</f>
        <v>19.024758693033384</v>
      </c>
      <c r="H57" s="9">
        <f>D72-D57</f>
        <v>13.816529332660267</v>
      </c>
      <c r="I57" s="9">
        <f>D73-D63</f>
        <v>23.777972540964804</v>
      </c>
    </row>
    <row r="58" spans="1:9">
      <c r="A58" t="s">
        <v>5</v>
      </c>
      <c r="B58" s="9">
        <v>56.994687499999998</v>
      </c>
      <c r="C58" t="s">
        <v>36</v>
      </c>
      <c r="D58" s="9">
        <f>B58*G46</f>
        <v>47.897619399411766</v>
      </c>
      <c r="E58" t="s">
        <v>36</v>
      </c>
      <c r="F58" s="3" t="s">
        <v>9</v>
      </c>
      <c r="G58" s="9">
        <f>D71-D66</f>
        <v>23.568413696201603</v>
      </c>
      <c r="H58" s="9">
        <f>D72-D67</f>
        <v>18.296332360586852</v>
      </c>
      <c r="I58" s="9">
        <f>D73-D68</f>
        <v>28.728707619326087</v>
      </c>
    </row>
    <row r="59" spans="1:9">
      <c r="F59" s="3" t="s">
        <v>10</v>
      </c>
      <c r="G59" s="9">
        <f>D76-D56</f>
        <v>32.295362249814382</v>
      </c>
      <c r="H59" s="9">
        <f>D77-D57</f>
        <v>24.593635491044893</v>
      </c>
      <c r="I59" s="9">
        <f>D78-D58</f>
        <v>40.065145964766387</v>
      </c>
    </row>
    <row r="60" spans="1:9">
      <c r="A60" s="3" t="s">
        <v>11</v>
      </c>
      <c r="F60" s="3" t="s">
        <v>12</v>
      </c>
      <c r="G60" s="9">
        <f>D76-D61</f>
        <v>33.808349862079773</v>
      </c>
      <c r="H60" s="9">
        <f>D77-D62</f>
        <v>24.970318307888768</v>
      </c>
      <c r="I60" s="9">
        <f>D78-D63</f>
        <v>42.672004041698479</v>
      </c>
    </row>
    <row r="61" spans="1:9">
      <c r="A61" t="s">
        <v>35</v>
      </c>
      <c r="B61" s="9">
        <v>54.506979166666675</v>
      </c>
      <c r="C61" t="s">
        <v>36</v>
      </c>
      <c r="D61" s="9">
        <f>B61*E47</f>
        <v>42.377126543172757</v>
      </c>
      <c r="E61" t="s">
        <v>36</v>
      </c>
      <c r="F61" s="3" t="s">
        <v>13</v>
      </c>
      <c r="G61" s="9">
        <f>D76-D66</f>
        <v>38.352004865247991</v>
      </c>
      <c r="H61" s="9">
        <f>D77-D67</f>
        <v>29.073438518971479</v>
      </c>
      <c r="I61" s="9">
        <f>D78-D68</f>
        <v>47.622739120059762</v>
      </c>
    </row>
    <row r="62" spans="1:9">
      <c r="A62" t="s">
        <v>4</v>
      </c>
      <c r="B62" s="9">
        <v>50.032499999999999</v>
      </c>
      <c r="C62" t="s">
        <v>36</v>
      </c>
      <c r="D62" s="9">
        <f>B62*F47</f>
        <v>39.536414919117441</v>
      </c>
      <c r="E62" t="s">
        <v>36</v>
      </c>
      <c r="F62" s="3" t="s">
        <v>14</v>
      </c>
      <c r="G62" s="9">
        <f>D81-D56</f>
        <v>33.70267461903132</v>
      </c>
      <c r="H62" s="9">
        <f>D82-D57</f>
        <v>25.223132201513508</v>
      </c>
      <c r="I62" s="9">
        <f>D83-D58</f>
        <v>42.385245238574328</v>
      </c>
    </row>
    <row r="63" spans="1:9">
      <c r="A63" t="s">
        <v>5</v>
      </c>
      <c r="B63" s="9">
        <v>58.981458333333343</v>
      </c>
      <c r="C63" t="s">
        <v>36</v>
      </c>
      <c r="D63" s="9">
        <f>B63*G47</f>
        <v>45.290761322479675</v>
      </c>
      <c r="E63" t="s">
        <v>36</v>
      </c>
      <c r="F63" s="3" t="s">
        <v>15</v>
      </c>
      <c r="G63" s="9">
        <f>D81-D61</f>
        <v>35.215662231296712</v>
      </c>
      <c r="H63" s="9">
        <f>D82-D62</f>
        <v>25.599815018357383</v>
      </c>
      <c r="I63" s="9">
        <f>D83-D63</f>
        <v>44.992103315506419</v>
      </c>
    </row>
    <row r="64" spans="1:9">
      <c r="F64" s="3" t="s">
        <v>16</v>
      </c>
      <c r="G64" s="9">
        <f>D81-D66</f>
        <v>39.75931723446493</v>
      </c>
      <c r="H64" s="9">
        <f>D82-D67</f>
        <v>29.702935229440094</v>
      </c>
      <c r="I64" s="9">
        <f>D83-D68</f>
        <v>49.942838393867703</v>
      </c>
    </row>
    <row r="65" spans="1:9">
      <c r="A65" s="3" t="s">
        <v>17</v>
      </c>
      <c r="F65" s="3" t="s">
        <v>18</v>
      </c>
      <c r="G65" s="12">
        <f>AVERAGE(G56:G64)</f>
        <v>30.359812725770901</v>
      </c>
      <c r="H65" s="12">
        <f>AVERAGE(H56:H64)</f>
        <v>22.788073977013724</v>
      </c>
      <c r="I65" s="12">
        <f>AVERAGE(I56:I64)</f>
        <v>37.9286522998663</v>
      </c>
    </row>
    <row r="66" spans="1:9">
      <c r="A66" t="s">
        <v>35</v>
      </c>
      <c r="B66" s="9">
        <v>50.461927083333329</v>
      </c>
      <c r="C66" t="s">
        <v>36</v>
      </c>
      <c r="D66" s="9">
        <f>B66*E48</f>
        <v>37.833471540004538</v>
      </c>
      <c r="E66" t="s">
        <v>36</v>
      </c>
    </row>
    <row r="67" spans="1:9">
      <c r="A67" t="s">
        <v>4</v>
      </c>
      <c r="B67" s="9">
        <v>46.075833333333328</v>
      </c>
      <c r="C67" t="s">
        <v>36</v>
      </c>
      <c r="D67" s="9">
        <f>B67*F48</f>
        <v>35.43329470803473</v>
      </c>
      <c r="E67" t="s">
        <v>36</v>
      </c>
    </row>
    <row r="68" spans="1:9">
      <c r="A68" t="s">
        <v>5</v>
      </c>
      <c r="B68" s="9">
        <v>54.848020833333329</v>
      </c>
      <c r="C68" t="s">
        <v>36</v>
      </c>
      <c r="D68" s="9">
        <f>B68*G48</f>
        <v>40.340026244118391</v>
      </c>
      <c r="E68" t="s">
        <v>36</v>
      </c>
    </row>
    <row r="69" spans="1:9">
      <c r="F69" s="3" t="s">
        <v>70</v>
      </c>
    </row>
    <row r="70" spans="1:9">
      <c r="A70" s="3" t="s">
        <v>21</v>
      </c>
      <c r="G70" s="3" t="s">
        <v>34</v>
      </c>
      <c r="H70" s="3" t="s">
        <v>4</v>
      </c>
      <c r="I70" s="3" t="s">
        <v>5</v>
      </c>
    </row>
    <row r="71" spans="1:9">
      <c r="A71" t="s">
        <v>35</v>
      </c>
      <c r="B71" s="9">
        <v>52.198124999999997</v>
      </c>
      <c r="C71" t="s">
        <v>36</v>
      </c>
      <c r="D71" s="9">
        <f>B71*E49</f>
        <v>61.401885236206141</v>
      </c>
      <c r="E71" t="s">
        <v>36</v>
      </c>
      <c r="F71" s="3" t="s">
        <v>22</v>
      </c>
      <c r="G71" s="9">
        <f>ABS(D66-D56)</f>
        <v>6.0566426154336099</v>
      </c>
      <c r="H71" s="9">
        <f>ABS(D67-D57)</f>
        <v>4.4798030279265859</v>
      </c>
      <c r="I71" s="9">
        <f>ABS(D68-D58)</f>
        <v>7.5575931552933753</v>
      </c>
    </row>
    <row r="72" spans="1:9">
      <c r="A72" t="s">
        <v>4</v>
      </c>
      <c r="B72" s="9">
        <v>46.430312499999964</v>
      </c>
      <c r="C72" t="s">
        <v>36</v>
      </c>
      <c r="D72" s="9">
        <f>B72*F49</f>
        <v>53.729627068621582</v>
      </c>
      <c r="E72" t="s">
        <v>36</v>
      </c>
      <c r="F72" s="3" t="s">
        <v>23</v>
      </c>
      <c r="G72" s="9">
        <f>ABS(D66-D61)</f>
        <v>4.5436550031682188</v>
      </c>
      <c r="H72" s="9">
        <f>ABS(D67-D62)</f>
        <v>4.103120211082711</v>
      </c>
      <c r="I72" s="9">
        <f>ABS(D68-D63)</f>
        <v>4.9507350783612836</v>
      </c>
    </row>
    <row r="73" spans="1:9">
      <c r="A73" t="s">
        <v>5</v>
      </c>
      <c r="B73" s="9">
        <v>57.965937500000017</v>
      </c>
      <c r="C73" t="s">
        <v>36</v>
      </c>
      <c r="D73" s="9">
        <f>B73*G49</f>
        <v>69.068733863444479</v>
      </c>
      <c r="E73" t="s">
        <v>36</v>
      </c>
      <c r="F73" s="3" t="s">
        <v>24</v>
      </c>
      <c r="G73" s="9">
        <f>ABS(D61-D56)</f>
        <v>1.5129876122653911</v>
      </c>
      <c r="H73" s="9">
        <f>ABS(D62-D57)</f>
        <v>0.37668281684387495</v>
      </c>
      <c r="I73" s="9">
        <f>ABS(D63-D58)</f>
        <v>2.6068580769320917</v>
      </c>
    </row>
    <row r="74" spans="1:9">
      <c r="F74" s="3" t="s">
        <v>25</v>
      </c>
      <c r="G74" s="9">
        <f>ABS(D81-D71)</f>
        <v>16.190903538263328</v>
      </c>
      <c r="H74" s="9">
        <f>ABS(D82-D72)</f>
        <v>11.406602868853241</v>
      </c>
      <c r="I74" s="9">
        <f>ABS(D83-D73)</f>
        <v>21.214130774541616</v>
      </c>
    </row>
    <row r="75" spans="1:9">
      <c r="A75" s="3" t="s">
        <v>26</v>
      </c>
      <c r="F75" s="3" t="s">
        <v>27</v>
      </c>
      <c r="G75" s="9">
        <f>ABS(D81-D76)</f>
        <v>1.4073123692169389</v>
      </c>
      <c r="H75" s="9">
        <f>ABS(D82-D77)</f>
        <v>0.62949671046861511</v>
      </c>
      <c r="I75" s="9">
        <f>ABS(D83-D78)</f>
        <v>2.3200992738079407</v>
      </c>
    </row>
    <row r="76" spans="1:9">
      <c r="A76" t="s">
        <v>35</v>
      </c>
      <c r="B76" s="9">
        <v>51.717604166666625</v>
      </c>
      <c r="C76" t="s">
        <v>36</v>
      </c>
      <c r="D76" s="9">
        <f>B76*E50</f>
        <v>76.18547640525253</v>
      </c>
      <c r="E76" t="s">
        <v>36</v>
      </c>
      <c r="F76" s="3" t="s">
        <v>28</v>
      </c>
      <c r="G76" s="9">
        <f>ABS(D76-D71)</f>
        <v>14.783591169046389</v>
      </c>
      <c r="H76" s="9">
        <f>ABS(D77-D72)</f>
        <v>10.777106158384626</v>
      </c>
      <c r="I76" s="9">
        <f>ABS(D78-D73)</f>
        <v>18.894031500733675</v>
      </c>
    </row>
    <row r="77" spans="1:9">
      <c r="A77" t="s">
        <v>4</v>
      </c>
      <c r="B77" s="9">
        <v>45.021249999999981</v>
      </c>
      <c r="C77" t="s">
        <v>36</v>
      </c>
      <c r="D77" s="9">
        <f>B77*F50</f>
        <v>64.506733227006208</v>
      </c>
      <c r="E77" t="s">
        <v>36</v>
      </c>
      <c r="F77" s="3" t="s">
        <v>18</v>
      </c>
      <c r="G77" s="12">
        <f>AVERAGE(G71:G76)</f>
        <v>7.4158487178989789</v>
      </c>
      <c r="H77" s="12">
        <f>AVERAGE(H71:H76)</f>
        <v>5.2954686322599427</v>
      </c>
      <c r="I77" s="12">
        <f>AVERAGE(I71:I76)</f>
        <v>9.5905746432783303</v>
      </c>
    </row>
    <row r="78" spans="1:9">
      <c r="A78" t="s">
        <v>5</v>
      </c>
      <c r="B78" s="9">
        <v>58.413958333333333</v>
      </c>
      <c r="C78" t="s">
        <v>36</v>
      </c>
      <c r="D78" s="9">
        <f>B78*G50</f>
        <v>87.962765364178154</v>
      </c>
      <c r="E78" t="s">
        <v>36</v>
      </c>
    </row>
    <row r="80" spans="1:9">
      <c r="A80" s="3" t="s">
        <v>30</v>
      </c>
    </row>
    <row r="81" spans="1:22">
      <c r="A81" t="s">
        <v>35</v>
      </c>
      <c r="B81" s="9">
        <v>52.046354166666653</v>
      </c>
      <c r="C81" t="s">
        <v>36</v>
      </c>
      <c r="D81" s="9">
        <f>B81*E51</f>
        <v>77.592788774469469</v>
      </c>
      <c r="E81" t="s">
        <v>36</v>
      </c>
    </row>
    <row r="82" spans="1:22">
      <c r="A82" t="s">
        <v>4</v>
      </c>
      <c r="B82" s="9">
        <v>45.876562500000006</v>
      </c>
      <c r="C82" t="s">
        <v>36</v>
      </c>
      <c r="D82" s="9">
        <f>B82*F51</f>
        <v>65.136229937474823</v>
      </c>
      <c r="E82" t="s">
        <v>36</v>
      </c>
    </row>
    <row r="83" spans="1:22">
      <c r="A83" t="s">
        <v>5</v>
      </c>
      <c r="B83" s="9">
        <v>58.216145833333343</v>
      </c>
      <c r="C83" t="s">
        <v>36</v>
      </c>
      <c r="D83" s="9">
        <f>B83*G51</f>
        <v>90.282864637986094</v>
      </c>
      <c r="E83" t="s">
        <v>36</v>
      </c>
    </row>
    <row r="84" spans="1:22" ht="15.75" thickBo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22" ht="23.25">
      <c r="A85" s="1" t="s">
        <v>48</v>
      </c>
    </row>
    <row r="86" spans="1:22">
      <c r="I86" s="3" t="s">
        <v>71</v>
      </c>
    </row>
    <row r="87" spans="1:22">
      <c r="A87" s="10" t="s">
        <v>2</v>
      </c>
      <c r="E87" s="3" t="s">
        <v>21</v>
      </c>
      <c r="J87" s="3" t="s">
        <v>50</v>
      </c>
      <c r="K87" s="3" t="s">
        <v>51</v>
      </c>
      <c r="L87" s="3" t="s">
        <v>4</v>
      </c>
      <c r="M87" s="3" t="s">
        <v>52</v>
      </c>
      <c r="N87" s="3" t="s">
        <v>53</v>
      </c>
      <c r="O87" s="3" t="s">
        <v>54</v>
      </c>
      <c r="P87" s="3" t="s">
        <v>5</v>
      </c>
      <c r="Q87" s="3" t="s">
        <v>55</v>
      </c>
      <c r="R87" s="3" t="s">
        <v>56</v>
      </c>
      <c r="S87" s="3"/>
      <c r="T87" s="3"/>
      <c r="U87" s="3"/>
      <c r="V87" s="3"/>
    </row>
    <row r="88" spans="1:22">
      <c r="A88" s="13" t="s">
        <v>50</v>
      </c>
      <c r="B88" s="9"/>
      <c r="C88" t="s">
        <v>6</v>
      </c>
      <c r="E88" s="13" t="s">
        <v>50</v>
      </c>
      <c r="F88" s="9"/>
      <c r="G88" t="s">
        <v>6</v>
      </c>
      <c r="I88" s="3" t="s">
        <v>7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>
      <c r="A89" s="13" t="s">
        <v>51</v>
      </c>
      <c r="B89" s="9"/>
      <c r="C89" t="s">
        <v>6</v>
      </c>
      <c r="E89" s="13" t="s">
        <v>51</v>
      </c>
      <c r="F89" s="9"/>
      <c r="G89" t="s">
        <v>6</v>
      </c>
      <c r="I89" s="3" t="s">
        <v>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>
      <c r="A90" s="13" t="s">
        <v>4</v>
      </c>
      <c r="B90" s="9"/>
      <c r="C90" t="s">
        <v>6</v>
      </c>
      <c r="E90" s="13" t="s">
        <v>4</v>
      </c>
      <c r="F90" s="9"/>
      <c r="G90" t="s">
        <v>6</v>
      </c>
      <c r="I90" s="3" t="s">
        <v>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>
      <c r="A91" s="13" t="s">
        <v>52</v>
      </c>
      <c r="B91" s="9"/>
      <c r="C91" t="s">
        <v>6</v>
      </c>
      <c r="E91" s="13" t="s">
        <v>52</v>
      </c>
      <c r="F91" s="9"/>
      <c r="G91" t="s">
        <v>6</v>
      </c>
      <c r="I91" s="3" t="s">
        <v>10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>
      <c r="A92" s="13" t="s">
        <v>53</v>
      </c>
      <c r="B92" s="9"/>
      <c r="C92" t="s">
        <v>6</v>
      </c>
      <c r="E92" s="13" t="s">
        <v>53</v>
      </c>
      <c r="F92" s="9"/>
      <c r="G92" t="s">
        <v>6</v>
      </c>
      <c r="I92" s="3" t="s">
        <v>12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>
      <c r="A93" s="13" t="s">
        <v>54</v>
      </c>
      <c r="B93" s="9"/>
      <c r="C93" t="s">
        <v>6</v>
      </c>
      <c r="E93" s="13" t="s">
        <v>54</v>
      </c>
      <c r="F93" s="9"/>
      <c r="G93" t="s">
        <v>6</v>
      </c>
      <c r="I93" s="3" t="s">
        <v>13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>
      <c r="A94" s="13" t="s">
        <v>5</v>
      </c>
      <c r="B94" s="9"/>
      <c r="C94" t="s">
        <v>6</v>
      </c>
      <c r="E94" s="13" t="s">
        <v>5</v>
      </c>
      <c r="F94" s="9"/>
      <c r="G94" t="s">
        <v>6</v>
      </c>
      <c r="I94" s="3" t="s">
        <v>14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>
      <c r="A95" s="13" t="s">
        <v>55</v>
      </c>
      <c r="B95" s="9"/>
      <c r="C95" t="s">
        <v>6</v>
      </c>
      <c r="E95" s="13" t="s">
        <v>55</v>
      </c>
      <c r="F95" s="9"/>
      <c r="G95" t="s">
        <v>6</v>
      </c>
      <c r="I95" s="3" t="s">
        <v>15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>
      <c r="A96" t="s">
        <v>56</v>
      </c>
      <c r="B96" s="9"/>
      <c r="C96" t="s">
        <v>6</v>
      </c>
      <c r="E96" t="s">
        <v>56</v>
      </c>
      <c r="F96" s="9"/>
      <c r="G96" t="s">
        <v>6</v>
      </c>
      <c r="I96" s="3" t="s">
        <v>16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>
      <c r="B97" s="9"/>
      <c r="F97" s="9"/>
      <c r="I97" s="3" t="s">
        <v>18</v>
      </c>
      <c r="J97" s="12" t="e">
        <f>AVERAGE(J88:J96)</f>
        <v>#DIV/0!</v>
      </c>
      <c r="K97" s="12" t="e">
        <f>AVERAGE(K88:K96)</f>
        <v>#DIV/0!</v>
      </c>
      <c r="L97" s="12" t="e">
        <f>AVERAGE(L88:L96)</f>
        <v>#DIV/0!</v>
      </c>
      <c r="M97" s="12" t="e">
        <f>AVERAGE(M88:M96)</f>
        <v>#DIV/0!</v>
      </c>
      <c r="N97" s="12" t="e">
        <f t="shared" ref="N97:R97" si="0">AVERAGE(N88:N96)</f>
        <v>#DIV/0!</v>
      </c>
      <c r="O97" s="12" t="e">
        <f t="shared" si="0"/>
        <v>#DIV/0!</v>
      </c>
      <c r="P97" s="12" t="e">
        <f t="shared" si="0"/>
        <v>#DIV/0!</v>
      </c>
      <c r="Q97" s="12" t="e">
        <f t="shared" si="0"/>
        <v>#DIV/0!</v>
      </c>
      <c r="R97" s="12" t="e">
        <f t="shared" si="0"/>
        <v>#DIV/0!</v>
      </c>
      <c r="S97" s="12"/>
      <c r="T97" s="12"/>
      <c r="U97" s="12"/>
      <c r="V97" s="12"/>
    </row>
    <row r="98" spans="1:22">
      <c r="A98" s="3" t="s">
        <v>11</v>
      </c>
      <c r="B98" s="9"/>
      <c r="E98" s="3" t="s">
        <v>26</v>
      </c>
      <c r="F98" s="9"/>
    </row>
    <row r="99" spans="1:22">
      <c r="A99" t="s">
        <v>50</v>
      </c>
      <c r="B99" s="9"/>
      <c r="C99" t="s">
        <v>6</v>
      </c>
      <c r="E99" t="s">
        <v>50</v>
      </c>
      <c r="F99" s="9"/>
      <c r="G99" t="s">
        <v>6</v>
      </c>
    </row>
    <row r="100" spans="1:22">
      <c r="A100" t="s">
        <v>51</v>
      </c>
      <c r="B100" s="9"/>
      <c r="C100" t="s">
        <v>6</v>
      </c>
      <c r="E100" t="s">
        <v>51</v>
      </c>
      <c r="F100" s="9"/>
      <c r="G100" t="s">
        <v>6</v>
      </c>
    </row>
    <row r="101" spans="1:22">
      <c r="A101" t="s">
        <v>4</v>
      </c>
      <c r="B101" s="9"/>
      <c r="C101" t="s">
        <v>6</v>
      </c>
      <c r="E101" s="13" t="s">
        <v>4</v>
      </c>
      <c r="F101" s="9"/>
      <c r="G101" t="s">
        <v>6</v>
      </c>
      <c r="I101" s="3" t="s">
        <v>72</v>
      </c>
    </row>
    <row r="102" spans="1:22">
      <c r="A102" t="s">
        <v>52</v>
      </c>
      <c r="B102" s="9"/>
      <c r="C102" t="s">
        <v>6</v>
      </c>
      <c r="E102" t="s">
        <v>52</v>
      </c>
      <c r="F102" s="9"/>
      <c r="G102" t="s">
        <v>6</v>
      </c>
      <c r="J102" s="3" t="s">
        <v>50</v>
      </c>
      <c r="K102" s="3" t="s">
        <v>51</v>
      </c>
      <c r="L102" s="3" t="s">
        <v>4</v>
      </c>
      <c r="M102" s="3" t="s">
        <v>52</v>
      </c>
      <c r="N102" s="3" t="s">
        <v>53</v>
      </c>
      <c r="O102" s="3" t="s">
        <v>54</v>
      </c>
      <c r="P102" s="3" t="s">
        <v>5</v>
      </c>
      <c r="Q102" s="3" t="s">
        <v>55</v>
      </c>
      <c r="R102" s="3" t="s">
        <v>56</v>
      </c>
      <c r="S102" s="3"/>
      <c r="T102" s="3"/>
      <c r="U102" s="3"/>
      <c r="V102" s="3"/>
    </row>
    <row r="103" spans="1:22">
      <c r="A103" s="13" t="s">
        <v>53</v>
      </c>
      <c r="B103" s="9"/>
      <c r="C103" t="s">
        <v>6</v>
      </c>
      <c r="E103" s="13" t="s">
        <v>53</v>
      </c>
      <c r="F103" s="9"/>
      <c r="G103" t="s">
        <v>6</v>
      </c>
      <c r="I103" s="3" t="s">
        <v>22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>
      <c r="A104" s="13" t="s">
        <v>54</v>
      </c>
      <c r="B104" s="9"/>
      <c r="C104" t="s">
        <v>6</v>
      </c>
      <c r="E104" s="13" t="s">
        <v>54</v>
      </c>
      <c r="F104" s="9"/>
      <c r="G104" t="s">
        <v>6</v>
      </c>
      <c r="I104" s="3" t="s">
        <v>23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>
      <c r="A105" s="13" t="s">
        <v>5</v>
      </c>
      <c r="B105" s="9"/>
      <c r="C105" t="s">
        <v>6</v>
      </c>
      <c r="E105" s="13" t="s">
        <v>5</v>
      </c>
      <c r="F105" s="9"/>
      <c r="G105" t="s">
        <v>6</v>
      </c>
      <c r="I105" s="3" t="s">
        <v>24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>
      <c r="A106" s="13" t="s">
        <v>55</v>
      </c>
      <c r="B106" s="9"/>
      <c r="C106" t="s">
        <v>6</v>
      </c>
      <c r="E106" s="13" t="s">
        <v>55</v>
      </c>
      <c r="F106" s="9"/>
      <c r="G106" t="s">
        <v>6</v>
      </c>
      <c r="I106" s="3" t="s">
        <v>25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>
      <c r="A107" s="13" t="s">
        <v>56</v>
      </c>
      <c r="B107" s="9"/>
      <c r="C107" t="s">
        <v>6</v>
      </c>
      <c r="E107" s="13" t="s">
        <v>56</v>
      </c>
      <c r="F107" s="9"/>
      <c r="G107" t="s">
        <v>6</v>
      </c>
      <c r="I107" s="3" t="s">
        <v>27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>
      <c r="A108" s="13"/>
      <c r="B108" s="9"/>
      <c r="E108" s="13"/>
      <c r="F108" s="9"/>
      <c r="I108" s="3" t="s">
        <v>28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>
      <c r="A109" s="3" t="s">
        <v>17</v>
      </c>
      <c r="B109" s="9"/>
      <c r="E109" s="3" t="s">
        <v>30</v>
      </c>
      <c r="F109" s="9"/>
      <c r="I109" s="3" t="s">
        <v>18</v>
      </c>
      <c r="J109" s="12" t="e">
        <f>AVERAGE(J103:J108)</f>
        <v>#DIV/0!</v>
      </c>
      <c r="K109" s="12" t="e">
        <f>AVERAGE(K103:K108)</f>
        <v>#DIV/0!</v>
      </c>
      <c r="L109" s="12" t="e">
        <f>AVERAGE(L103:L108)</f>
        <v>#DIV/0!</v>
      </c>
      <c r="M109" s="12" t="e">
        <f>AVERAGE(M103:M108)</f>
        <v>#DIV/0!</v>
      </c>
      <c r="N109" s="12" t="e">
        <f t="shared" ref="N109:R109" si="1">AVERAGE(N103:N108)</f>
        <v>#DIV/0!</v>
      </c>
      <c r="O109" s="12" t="e">
        <f t="shared" si="1"/>
        <v>#DIV/0!</v>
      </c>
      <c r="P109" s="12" t="e">
        <f t="shared" si="1"/>
        <v>#DIV/0!</v>
      </c>
      <c r="Q109" s="12" t="e">
        <f t="shared" si="1"/>
        <v>#DIV/0!</v>
      </c>
      <c r="R109" s="12" t="e">
        <f t="shared" si="1"/>
        <v>#DIV/0!</v>
      </c>
      <c r="S109" s="12"/>
      <c r="T109" s="12"/>
      <c r="U109" s="12"/>
      <c r="V109" s="12"/>
    </row>
    <row r="110" spans="1:22">
      <c r="A110" t="s">
        <v>50</v>
      </c>
      <c r="B110" s="9"/>
      <c r="C110" t="s">
        <v>6</v>
      </c>
      <c r="E110" s="13" t="s">
        <v>50</v>
      </c>
      <c r="F110" s="9"/>
      <c r="G110" t="s">
        <v>6</v>
      </c>
      <c r="I110" s="9"/>
      <c r="J110" s="9"/>
    </row>
    <row r="111" spans="1:22">
      <c r="A111" t="s">
        <v>51</v>
      </c>
      <c r="B111" s="9"/>
      <c r="C111" t="s">
        <v>6</v>
      </c>
      <c r="E111" t="s">
        <v>51</v>
      </c>
      <c r="F111" s="9"/>
      <c r="G111" t="s">
        <v>6</v>
      </c>
    </row>
    <row r="112" spans="1:22">
      <c r="A112" t="s">
        <v>4</v>
      </c>
      <c r="B112" s="9"/>
      <c r="C112" t="s">
        <v>6</v>
      </c>
      <c r="E112" t="s">
        <v>4</v>
      </c>
      <c r="F112" s="9"/>
      <c r="G112" t="s">
        <v>6</v>
      </c>
      <c r="I112" s="9"/>
      <c r="J112" s="9"/>
      <c r="K112" s="9"/>
      <c r="L112" s="9"/>
      <c r="M112" s="9"/>
      <c r="N112" s="9"/>
      <c r="O112" s="9"/>
      <c r="P112" s="9"/>
      <c r="Q112" s="9"/>
    </row>
    <row r="113" spans="1:18">
      <c r="A113" t="s">
        <v>52</v>
      </c>
      <c r="B113" s="9"/>
      <c r="C113" t="s">
        <v>6</v>
      </c>
      <c r="E113" t="s">
        <v>52</v>
      </c>
      <c r="F113" s="9"/>
      <c r="G113" t="s">
        <v>6</v>
      </c>
      <c r="I113" s="9"/>
      <c r="J113" s="9"/>
      <c r="K113" s="9"/>
      <c r="L113" s="9"/>
      <c r="M113" s="9"/>
      <c r="N113" s="9"/>
      <c r="O113" s="9"/>
      <c r="P113" s="9"/>
      <c r="Q113" s="9"/>
    </row>
    <row r="114" spans="1:18">
      <c r="A114" t="s">
        <v>53</v>
      </c>
      <c r="B114" s="9"/>
      <c r="C114" t="s">
        <v>6</v>
      </c>
      <c r="E114" t="s">
        <v>53</v>
      </c>
      <c r="F114" s="9"/>
      <c r="G114" t="s">
        <v>6</v>
      </c>
      <c r="I114" s="9"/>
      <c r="J114" s="9"/>
      <c r="K114" s="9"/>
      <c r="L114" s="9"/>
      <c r="M114" s="9"/>
      <c r="N114" s="9"/>
      <c r="O114" s="9"/>
      <c r="P114" s="9"/>
      <c r="Q114" s="9"/>
    </row>
    <row r="115" spans="1:18">
      <c r="A115" s="13" t="s">
        <v>54</v>
      </c>
      <c r="B115" s="9"/>
      <c r="C115" t="s">
        <v>6</v>
      </c>
      <c r="E115" t="s">
        <v>54</v>
      </c>
      <c r="F115" s="9"/>
      <c r="G115" t="s">
        <v>6</v>
      </c>
      <c r="I115" s="9"/>
      <c r="J115" s="9"/>
      <c r="K115" s="9"/>
      <c r="L115" s="9"/>
      <c r="M115" s="9"/>
      <c r="N115" s="9"/>
      <c r="O115" s="9"/>
      <c r="P115" s="9"/>
      <c r="Q115" s="9"/>
    </row>
    <row r="116" spans="1:18">
      <c r="A116" t="s">
        <v>5</v>
      </c>
      <c r="B116" s="9"/>
      <c r="C116" t="s">
        <v>6</v>
      </c>
      <c r="E116" s="13" t="s">
        <v>5</v>
      </c>
      <c r="F116" s="9"/>
      <c r="G116" t="s">
        <v>6</v>
      </c>
      <c r="I116" s="9"/>
      <c r="J116" s="9"/>
      <c r="K116" s="9"/>
      <c r="L116" s="9"/>
      <c r="M116" s="9"/>
      <c r="N116" s="9"/>
      <c r="O116" s="9"/>
      <c r="P116" s="9"/>
      <c r="Q116" s="9"/>
    </row>
    <row r="117" spans="1:18">
      <c r="A117" t="s">
        <v>55</v>
      </c>
      <c r="B117" s="9"/>
      <c r="C117" t="s">
        <v>6</v>
      </c>
      <c r="E117" t="s">
        <v>55</v>
      </c>
      <c r="F117" s="9"/>
      <c r="G117" t="s">
        <v>6</v>
      </c>
      <c r="I117" s="9"/>
      <c r="J117" s="9"/>
      <c r="K117" s="9"/>
      <c r="L117" s="9"/>
      <c r="M117" s="9"/>
      <c r="N117" s="9"/>
      <c r="O117" s="9"/>
      <c r="P117" s="9"/>
      <c r="Q117" s="9"/>
    </row>
    <row r="118" spans="1:18">
      <c r="A118" s="13" t="s">
        <v>56</v>
      </c>
      <c r="B118" s="9"/>
      <c r="C118" t="s">
        <v>6</v>
      </c>
      <c r="E118" t="s">
        <v>56</v>
      </c>
      <c r="F118" s="9"/>
      <c r="G118" t="s">
        <v>6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>
      <c r="A119" s="13"/>
      <c r="B119" s="9"/>
      <c r="C119" s="9"/>
      <c r="D119" s="13"/>
      <c r="F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>
      <c r="A120" s="13"/>
      <c r="B120" s="9"/>
      <c r="D120" s="13"/>
      <c r="F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>
      <c r="A121" s="13"/>
      <c r="B121" s="9"/>
      <c r="D121" s="13"/>
      <c r="F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>
      <c r="A122" s="13"/>
      <c r="B122" s="9"/>
      <c r="D122" s="13"/>
      <c r="F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>
      <c r="A123" s="13"/>
      <c r="B123" s="9"/>
      <c r="D123" s="13"/>
      <c r="F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>
      <c r="B124" s="9"/>
      <c r="D124" s="13"/>
      <c r="F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>
      <c r="B125" s="9"/>
      <c r="D125" s="13"/>
      <c r="F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>
      <c r="B126" s="9"/>
      <c r="F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>
      <c r="B127" s="9"/>
      <c r="F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>
      <c r="B128" s="9"/>
      <c r="F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>
      <c r="A129" s="13"/>
      <c r="B129" s="9"/>
      <c r="F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>
      <c r="B130" s="9"/>
      <c r="F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>
      <c r="D131" s="13"/>
      <c r="F131" s="9"/>
      <c r="I131" s="9"/>
      <c r="Q131" s="9"/>
    </row>
    <row r="132" spans="1:18">
      <c r="I132" s="9"/>
    </row>
    <row r="133" spans="1:18">
      <c r="B133" s="9"/>
      <c r="D133" s="13"/>
    </row>
    <row r="134" spans="1:18">
      <c r="B134" s="9"/>
      <c r="D134" s="13"/>
      <c r="E134" s="3"/>
      <c r="F134" s="9"/>
      <c r="G134" s="9"/>
      <c r="H134" s="9"/>
      <c r="I134" s="9"/>
      <c r="J134" s="9"/>
    </row>
    <row r="135" spans="1:18">
      <c r="B135" s="9"/>
      <c r="D135" s="13"/>
      <c r="E135" s="3"/>
      <c r="F135" s="9"/>
      <c r="G135" s="9"/>
      <c r="H135" s="9"/>
      <c r="I135" s="9"/>
      <c r="J135" s="9"/>
    </row>
    <row r="136" spans="1:18">
      <c r="B136" s="9"/>
      <c r="D136" s="13"/>
      <c r="E136" s="3"/>
      <c r="F136" s="9"/>
      <c r="G136" s="9"/>
      <c r="H136" s="9"/>
      <c r="I136" s="9"/>
      <c r="J136" s="9"/>
    </row>
    <row r="137" spans="1:18">
      <c r="B137" s="9"/>
      <c r="D137" s="13"/>
      <c r="E137" s="3"/>
      <c r="F137" s="9"/>
      <c r="G137" s="9"/>
      <c r="H137" s="9"/>
      <c r="I137" s="9"/>
      <c r="J137" s="9"/>
    </row>
    <row r="138" spans="1:18">
      <c r="B138" s="9"/>
      <c r="D138" s="13"/>
      <c r="E138" s="3"/>
      <c r="F138" s="9"/>
      <c r="G138" s="9"/>
      <c r="H138" s="9"/>
      <c r="I138" s="9"/>
      <c r="J138" s="9"/>
    </row>
    <row r="139" spans="1:18">
      <c r="B139" s="9"/>
      <c r="D139" s="13"/>
      <c r="E139" s="3"/>
      <c r="F139" s="9"/>
      <c r="G139" s="9"/>
      <c r="H139" s="9"/>
      <c r="I139" s="9"/>
      <c r="J139" s="9"/>
    </row>
    <row r="140" spans="1:18">
      <c r="B140" s="9"/>
      <c r="D140" s="13"/>
      <c r="E140" s="3"/>
      <c r="F140" s="9"/>
      <c r="G140" s="9"/>
      <c r="H140" s="9"/>
      <c r="I140" s="9"/>
      <c r="J140" s="9"/>
    </row>
    <row r="141" spans="1:18">
      <c r="B141" s="9"/>
    </row>
    <row r="142" spans="1:18">
      <c r="B142" s="9"/>
    </row>
    <row r="143" spans="1:18">
      <c r="B143" s="9"/>
    </row>
    <row r="144" spans="1:18">
      <c r="B144" s="9"/>
    </row>
    <row r="145" spans="2:4">
      <c r="B145" s="9"/>
    </row>
    <row r="146" spans="2:4">
      <c r="B146" s="9"/>
      <c r="D146" s="13"/>
    </row>
    <row r="148" spans="2:4">
      <c r="B148" s="9"/>
      <c r="D148" s="13"/>
    </row>
    <row r="149" spans="2:4">
      <c r="B149" s="9"/>
      <c r="D149" s="13"/>
    </row>
    <row r="150" spans="2:4">
      <c r="B150" s="9"/>
      <c r="D150" s="13"/>
    </row>
    <row r="151" spans="2:4">
      <c r="B151" s="9"/>
      <c r="D151" s="13"/>
    </row>
    <row r="152" spans="2:4">
      <c r="B152" s="9"/>
      <c r="D152" s="13"/>
    </row>
    <row r="153" spans="2:4">
      <c r="B153" s="9"/>
      <c r="D153" s="13"/>
    </row>
    <row r="154" spans="2:4">
      <c r="B154" s="9"/>
      <c r="D154" s="13"/>
    </row>
    <row r="155" spans="2:4">
      <c r="B155" s="9"/>
      <c r="D155" s="13"/>
    </row>
    <row r="156" spans="2:4">
      <c r="B156" s="9"/>
    </row>
    <row r="157" spans="2:4">
      <c r="B157" s="9"/>
    </row>
    <row r="158" spans="2:4">
      <c r="B158" s="9"/>
    </row>
    <row r="159" spans="2:4">
      <c r="B159" s="9"/>
    </row>
    <row r="160" spans="2:4">
      <c r="B160" s="9"/>
    </row>
    <row r="161" spans="1:4">
      <c r="B161" s="9"/>
      <c r="D161" s="13"/>
    </row>
    <row r="163" spans="1:4">
      <c r="A163" s="13"/>
      <c r="B163" s="9"/>
      <c r="D163" s="13"/>
    </row>
    <row r="164" spans="1:4">
      <c r="A164" s="13"/>
      <c r="B164" s="9"/>
      <c r="D164" s="13"/>
    </row>
    <row r="165" spans="1:4">
      <c r="A165" s="13"/>
      <c r="B165" s="9"/>
      <c r="D165" s="13"/>
    </row>
    <row r="166" spans="1:4">
      <c r="A166" s="13"/>
      <c r="B166" s="9"/>
      <c r="D166" s="13"/>
    </row>
    <row r="167" spans="1:4">
      <c r="A167" s="13"/>
      <c r="B167" s="9"/>
      <c r="D167" s="13"/>
    </row>
    <row r="168" spans="1:4">
      <c r="A168" s="13"/>
      <c r="B168" s="9"/>
      <c r="D168" s="13"/>
    </row>
    <row r="169" spans="1:4">
      <c r="A169" s="13"/>
      <c r="B169" s="9"/>
      <c r="D169" s="13"/>
    </row>
    <row r="170" spans="1:4">
      <c r="A170" s="13"/>
      <c r="B170" s="9"/>
      <c r="D170" s="13"/>
    </row>
    <row r="171" spans="1:4">
      <c r="B171" s="9"/>
    </row>
    <row r="172" spans="1:4">
      <c r="B172" s="9"/>
    </row>
    <row r="173" spans="1:4">
      <c r="B173" s="9"/>
    </row>
    <row r="174" spans="1:4">
      <c r="B174" s="9"/>
    </row>
    <row r="175" spans="1:4">
      <c r="B175" s="9"/>
    </row>
    <row r="176" spans="1:4">
      <c r="A176" s="13"/>
      <c r="B176" s="9"/>
      <c r="D17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7D7D-AB67-4731-8AA3-1EB1F468CE7E}">
  <dimension ref="A1:AJ1073"/>
  <sheetViews>
    <sheetView workbookViewId="0">
      <selection activeCell="B8" sqref="B8:B10"/>
    </sheetView>
  </sheetViews>
  <sheetFormatPr defaultRowHeight="15"/>
  <cols>
    <col min="1" max="1" width="25.7109375" customWidth="1"/>
    <col min="2" max="2" width="9.5703125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73</v>
      </c>
      <c r="F1" s="6"/>
      <c r="G1" s="1" t="s">
        <v>74</v>
      </c>
      <c r="L1" s="6"/>
      <c r="M1" s="1" t="s">
        <v>75</v>
      </c>
      <c r="R1" s="6"/>
      <c r="S1" s="1" t="s">
        <v>76</v>
      </c>
      <c r="X1" s="6"/>
      <c r="Y1" s="1" t="s">
        <v>77</v>
      </c>
      <c r="AD1" s="6"/>
      <c r="AE1" s="1" t="s">
        <v>78</v>
      </c>
      <c r="AJ1" s="6"/>
    </row>
    <row r="2" spans="1:36">
      <c r="A2" s="2" t="s">
        <v>79</v>
      </c>
      <c r="F2" s="6"/>
      <c r="G2" s="2" t="s">
        <v>79</v>
      </c>
      <c r="L2" s="6"/>
      <c r="M2" s="2" t="s">
        <v>79</v>
      </c>
      <c r="R2" s="6"/>
      <c r="S2" s="2" t="s">
        <v>79</v>
      </c>
      <c r="X2" s="6"/>
      <c r="Y2" s="2" t="s">
        <v>79</v>
      </c>
      <c r="AD2" s="6"/>
      <c r="AE2" s="2" t="s">
        <v>79</v>
      </c>
      <c r="AJ2" s="6"/>
    </row>
    <row r="3" spans="1:36">
      <c r="A3" t="s">
        <v>80</v>
      </c>
      <c r="F3" s="6"/>
      <c r="G3" t="s">
        <v>80</v>
      </c>
      <c r="L3" s="6"/>
      <c r="M3" t="s">
        <v>80</v>
      </c>
      <c r="R3" s="6"/>
      <c r="S3" t="s">
        <v>80</v>
      </c>
      <c r="X3" s="6"/>
      <c r="Y3" t="s">
        <v>80</v>
      </c>
      <c r="AD3" s="6"/>
      <c r="AE3" t="s">
        <v>80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88</v>
      </c>
      <c r="F7" s="6"/>
      <c r="G7" s="3" t="s">
        <v>88</v>
      </c>
      <c r="L7" s="6"/>
      <c r="M7" s="3" t="s">
        <v>88</v>
      </c>
      <c r="R7" s="6"/>
      <c r="S7" s="3" t="s">
        <v>88</v>
      </c>
      <c r="X7" s="6"/>
      <c r="Y7" s="3" t="s">
        <v>88</v>
      </c>
      <c r="AD7" s="6"/>
      <c r="AE7" s="3" t="s">
        <v>88</v>
      </c>
      <c r="AJ7" s="6"/>
    </row>
    <row r="8" spans="1:36">
      <c r="A8" t="s">
        <v>59</v>
      </c>
      <c r="B8" s="14">
        <f>SUM(B14:B111,E14:E111)/4</f>
        <v>76294</v>
      </c>
      <c r="C8" t="s">
        <v>89</v>
      </c>
      <c r="F8" s="6"/>
      <c r="G8" t="s">
        <v>59</v>
      </c>
      <c r="H8" s="14">
        <f>SUM(H14:H111,K14:K111)/4</f>
        <v>83144</v>
      </c>
      <c r="I8" t="s">
        <v>89</v>
      </c>
      <c r="L8" s="6"/>
      <c r="M8" t="s">
        <v>59</v>
      </c>
      <c r="N8" s="14">
        <f>SUM(N14:N111,Q14:Q111)/4</f>
        <v>86218</v>
      </c>
      <c r="O8" t="s">
        <v>89</v>
      </c>
      <c r="R8" s="6"/>
      <c r="S8" t="s">
        <v>59</v>
      </c>
      <c r="T8" s="14">
        <f>SUM(T14:T111,W14:W111)/4</f>
        <v>54952</v>
      </c>
      <c r="U8" t="s">
        <v>89</v>
      </c>
      <c r="X8" s="6"/>
      <c r="Y8" t="s">
        <v>59</v>
      </c>
      <c r="Z8" s="14">
        <f>SUM(Z14:Z111,AC14:AC111)/4</f>
        <v>43881</v>
      </c>
      <c r="AA8" t="s">
        <v>89</v>
      </c>
      <c r="AD8" s="6"/>
      <c r="AE8" t="s">
        <v>59</v>
      </c>
      <c r="AF8" s="14">
        <f>SUM(AF14:AF111,AI14:AI111)/4</f>
        <v>43359</v>
      </c>
      <c r="AG8" t="s">
        <v>89</v>
      </c>
      <c r="AJ8" s="6"/>
    </row>
    <row r="9" spans="1:36">
      <c r="A9" t="s">
        <v>4</v>
      </c>
      <c r="B9" s="14">
        <f>SUM(B14:B111)/4</f>
        <v>32915</v>
      </c>
      <c r="C9" t="s">
        <v>89</v>
      </c>
      <c r="F9" s="6"/>
      <c r="G9" t="s">
        <v>4</v>
      </c>
      <c r="H9" s="14">
        <f>SUM(H14:H111)/4</f>
        <v>35669</v>
      </c>
      <c r="I9" t="s">
        <v>89</v>
      </c>
      <c r="L9" s="6"/>
      <c r="M9" t="s">
        <v>4</v>
      </c>
      <c r="N9" s="14">
        <f>SUM(N14:N111)/4</f>
        <v>36652</v>
      </c>
      <c r="O9" t="s">
        <v>89</v>
      </c>
      <c r="R9" s="6"/>
      <c r="S9" t="s">
        <v>4</v>
      </c>
      <c r="T9" s="14">
        <f>SUM(T14:T111)/4</f>
        <v>24357</v>
      </c>
      <c r="U9" t="s">
        <v>89</v>
      </c>
      <c r="X9" s="6"/>
      <c r="Y9" t="s">
        <v>4</v>
      </c>
      <c r="Z9" s="14">
        <f>SUM(Z14:Z111)/4</f>
        <v>19672</v>
      </c>
      <c r="AA9" t="s">
        <v>89</v>
      </c>
      <c r="AD9" s="6"/>
      <c r="AE9" t="s">
        <v>4</v>
      </c>
      <c r="AF9" s="14">
        <f>SUM(AF14:AF111)/4</f>
        <v>19852</v>
      </c>
      <c r="AG9" t="s">
        <v>89</v>
      </c>
      <c r="AJ9" s="6"/>
    </row>
    <row r="10" spans="1:36">
      <c r="A10" t="s">
        <v>5</v>
      </c>
      <c r="B10" s="14">
        <f>SUM(E14:E111)/4</f>
        <v>43379</v>
      </c>
      <c r="C10" t="s">
        <v>89</v>
      </c>
      <c r="F10" s="6"/>
      <c r="G10" t="s">
        <v>5</v>
      </c>
      <c r="H10" s="14">
        <f>SUM(K14:K111)/4</f>
        <v>47475</v>
      </c>
      <c r="I10" t="s">
        <v>89</v>
      </c>
      <c r="L10" s="6"/>
      <c r="M10" t="s">
        <v>5</v>
      </c>
      <c r="N10" s="14">
        <f>SUM(Q14:Q111)/4</f>
        <v>49566</v>
      </c>
      <c r="O10" t="s">
        <v>89</v>
      </c>
      <c r="R10" s="6"/>
      <c r="S10" t="s">
        <v>5</v>
      </c>
      <c r="T10" s="14">
        <f>SUM(W14:W111)/4</f>
        <v>30595</v>
      </c>
      <c r="U10" t="s">
        <v>89</v>
      </c>
      <c r="X10" s="6"/>
      <c r="Y10" t="s">
        <v>5</v>
      </c>
      <c r="Z10" s="14">
        <f>SUM(AC14:AC111)/4</f>
        <v>24209</v>
      </c>
      <c r="AA10" t="s">
        <v>89</v>
      </c>
      <c r="AD10" s="6"/>
      <c r="AE10" t="s">
        <v>5</v>
      </c>
      <c r="AF10" s="14">
        <f>SUM(AI14:AI111)/4</f>
        <v>23507</v>
      </c>
      <c r="AG10" t="s">
        <v>89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90</v>
      </c>
      <c r="D13" t="s">
        <v>90</v>
      </c>
      <c r="F13" s="6"/>
      <c r="G13" t="s">
        <v>90</v>
      </c>
      <c r="J13" t="s">
        <v>90</v>
      </c>
      <c r="L13" s="6"/>
      <c r="M13" t="s">
        <v>90</v>
      </c>
      <c r="P13" t="s">
        <v>90</v>
      </c>
      <c r="R13" s="6"/>
      <c r="S13" t="s">
        <v>90</v>
      </c>
      <c r="V13" t="s">
        <v>90</v>
      </c>
      <c r="X13" s="6"/>
      <c r="Y13" t="s">
        <v>90</v>
      </c>
      <c r="AB13" t="s">
        <v>90</v>
      </c>
      <c r="AD13" s="6"/>
      <c r="AE13" t="s">
        <v>90</v>
      </c>
      <c r="AH13" t="s">
        <v>90</v>
      </c>
      <c r="AJ13" s="6"/>
    </row>
    <row r="14" spans="1:36">
      <c r="A14">
        <v>1777960800000</v>
      </c>
      <c r="B14">
        <v>408</v>
      </c>
      <c r="D14">
        <v>1777960800000</v>
      </c>
      <c r="E14">
        <v>1392</v>
      </c>
      <c r="F14" s="6"/>
      <c r="G14">
        <v>1778047200000</v>
      </c>
      <c r="H14">
        <v>1056</v>
      </c>
      <c r="J14">
        <v>1778047200000</v>
      </c>
      <c r="K14">
        <v>1420</v>
      </c>
      <c r="L14" s="6"/>
      <c r="M14">
        <v>1779084000000</v>
      </c>
      <c r="N14">
        <v>876</v>
      </c>
      <c r="P14">
        <v>1779084000000</v>
      </c>
      <c r="Q14">
        <v>828</v>
      </c>
      <c r="R14" s="6"/>
      <c r="S14">
        <v>1782194400000</v>
      </c>
      <c r="T14">
        <v>568</v>
      </c>
      <c r="V14">
        <v>1782194400000</v>
      </c>
      <c r="W14">
        <v>1152</v>
      </c>
      <c r="X14" s="6"/>
      <c r="Y14">
        <v>1784008800000</v>
      </c>
      <c r="Z14">
        <v>368</v>
      </c>
      <c r="AB14">
        <v>1784008800000</v>
      </c>
      <c r="AC14">
        <v>612</v>
      </c>
      <c r="AD14" s="6"/>
      <c r="AE14">
        <v>1784095200000</v>
      </c>
      <c r="AF14">
        <v>280</v>
      </c>
      <c r="AH14">
        <v>1784095200000</v>
      </c>
      <c r="AI14">
        <v>424</v>
      </c>
      <c r="AJ14" s="6"/>
    </row>
    <row r="15" spans="1:36">
      <c r="A15">
        <v>1777961700000</v>
      </c>
      <c r="B15">
        <v>212</v>
      </c>
      <c r="D15">
        <v>1777961700000</v>
      </c>
      <c r="E15">
        <v>1276</v>
      </c>
      <c r="F15" s="6"/>
      <c r="G15">
        <v>1778048100000</v>
      </c>
      <c r="H15">
        <v>868</v>
      </c>
      <c r="J15">
        <v>1778048100000</v>
      </c>
      <c r="K15">
        <v>1320</v>
      </c>
      <c r="L15" s="6"/>
      <c r="M15">
        <v>1779084900000</v>
      </c>
      <c r="N15">
        <v>1088</v>
      </c>
      <c r="P15">
        <v>1779084900000</v>
      </c>
      <c r="Q15">
        <v>800</v>
      </c>
      <c r="R15" s="6"/>
      <c r="S15">
        <v>1782195300000</v>
      </c>
      <c r="T15">
        <v>436</v>
      </c>
      <c r="V15">
        <v>1782195300000</v>
      </c>
      <c r="W15">
        <v>808</v>
      </c>
      <c r="X15" s="6"/>
      <c r="Y15">
        <v>1784009700000</v>
      </c>
      <c r="Z15">
        <v>312</v>
      </c>
      <c r="AB15">
        <v>1784009700000</v>
      </c>
      <c r="AC15">
        <v>496</v>
      </c>
      <c r="AD15" s="6"/>
      <c r="AE15">
        <v>1784096100000</v>
      </c>
      <c r="AF15">
        <v>288</v>
      </c>
      <c r="AH15">
        <v>1784096100000</v>
      </c>
      <c r="AI15">
        <v>456</v>
      </c>
      <c r="AJ15" s="6"/>
    </row>
    <row r="16" spans="1:36">
      <c r="A16">
        <v>1777962600000</v>
      </c>
      <c r="B16">
        <v>284</v>
      </c>
      <c r="D16">
        <v>1777962600000</v>
      </c>
      <c r="E16">
        <v>1300</v>
      </c>
      <c r="F16" s="6"/>
      <c r="G16">
        <v>1778049000000</v>
      </c>
      <c r="H16">
        <v>1004</v>
      </c>
      <c r="J16">
        <v>1778049000000</v>
      </c>
      <c r="K16">
        <v>1380</v>
      </c>
      <c r="L16" s="6"/>
      <c r="M16">
        <v>1779085800000</v>
      </c>
      <c r="N16">
        <v>1020</v>
      </c>
      <c r="P16">
        <v>1779085800000</v>
      </c>
      <c r="Q16">
        <v>1140</v>
      </c>
      <c r="R16" s="6"/>
      <c r="S16">
        <v>1782196200000</v>
      </c>
      <c r="T16">
        <v>536</v>
      </c>
      <c r="V16">
        <v>1782196200000</v>
      </c>
      <c r="W16">
        <v>788</v>
      </c>
      <c r="X16" s="6"/>
      <c r="Y16">
        <v>1784010600000</v>
      </c>
      <c r="Z16">
        <v>284</v>
      </c>
      <c r="AB16">
        <v>1784010600000</v>
      </c>
      <c r="AC16">
        <v>584</v>
      </c>
      <c r="AD16" s="6"/>
      <c r="AE16">
        <v>1784097000000</v>
      </c>
      <c r="AF16">
        <v>168</v>
      </c>
      <c r="AH16">
        <v>1784097000000</v>
      </c>
      <c r="AI16">
        <v>484</v>
      </c>
      <c r="AJ16" s="6"/>
    </row>
    <row r="17" spans="1:36">
      <c r="A17">
        <v>1777963500000</v>
      </c>
      <c r="B17">
        <v>656</v>
      </c>
      <c r="D17">
        <v>1777963500000</v>
      </c>
      <c r="E17">
        <v>1240</v>
      </c>
      <c r="F17" s="6"/>
      <c r="G17">
        <v>1778049900000</v>
      </c>
      <c r="H17">
        <v>856</v>
      </c>
      <c r="J17">
        <v>1778049900000</v>
      </c>
      <c r="K17">
        <v>1124</v>
      </c>
      <c r="L17" s="6"/>
      <c r="M17">
        <v>1779086700000</v>
      </c>
      <c r="N17">
        <v>1092</v>
      </c>
      <c r="P17">
        <v>1779086700000</v>
      </c>
      <c r="Q17">
        <v>1104</v>
      </c>
      <c r="R17" s="6"/>
      <c r="S17">
        <v>1782197100000</v>
      </c>
      <c r="T17">
        <v>428</v>
      </c>
      <c r="V17">
        <v>1782197100000</v>
      </c>
      <c r="W17">
        <v>768</v>
      </c>
      <c r="X17" s="6"/>
      <c r="Y17">
        <v>1784011500000</v>
      </c>
      <c r="Z17">
        <v>248</v>
      </c>
      <c r="AB17">
        <v>1784011500000</v>
      </c>
      <c r="AC17">
        <v>524</v>
      </c>
      <c r="AD17" s="6"/>
      <c r="AE17">
        <v>1784097900000</v>
      </c>
      <c r="AF17">
        <v>220</v>
      </c>
      <c r="AH17">
        <v>1784097900000</v>
      </c>
      <c r="AI17">
        <v>444</v>
      </c>
      <c r="AJ17" s="6"/>
    </row>
    <row r="18" spans="1:36">
      <c r="A18">
        <v>1777964400000</v>
      </c>
      <c r="B18">
        <v>852</v>
      </c>
      <c r="D18">
        <v>1777964400000</v>
      </c>
      <c r="E18">
        <v>1292</v>
      </c>
      <c r="F18" s="6"/>
      <c r="G18">
        <v>1778050800000</v>
      </c>
      <c r="H18">
        <v>932</v>
      </c>
      <c r="J18">
        <v>1778050800000</v>
      </c>
      <c r="K18">
        <v>1276</v>
      </c>
      <c r="L18" s="6"/>
      <c r="M18">
        <v>1779087600000</v>
      </c>
      <c r="N18">
        <v>1288</v>
      </c>
      <c r="P18">
        <v>1779087600000</v>
      </c>
      <c r="Q18">
        <v>1824</v>
      </c>
      <c r="R18" s="6"/>
      <c r="S18">
        <v>1782198000000</v>
      </c>
      <c r="T18">
        <v>312</v>
      </c>
      <c r="V18">
        <v>1782198000000</v>
      </c>
      <c r="W18">
        <v>776</v>
      </c>
      <c r="X18" s="6"/>
      <c r="Y18">
        <v>1784012400000</v>
      </c>
      <c r="Z18">
        <v>256</v>
      </c>
      <c r="AB18">
        <v>1784012400000</v>
      </c>
      <c r="AC18">
        <v>540</v>
      </c>
      <c r="AD18" s="6"/>
      <c r="AE18">
        <v>1784098800000</v>
      </c>
      <c r="AF18">
        <v>136</v>
      </c>
      <c r="AH18">
        <v>1784098800000</v>
      </c>
      <c r="AI18">
        <v>564</v>
      </c>
      <c r="AJ18" s="6"/>
    </row>
    <row r="19" spans="1:36">
      <c r="A19">
        <v>1777965300000</v>
      </c>
      <c r="B19">
        <v>620</v>
      </c>
      <c r="D19">
        <v>1777965300000</v>
      </c>
      <c r="E19">
        <v>1364</v>
      </c>
      <c r="F19" s="6"/>
      <c r="G19">
        <v>1778051700000</v>
      </c>
      <c r="H19">
        <v>756</v>
      </c>
      <c r="J19">
        <v>1778051700000</v>
      </c>
      <c r="K19">
        <v>3084</v>
      </c>
      <c r="L19" s="6"/>
      <c r="M19">
        <v>1779088500000</v>
      </c>
      <c r="N19">
        <v>1068</v>
      </c>
      <c r="P19">
        <v>1779088500000</v>
      </c>
      <c r="Q19">
        <v>2992</v>
      </c>
      <c r="R19" s="6"/>
      <c r="S19">
        <v>1782198900000</v>
      </c>
      <c r="T19">
        <v>376</v>
      </c>
      <c r="V19">
        <v>1782198900000</v>
      </c>
      <c r="W19">
        <v>820</v>
      </c>
      <c r="X19" s="6"/>
      <c r="Y19">
        <v>1784013300000</v>
      </c>
      <c r="Z19">
        <v>208</v>
      </c>
      <c r="AB19">
        <v>1784013300000</v>
      </c>
      <c r="AC19">
        <v>560</v>
      </c>
      <c r="AD19" s="6"/>
      <c r="AE19">
        <v>1784099700000</v>
      </c>
      <c r="AF19">
        <v>176</v>
      </c>
      <c r="AH19">
        <v>1784099700000</v>
      </c>
      <c r="AI19">
        <v>464</v>
      </c>
      <c r="AJ19" s="6"/>
    </row>
    <row r="20" spans="1:36">
      <c r="A20">
        <v>1777966200000</v>
      </c>
      <c r="B20">
        <v>556</v>
      </c>
      <c r="D20">
        <v>1777966200000</v>
      </c>
      <c r="E20">
        <v>1252</v>
      </c>
      <c r="F20" s="6"/>
      <c r="G20">
        <v>1778052600000</v>
      </c>
      <c r="H20">
        <v>1104</v>
      </c>
      <c r="J20">
        <v>1778052600000</v>
      </c>
      <c r="K20">
        <v>3444</v>
      </c>
      <c r="L20" s="6"/>
      <c r="M20">
        <v>1779089400000</v>
      </c>
      <c r="N20">
        <v>988</v>
      </c>
      <c r="P20">
        <v>1779089400000</v>
      </c>
      <c r="Q20">
        <v>2540</v>
      </c>
      <c r="R20" s="6"/>
      <c r="S20">
        <v>1782199800000</v>
      </c>
      <c r="T20">
        <v>356</v>
      </c>
      <c r="V20">
        <v>1782199800000</v>
      </c>
      <c r="W20">
        <v>684</v>
      </c>
      <c r="X20" s="6"/>
      <c r="Y20">
        <v>1784014200000</v>
      </c>
      <c r="Z20">
        <v>172</v>
      </c>
      <c r="AB20">
        <v>1784014200000</v>
      </c>
      <c r="AC20">
        <v>460</v>
      </c>
      <c r="AD20" s="6"/>
      <c r="AE20">
        <v>1784100600000</v>
      </c>
      <c r="AF20">
        <v>192</v>
      </c>
      <c r="AH20">
        <v>1784100600000</v>
      </c>
      <c r="AI20">
        <v>372</v>
      </c>
      <c r="AJ20" s="6"/>
    </row>
    <row r="21" spans="1:36">
      <c r="A21">
        <v>1777967100000</v>
      </c>
      <c r="B21">
        <v>652</v>
      </c>
      <c r="D21">
        <v>1777967100000</v>
      </c>
      <c r="E21">
        <v>1192</v>
      </c>
      <c r="F21" s="6"/>
      <c r="G21">
        <v>1778053500000</v>
      </c>
      <c r="H21">
        <v>936</v>
      </c>
      <c r="J21">
        <v>1778053500000</v>
      </c>
      <c r="K21">
        <v>3316</v>
      </c>
      <c r="L21" s="6"/>
      <c r="M21">
        <v>1779090300000</v>
      </c>
      <c r="N21">
        <v>972</v>
      </c>
      <c r="P21">
        <v>1779090300000</v>
      </c>
      <c r="Q21">
        <v>2880</v>
      </c>
      <c r="R21" s="6"/>
      <c r="S21">
        <v>1782200700000</v>
      </c>
      <c r="T21">
        <v>376</v>
      </c>
      <c r="V21">
        <v>1782200700000</v>
      </c>
      <c r="W21">
        <v>872</v>
      </c>
      <c r="X21" s="6"/>
      <c r="Y21">
        <v>1784015100000</v>
      </c>
      <c r="Z21">
        <v>132</v>
      </c>
      <c r="AB21">
        <v>1784015100000</v>
      </c>
      <c r="AC21">
        <v>348</v>
      </c>
      <c r="AD21" s="6"/>
      <c r="AE21">
        <v>1784101500000</v>
      </c>
      <c r="AF21">
        <v>108</v>
      </c>
      <c r="AH21">
        <v>1784101500000</v>
      </c>
      <c r="AI21">
        <v>520</v>
      </c>
      <c r="AJ21" s="6"/>
    </row>
    <row r="22" spans="1:36">
      <c r="A22">
        <v>1777968000000</v>
      </c>
      <c r="B22">
        <v>616</v>
      </c>
      <c r="D22">
        <v>1777968000000</v>
      </c>
      <c r="E22">
        <v>1192</v>
      </c>
      <c r="F22" s="6"/>
      <c r="G22">
        <v>1778054400000</v>
      </c>
      <c r="H22">
        <v>868</v>
      </c>
      <c r="J22">
        <v>1778054400000</v>
      </c>
      <c r="K22">
        <v>2980</v>
      </c>
      <c r="L22" s="6"/>
      <c r="M22">
        <v>1779091200000</v>
      </c>
      <c r="N22">
        <v>952</v>
      </c>
      <c r="P22">
        <v>1779091200000</v>
      </c>
      <c r="Q22">
        <v>2760</v>
      </c>
      <c r="R22" s="6"/>
      <c r="S22">
        <v>1782201600000</v>
      </c>
      <c r="T22">
        <v>500</v>
      </c>
      <c r="V22">
        <v>1782201600000</v>
      </c>
      <c r="W22">
        <v>936</v>
      </c>
      <c r="X22" s="6"/>
      <c r="Y22">
        <v>1784016000000</v>
      </c>
      <c r="Z22">
        <v>100</v>
      </c>
      <c r="AB22">
        <v>1784016000000</v>
      </c>
      <c r="AC22">
        <v>508</v>
      </c>
      <c r="AD22" s="6"/>
      <c r="AE22">
        <v>1784102400000</v>
      </c>
      <c r="AF22">
        <v>116</v>
      </c>
      <c r="AH22">
        <v>1784102400000</v>
      </c>
      <c r="AI22">
        <v>476</v>
      </c>
      <c r="AJ22" s="6"/>
    </row>
    <row r="23" spans="1:36">
      <c r="A23">
        <v>1777968900000</v>
      </c>
      <c r="B23">
        <v>460</v>
      </c>
      <c r="D23">
        <v>1777968900000</v>
      </c>
      <c r="E23">
        <v>1068</v>
      </c>
      <c r="F23" s="6"/>
      <c r="G23">
        <v>1778055300000</v>
      </c>
      <c r="H23">
        <v>632</v>
      </c>
      <c r="J23">
        <v>1778055300000</v>
      </c>
      <c r="K23">
        <v>2440</v>
      </c>
      <c r="L23" s="6"/>
      <c r="M23">
        <v>1779092100000</v>
      </c>
      <c r="N23">
        <v>932</v>
      </c>
      <c r="P23">
        <v>1779092100000</v>
      </c>
      <c r="Q23">
        <v>2176</v>
      </c>
      <c r="R23" s="6"/>
      <c r="S23">
        <v>1782202500000</v>
      </c>
      <c r="T23">
        <v>540</v>
      </c>
      <c r="V23">
        <v>1782202500000</v>
      </c>
      <c r="W23">
        <v>900</v>
      </c>
      <c r="X23" s="6"/>
      <c r="Y23">
        <v>1784016900000</v>
      </c>
      <c r="Z23">
        <v>52</v>
      </c>
      <c r="AB23">
        <v>1784016900000</v>
      </c>
      <c r="AC23">
        <v>716</v>
      </c>
      <c r="AD23" s="6"/>
      <c r="AE23">
        <v>1784103300000</v>
      </c>
      <c r="AF23">
        <v>224</v>
      </c>
      <c r="AH23">
        <v>1784103300000</v>
      </c>
      <c r="AI23">
        <v>516</v>
      </c>
      <c r="AJ23" s="6"/>
    </row>
    <row r="24" spans="1:36">
      <c r="A24">
        <v>1777969800000</v>
      </c>
      <c r="B24">
        <v>612</v>
      </c>
      <c r="D24">
        <v>1777969800000</v>
      </c>
      <c r="E24">
        <v>1044</v>
      </c>
      <c r="F24" s="6"/>
      <c r="G24">
        <v>1778056200000</v>
      </c>
      <c r="H24">
        <v>1024</v>
      </c>
      <c r="J24">
        <v>1778056200000</v>
      </c>
      <c r="K24">
        <v>2304</v>
      </c>
      <c r="L24" s="6"/>
      <c r="M24">
        <v>1779093000000</v>
      </c>
      <c r="N24">
        <v>928</v>
      </c>
      <c r="P24">
        <v>1779093000000</v>
      </c>
      <c r="Q24">
        <v>2284</v>
      </c>
      <c r="R24" s="6"/>
      <c r="S24">
        <v>1782203400000</v>
      </c>
      <c r="T24">
        <v>508</v>
      </c>
      <c r="V24">
        <v>1782203400000</v>
      </c>
      <c r="W24">
        <v>980</v>
      </c>
      <c r="X24" s="6"/>
      <c r="Y24">
        <v>1784017800000</v>
      </c>
      <c r="Z24">
        <v>124</v>
      </c>
      <c r="AB24">
        <v>1784017800000</v>
      </c>
      <c r="AC24">
        <v>528</v>
      </c>
      <c r="AD24" s="6"/>
      <c r="AE24">
        <v>1784104200000</v>
      </c>
      <c r="AF24">
        <v>244</v>
      </c>
      <c r="AH24">
        <v>1784104200000</v>
      </c>
      <c r="AI24">
        <v>532</v>
      </c>
      <c r="AJ24" s="6"/>
    </row>
    <row r="25" spans="1:36">
      <c r="A25">
        <v>1777970700000</v>
      </c>
      <c r="B25">
        <v>388</v>
      </c>
      <c r="D25">
        <v>1777970700000</v>
      </c>
      <c r="E25">
        <v>812</v>
      </c>
      <c r="F25" s="6"/>
      <c r="G25">
        <v>1778057100000</v>
      </c>
      <c r="H25">
        <v>776</v>
      </c>
      <c r="J25">
        <v>1778057100000</v>
      </c>
      <c r="K25">
        <v>2384</v>
      </c>
      <c r="L25" s="6"/>
      <c r="M25">
        <v>1779093900000</v>
      </c>
      <c r="N25">
        <v>876</v>
      </c>
      <c r="P25">
        <v>1779093900000</v>
      </c>
      <c r="Q25">
        <v>2072</v>
      </c>
      <c r="R25" s="6"/>
      <c r="S25">
        <v>1782204300000</v>
      </c>
      <c r="T25">
        <v>556</v>
      </c>
      <c r="V25">
        <v>1782204300000</v>
      </c>
      <c r="W25">
        <v>1016</v>
      </c>
      <c r="X25" s="6"/>
      <c r="Y25">
        <v>1784018700000</v>
      </c>
      <c r="Z25">
        <v>180</v>
      </c>
      <c r="AB25">
        <v>1784018700000</v>
      </c>
      <c r="AC25">
        <v>616</v>
      </c>
      <c r="AD25" s="6"/>
      <c r="AE25">
        <v>1784105100000</v>
      </c>
      <c r="AF25">
        <v>44</v>
      </c>
      <c r="AH25">
        <v>1784105100000</v>
      </c>
      <c r="AI25">
        <v>444</v>
      </c>
      <c r="AJ25" s="6"/>
    </row>
    <row r="26" spans="1:36">
      <c r="A26">
        <v>1777971600000</v>
      </c>
      <c r="B26">
        <v>444</v>
      </c>
      <c r="D26">
        <v>1777971600000</v>
      </c>
      <c r="E26">
        <v>976</v>
      </c>
      <c r="F26" s="6"/>
      <c r="G26">
        <v>1778058000000</v>
      </c>
      <c r="H26">
        <v>996</v>
      </c>
      <c r="J26">
        <v>1778058000000</v>
      </c>
      <c r="K26">
        <v>1640</v>
      </c>
      <c r="L26" s="6"/>
      <c r="M26">
        <v>1779094800000</v>
      </c>
      <c r="N26">
        <v>864</v>
      </c>
      <c r="P26">
        <v>1779094800000</v>
      </c>
      <c r="Q26">
        <v>2172</v>
      </c>
      <c r="R26" s="6"/>
      <c r="S26">
        <v>1782205200000</v>
      </c>
      <c r="T26">
        <v>388</v>
      </c>
      <c r="V26">
        <v>1782205200000</v>
      </c>
      <c r="W26">
        <v>892</v>
      </c>
      <c r="X26" s="6"/>
      <c r="Y26">
        <v>1784019600000</v>
      </c>
      <c r="Z26">
        <v>128</v>
      </c>
      <c r="AB26">
        <v>1784019600000</v>
      </c>
      <c r="AC26">
        <v>732</v>
      </c>
      <c r="AD26" s="6"/>
      <c r="AE26">
        <v>1784106000000</v>
      </c>
      <c r="AF26">
        <v>120</v>
      </c>
      <c r="AH26">
        <v>1784106000000</v>
      </c>
      <c r="AI26">
        <v>552</v>
      </c>
      <c r="AJ26" s="6"/>
    </row>
    <row r="27" spans="1:36">
      <c r="A27">
        <v>1777972500000</v>
      </c>
      <c r="B27">
        <v>292</v>
      </c>
      <c r="D27">
        <v>1777972500000</v>
      </c>
      <c r="E27">
        <v>1176</v>
      </c>
      <c r="F27" s="6"/>
      <c r="G27">
        <v>1778058900000</v>
      </c>
      <c r="H27">
        <v>664</v>
      </c>
      <c r="J27">
        <v>1778058900000</v>
      </c>
      <c r="K27">
        <v>1404</v>
      </c>
      <c r="L27" s="6"/>
      <c r="M27">
        <v>1779095700000</v>
      </c>
      <c r="N27">
        <v>928</v>
      </c>
      <c r="P27">
        <v>1779095700000</v>
      </c>
      <c r="Q27">
        <v>2004</v>
      </c>
      <c r="R27" s="6"/>
      <c r="S27">
        <v>1782206100000</v>
      </c>
      <c r="T27">
        <v>548</v>
      </c>
      <c r="V27">
        <v>1782206100000</v>
      </c>
      <c r="W27">
        <v>1112</v>
      </c>
      <c r="X27" s="6"/>
      <c r="Y27">
        <v>1784020500000</v>
      </c>
      <c r="Z27">
        <v>160</v>
      </c>
      <c r="AB27">
        <v>1784020500000</v>
      </c>
      <c r="AC27">
        <v>580</v>
      </c>
      <c r="AD27" s="6"/>
      <c r="AE27">
        <v>1784106900000</v>
      </c>
      <c r="AF27">
        <v>136</v>
      </c>
      <c r="AH27">
        <v>1784106900000</v>
      </c>
      <c r="AI27">
        <v>340</v>
      </c>
      <c r="AJ27" s="6"/>
    </row>
    <row r="28" spans="1:36">
      <c r="A28">
        <v>1777973400000</v>
      </c>
      <c r="B28">
        <v>432</v>
      </c>
      <c r="D28">
        <v>1777973400000</v>
      </c>
      <c r="E28">
        <v>1324</v>
      </c>
      <c r="F28" s="6"/>
      <c r="G28">
        <v>1778059800000</v>
      </c>
      <c r="H28">
        <v>152</v>
      </c>
      <c r="J28">
        <v>1778059800000</v>
      </c>
      <c r="K28">
        <v>836</v>
      </c>
      <c r="L28" s="6"/>
      <c r="M28">
        <v>1779096600000</v>
      </c>
      <c r="N28">
        <v>828</v>
      </c>
      <c r="P28">
        <v>1779096600000</v>
      </c>
      <c r="Q28">
        <v>1696</v>
      </c>
      <c r="R28" s="6"/>
      <c r="S28">
        <v>1782207000000</v>
      </c>
      <c r="T28">
        <v>216</v>
      </c>
      <c r="V28">
        <v>1782207000000</v>
      </c>
      <c r="W28">
        <v>900</v>
      </c>
      <c r="X28" s="6"/>
      <c r="Y28">
        <v>1784021400000</v>
      </c>
      <c r="Z28">
        <v>52</v>
      </c>
      <c r="AB28">
        <v>1784021400000</v>
      </c>
      <c r="AC28">
        <v>464</v>
      </c>
      <c r="AD28" s="6"/>
      <c r="AE28">
        <v>1784107800000</v>
      </c>
      <c r="AF28">
        <v>160</v>
      </c>
      <c r="AH28">
        <v>1784107800000</v>
      </c>
      <c r="AI28">
        <v>536</v>
      </c>
      <c r="AJ28" s="6"/>
    </row>
    <row r="29" spans="1:36">
      <c r="A29">
        <v>1777974300000</v>
      </c>
      <c r="B29">
        <v>584</v>
      </c>
      <c r="D29">
        <v>1777974300000</v>
      </c>
      <c r="E29">
        <v>1244</v>
      </c>
      <c r="F29" s="6"/>
      <c r="G29">
        <v>1778060700000</v>
      </c>
      <c r="H29">
        <v>128</v>
      </c>
      <c r="J29">
        <v>1778060700000</v>
      </c>
      <c r="K29">
        <v>1528</v>
      </c>
      <c r="L29" s="6"/>
      <c r="M29">
        <v>1779097500000</v>
      </c>
      <c r="N29">
        <v>820</v>
      </c>
      <c r="P29">
        <v>1779097500000</v>
      </c>
      <c r="Q29">
        <v>1624</v>
      </c>
      <c r="R29" s="6"/>
      <c r="S29">
        <v>1782207900000</v>
      </c>
      <c r="T29">
        <v>368</v>
      </c>
      <c r="V29">
        <v>1782207900000</v>
      </c>
      <c r="W29">
        <v>920</v>
      </c>
      <c r="X29" s="6"/>
      <c r="Y29">
        <v>1784022300000</v>
      </c>
      <c r="Z29">
        <v>260</v>
      </c>
      <c r="AB29">
        <v>1784022300000</v>
      </c>
      <c r="AC29">
        <v>708</v>
      </c>
      <c r="AD29" s="6"/>
      <c r="AE29">
        <v>1784108700000</v>
      </c>
      <c r="AF29">
        <v>196</v>
      </c>
      <c r="AH29">
        <v>1784108700000</v>
      </c>
      <c r="AI29">
        <v>556</v>
      </c>
      <c r="AJ29" s="6"/>
    </row>
    <row r="30" spans="1:36">
      <c r="A30">
        <v>1777975200000</v>
      </c>
      <c r="B30">
        <v>964</v>
      </c>
      <c r="D30">
        <v>1777975200000</v>
      </c>
      <c r="E30">
        <v>1260</v>
      </c>
      <c r="F30" s="6"/>
      <c r="G30">
        <v>1778061600000</v>
      </c>
      <c r="H30">
        <v>340</v>
      </c>
      <c r="J30">
        <v>1778061600000</v>
      </c>
      <c r="K30">
        <v>1440</v>
      </c>
      <c r="L30" s="6"/>
      <c r="M30">
        <v>1779098400000</v>
      </c>
      <c r="N30">
        <v>932</v>
      </c>
      <c r="P30">
        <v>1779098400000</v>
      </c>
      <c r="Q30">
        <v>1652</v>
      </c>
      <c r="R30" s="6"/>
      <c r="S30">
        <v>1782208800000</v>
      </c>
      <c r="T30">
        <v>504</v>
      </c>
      <c r="V30">
        <v>1782208800000</v>
      </c>
      <c r="W30">
        <v>1004</v>
      </c>
      <c r="X30" s="6"/>
      <c r="Y30">
        <v>1784023200000</v>
      </c>
      <c r="Z30">
        <v>196</v>
      </c>
      <c r="AB30">
        <v>1784023200000</v>
      </c>
      <c r="AC30">
        <v>656</v>
      </c>
      <c r="AD30" s="6"/>
      <c r="AE30">
        <v>1784109600000</v>
      </c>
      <c r="AF30">
        <v>292</v>
      </c>
      <c r="AH30">
        <v>1784109600000</v>
      </c>
      <c r="AI30">
        <v>464</v>
      </c>
      <c r="AJ30" s="6"/>
    </row>
    <row r="31" spans="1:36">
      <c r="A31">
        <v>1777976100000</v>
      </c>
      <c r="B31">
        <v>1800</v>
      </c>
      <c r="D31">
        <v>1777976100000</v>
      </c>
      <c r="E31">
        <v>1180</v>
      </c>
      <c r="F31" s="6"/>
      <c r="G31">
        <v>1778062500000</v>
      </c>
      <c r="H31">
        <v>776</v>
      </c>
      <c r="J31">
        <v>1778062500000</v>
      </c>
      <c r="K31">
        <v>756</v>
      </c>
      <c r="L31" s="6"/>
      <c r="M31">
        <v>1779099300000</v>
      </c>
      <c r="N31">
        <v>960</v>
      </c>
      <c r="P31">
        <v>1779099300000</v>
      </c>
      <c r="Q31">
        <v>1596</v>
      </c>
      <c r="R31" s="6"/>
      <c r="S31">
        <v>1782209700000</v>
      </c>
      <c r="T31">
        <v>452</v>
      </c>
      <c r="V31">
        <v>1782209700000</v>
      </c>
      <c r="W31">
        <v>1048</v>
      </c>
      <c r="X31" s="6"/>
      <c r="Y31">
        <v>1784024100000</v>
      </c>
      <c r="Z31">
        <v>256</v>
      </c>
      <c r="AB31">
        <v>1784024100000</v>
      </c>
      <c r="AC31">
        <v>820</v>
      </c>
      <c r="AD31" s="6"/>
      <c r="AE31">
        <v>1784110500000</v>
      </c>
      <c r="AF31">
        <v>168</v>
      </c>
      <c r="AH31">
        <v>1784110500000</v>
      </c>
      <c r="AI31">
        <v>608</v>
      </c>
      <c r="AJ31" s="6"/>
    </row>
    <row r="32" spans="1:36">
      <c r="A32">
        <v>1777977000000</v>
      </c>
      <c r="B32">
        <v>1656</v>
      </c>
      <c r="D32">
        <v>1777977000000</v>
      </c>
      <c r="E32">
        <v>1344</v>
      </c>
      <c r="F32" s="6"/>
      <c r="G32">
        <v>1778063400000</v>
      </c>
      <c r="H32">
        <v>1360</v>
      </c>
      <c r="J32">
        <v>1778063400000</v>
      </c>
      <c r="K32">
        <v>1312</v>
      </c>
      <c r="L32" s="6"/>
      <c r="M32">
        <v>1779100200000</v>
      </c>
      <c r="N32">
        <v>864</v>
      </c>
      <c r="P32">
        <v>1779100200000</v>
      </c>
      <c r="Q32">
        <v>1316</v>
      </c>
      <c r="R32" s="6"/>
      <c r="S32">
        <v>1782210600000</v>
      </c>
      <c r="T32">
        <v>464</v>
      </c>
      <c r="V32">
        <v>1782210600000</v>
      </c>
      <c r="W32">
        <v>1348</v>
      </c>
      <c r="X32" s="6"/>
      <c r="Y32">
        <v>1784025000000</v>
      </c>
      <c r="Z32">
        <v>288</v>
      </c>
      <c r="AB32">
        <v>1784025000000</v>
      </c>
      <c r="AC32">
        <v>872</v>
      </c>
      <c r="AD32" s="6"/>
      <c r="AE32">
        <v>1784111400000</v>
      </c>
      <c r="AF32">
        <v>240</v>
      </c>
      <c r="AH32">
        <v>1784111400000</v>
      </c>
      <c r="AI32">
        <v>756</v>
      </c>
      <c r="AJ32" s="6"/>
    </row>
    <row r="33" spans="1:36">
      <c r="A33">
        <v>1777977900000</v>
      </c>
      <c r="B33">
        <v>2028</v>
      </c>
      <c r="D33">
        <v>1777977900000</v>
      </c>
      <c r="E33">
        <v>1896</v>
      </c>
      <c r="F33" s="6"/>
      <c r="G33">
        <v>1778064300000</v>
      </c>
      <c r="H33">
        <v>1356</v>
      </c>
      <c r="J33">
        <v>1778064300000</v>
      </c>
      <c r="K33">
        <v>1228</v>
      </c>
      <c r="L33" s="6"/>
      <c r="M33">
        <v>1779101100000</v>
      </c>
      <c r="N33">
        <v>968</v>
      </c>
      <c r="P33">
        <v>1779101100000</v>
      </c>
      <c r="Q33">
        <v>1816</v>
      </c>
      <c r="R33" s="6"/>
      <c r="S33">
        <v>1782211500000</v>
      </c>
      <c r="T33">
        <v>572</v>
      </c>
      <c r="V33">
        <v>1782211500000</v>
      </c>
      <c r="W33">
        <v>1152</v>
      </c>
      <c r="X33" s="6"/>
      <c r="Y33">
        <v>1784025900000</v>
      </c>
      <c r="Z33">
        <v>216</v>
      </c>
      <c r="AB33">
        <v>1784025900000</v>
      </c>
      <c r="AC33">
        <v>700</v>
      </c>
      <c r="AD33" s="6"/>
      <c r="AE33">
        <v>1784112300000</v>
      </c>
      <c r="AF33">
        <v>336</v>
      </c>
      <c r="AH33">
        <v>1784112300000</v>
      </c>
      <c r="AI33">
        <v>584</v>
      </c>
      <c r="AJ33" s="6"/>
    </row>
    <row r="34" spans="1:36">
      <c r="A34">
        <v>1777978800000</v>
      </c>
      <c r="B34">
        <v>2004</v>
      </c>
      <c r="D34">
        <v>1777978800000</v>
      </c>
      <c r="E34">
        <v>1172</v>
      </c>
      <c r="F34" s="6"/>
      <c r="G34">
        <v>1778065200000</v>
      </c>
      <c r="H34">
        <v>1268</v>
      </c>
      <c r="J34">
        <v>1778065200000</v>
      </c>
      <c r="K34">
        <v>1012</v>
      </c>
      <c r="L34" s="6"/>
      <c r="M34">
        <v>1779102000000</v>
      </c>
      <c r="N34">
        <v>1124</v>
      </c>
      <c r="P34">
        <v>1779102000000</v>
      </c>
      <c r="Q34">
        <v>1840</v>
      </c>
      <c r="R34" s="6"/>
      <c r="S34">
        <v>1782212400000</v>
      </c>
      <c r="T34">
        <v>448</v>
      </c>
      <c r="V34">
        <v>1782212400000</v>
      </c>
      <c r="W34">
        <v>1296</v>
      </c>
      <c r="X34" s="6"/>
      <c r="Y34">
        <v>1784026800000</v>
      </c>
      <c r="Z34">
        <v>316</v>
      </c>
      <c r="AB34">
        <v>1784026800000</v>
      </c>
      <c r="AC34">
        <v>680</v>
      </c>
      <c r="AD34" s="6"/>
      <c r="AE34">
        <v>1784113200000</v>
      </c>
      <c r="AF34">
        <v>304</v>
      </c>
      <c r="AH34">
        <v>1784113200000</v>
      </c>
      <c r="AI34">
        <v>752</v>
      </c>
      <c r="AJ34" s="6"/>
    </row>
    <row r="35" spans="1:36">
      <c r="A35">
        <v>1777979700000</v>
      </c>
      <c r="B35">
        <v>1720</v>
      </c>
      <c r="D35">
        <v>1777979700000</v>
      </c>
      <c r="E35">
        <v>1544</v>
      </c>
      <c r="F35" s="6"/>
      <c r="G35">
        <v>1778066100000</v>
      </c>
      <c r="H35">
        <v>1560</v>
      </c>
      <c r="J35">
        <v>1778066100000</v>
      </c>
      <c r="K35">
        <v>1592</v>
      </c>
      <c r="L35" s="6"/>
      <c r="M35">
        <v>1779102900000</v>
      </c>
      <c r="N35">
        <v>760</v>
      </c>
      <c r="P35">
        <v>1779102900000</v>
      </c>
      <c r="Q35">
        <v>1380</v>
      </c>
      <c r="R35" s="6"/>
      <c r="S35">
        <v>1782213300000</v>
      </c>
      <c r="T35">
        <v>772</v>
      </c>
      <c r="V35">
        <v>1782213300000</v>
      </c>
      <c r="W35">
        <v>1076</v>
      </c>
      <c r="X35" s="6"/>
      <c r="Y35">
        <v>1784027700000</v>
      </c>
      <c r="Z35">
        <v>428</v>
      </c>
      <c r="AB35">
        <v>1784027700000</v>
      </c>
      <c r="AC35">
        <v>684</v>
      </c>
      <c r="AD35" s="6"/>
      <c r="AE35">
        <v>1784114100000</v>
      </c>
      <c r="AF35">
        <v>428</v>
      </c>
      <c r="AH35">
        <v>1784114100000</v>
      </c>
      <c r="AI35">
        <v>656</v>
      </c>
      <c r="AJ35" s="6"/>
    </row>
    <row r="36" spans="1:36">
      <c r="A36">
        <v>1777980600000</v>
      </c>
      <c r="B36">
        <v>1512</v>
      </c>
      <c r="D36">
        <v>1777980600000</v>
      </c>
      <c r="E36">
        <v>1656</v>
      </c>
      <c r="F36" s="6"/>
      <c r="G36">
        <v>1778067000000</v>
      </c>
      <c r="H36">
        <v>1608</v>
      </c>
      <c r="J36">
        <v>1778067000000</v>
      </c>
      <c r="K36">
        <v>1740</v>
      </c>
      <c r="L36" s="6"/>
      <c r="M36">
        <v>1779103800000</v>
      </c>
      <c r="N36">
        <v>1064</v>
      </c>
      <c r="P36">
        <v>1779103800000</v>
      </c>
      <c r="Q36">
        <v>1552</v>
      </c>
      <c r="R36" s="6"/>
      <c r="S36">
        <v>1782214200000</v>
      </c>
      <c r="T36">
        <v>700</v>
      </c>
      <c r="V36">
        <v>1782214200000</v>
      </c>
      <c r="W36">
        <v>1160</v>
      </c>
      <c r="X36" s="6"/>
      <c r="Y36">
        <v>1784028600000</v>
      </c>
      <c r="Z36">
        <v>692</v>
      </c>
      <c r="AB36">
        <v>1784028600000</v>
      </c>
      <c r="AC36">
        <v>964</v>
      </c>
      <c r="AD36" s="6"/>
      <c r="AE36">
        <v>1784115000000</v>
      </c>
      <c r="AF36">
        <v>528</v>
      </c>
      <c r="AH36">
        <v>1784115000000</v>
      </c>
      <c r="AI36">
        <v>884</v>
      </c>
      <c r="AJ36" s="6"/>
    </row>
    <row r="37" spans="1:36">
      <c r="A37">
        <v>1777981500000</v>
      </c>
      <c r="B37">
        <v>1352</v>
      </c>
      <c r="D37">
        <v>1777981500000</v>
      </c>
      <c r="E37">
        <v>1580</v>
      </c>
      <c r="F37" s="6"/>
      <c r="G37">
        <v>1778067900000</v>
      </c>
      <c r="H37">
        <v>1628</v>
      </c>
      <c r="J37">
        <v>1778067900000</v>
      </c>
      <c r="K37">
        <v>1428</v>
      </c>
      <c r="L37" s="6"/>
      <c r="M37">
        <v>1779104700000</v>
      </c>
      <c r="N37">
        <v>0</v>
      </c>
      <c r="P37">
        <v>1779104700000</v>
      </c>
      <c r="Q37">
        <v>0</v>
      </c>
      <c r="R37" s="6"/>
      <c r="S37">
        <v>1782215100000</v>
      </c>
      <c r="T37">
        <v>944</v>
      </c>
      <c r="V37">
        <v>1782215100000</v>
      </c>
      <c r="W37">
        <v>1252</v>
      </c>
      <c r="X37" s="6"/>
      <c r="Y37">
        <v>1784029500000</v>
      </c>
      <c r="Z37">
        <v>696</v>
      </c>
      <c r="AB37">
        <v>1784029500000</v>
      </c>
      <c r="AC37">
        <v>1016</v>
      </c>
      <c r="AD37" s="6"/>
      <c r="AE37">
        <v>1784115900000</v>
      </c>
      <c r="AF37">
        <v>704</v>
      </c>
      <c r="AH37">
        <v>1784115900000</v>
      </c>
      <c r="AI37">
        <v>1068</v>
      </c>
      <c r="AJ37" s="6"/>
    </row>
    <row r="38" spans="1:36">
      <c r="A38">
        <v>1777982400000</v>
      </c>
      <c r="B38">
        <v>1220</v>
      </c>
      <c r="D38">
        <v>1777982400000</v>
      </c>
      <c r="E38">
        <v>1352</v>
      </c>
      <c r="F38" s="6"/>
      <c r="G38">
        <v>1778068800000</v>
      </c>
      <c r="H38">
        <v>1920</v>
      </c>
      <c r="J38">
        <v>1778068800000</v>
      </c>
      <c r="K38">
        <v>1976</v>
      </c>
      <c r="L38" s="6"/>
      <c r="M38">
        <v>1779105600000</v>
      </c>
      <c r="N38">
        <v>144</v>
      </c>
      <c r="P38">
        <v>1779105600000</v>
      </c>
      <c r="Q38">
        <v>244</v>
      </c>
      <c r="R38" s="6"/>
      <c r="S38">
        <v>1782216000000</v>
      </c>
      <c r="T38">
        <v>584</v>
      </c>
      <c r="V38">
        <v>1782216000000</v>
      </c>
      <c r="W38">
        <v>1252</v>
      </c>
      <c r="X38" s="6"/>
      <c r="Y38">
        <v>1784030400000</v>
      </c>
      <c r="Z38">
        <v>692</v>
      </c>
      <c r="AB38">
        <v>1784030400000</v>
      </c>
      <c r="AC38">
        <v>1008</v>
      </c>
      <c r="AD38" s="6"/>
      <c r="AE38">
        <v>1784116800000</v>
      </c>
      <c r="AF38">
        <v>664</v>
      </c>
      <c r="AH38">
        <v>1784116800000</v>
      </c>
      <c r="AI38">
        <v>844</v>
      </c>
      <c r="AJ38" s="6"/>
    </row>
    <row r="39" spans="1:36">
      <c r="A39">
        <v>1777983300000</v>
      </c>
      <c r="B39">
        <v>1248</v>
      </c>
      <c r="D39">
        <v>1777983300000</v>
      </c>
      <c r="E39">
        <v>1616</v>
      </c>
      <c r="F39" s="6"/>
      <c r="G39">
        <v>1778069700000</v>
      </c>
      <c r="H39">
        <v>1792</v>
      </c>
      <c r="J39">
        <v>1778069700000</v>
      </c>
      <c r="K39">
        <v>1732</v>
      </c>
      <c r="L39" s="6"/>
      <c r="M39">
        <v>1779106500000</v>
      </c>
      <c r="N39">
        <v>1328</v>
      </c>
      <c r="P39">
        <v>1779106500000</v>
      </c>
      <c r="Q39">
        <v>1804</v>
      </c>
      <c r="R39" s="6"/>
      <c r="S39">
        <v>1782216900000</v>
      </c>
      <c r="T39">
        <v>840</v>
      </c>
      <c r="V39">
        <v>1782216900000</v>
      </c>
      <c r="W39">
        <v>1456</v>
      </c>
      <c r="X39" s="6"/>
      <c r="Y39">
        <v>1784031300000</v>
      </c>
      <c r="Z39">
        <v>700</v>
      </c>
      <c r="AB39">
        <v>1784031300000</v>
      </c>
      <c r="AC39">
        <v>1004</v>
      </c>
      <c r="AD39" s="6"/>
      <c r="AE39">
        <v>1784117700000</v>
      </c>
      <c r="AF39">
        <v>588</v>
      </c>
      <c r="AH39">
        <v>1784117700000</v>
      </c>
      <c r="AI39">
        <v>744</v>
      </c>
      <c r="AJ39" s="6"/>
    </row>
    <row r="40" spans="1:36">
      <c r="A40">
        <v>1777984200000</v>
      </c>
      <c r="B40">
        <v>1308</v>
      </c>
      <c r="D40">
        <v>1777984200000</v>
      </c>
      <c r="E40">
        <v>1792</v>
      </c>
      <c r="F40" s="6"/>
      <c r="G40">
        <v>1778070600000</v>
      </c>
      <c r="H40">
        <v>1596</v>
      </c>
      <c r="J40">
        <v>1778070600000</v>
      </c>
      <c r="K40">
        <v>1740</v>
      </c>
      <c r="L40" s="6"/>
      <c r="M40">
        <v>1779107400000</v>
      </c>
      <c r="N40">
        <v>1148</v>
      </c>
      <c r="P40">
        <v>1779107400000</v>
      </c>
      <c r="Q40">
        <v>1988</v>
      </c>
      <c r="R40" s="6"/>
      <c r="S40">
        <v>1782217800000</v>
      </c>
      <c r="T40">
        <v>896</v>
      </c>
      <c r="V40">
        <v>1782217800000</v>
      </c>
      <c r="W40">
        <v>1584</v>
      </c>
      <c r="X40" s="6"/>
      <c r="Y40">
        <v>1784032200000</v>
      </c>
      <c r="Z40">
        <v>588</v>
      </c>
      <c r="AB40">
        <v>1784032200000</v>
      </c>
      <c r="AC40">
        <v>776</v>
      </c>
      <c r="AD40" s="6"/>
      <c r="AE40">
        <v>1784118600000</v>
      </c>
      <c r="AF40">
        <v>776</v>
      </c>
      <c r="AH40">
        <v>1784118600000</v>
      </c>
      <c r="AI40">
        <v>760</v>
      </c>
      <c r="AJ40" s="6"/>
    </row>
    <row r="41" spans="1:36">
      <c r="A41">
        <v>1777985100000</v>
      </c>
      <c r="B41">
        <v>1456</v>
      </c>
      <c r="D41">
        <v>1777985100000</v>
      </c>
      <c r="E41">
        <v>1448</v>
      </c>
      <c r="F41" s="6"/>
      <c r="G41">
        <v>1778071500000</v>
      </c>
      <c r="H41">
        <v>1664</v>
      </c>
      <c r="J41">
        <v>1778071500000</v>
      </c>
      <c r="K41">
        <v>1840</v>
      </c>
      <c r="L41" s="6"/>
      <c r="M41">
        <v>1779108300000</v>
      </c>
      <c r="N41">
        <v>1336</v>
      </c>
      <c r="P41">
        <v>1779108300000</v>
      </c>
      <c r="Q41">
        <v>1960</v>
      </c>
      <c r="R41" s="6"/>
      <c r="S41">
        <v>1782218700000</v>
      </c>
      <c r="T41">
        <v>1060</v>
      </c>
      <c r="V41">
        <v>1782218700000</v>
      </c>
      <c r="W41">
        <v>1732</v>
      </c>
      <c r="X41" s="6"/>
      <c r="Y41">
        <v>1784033100000</v>
      </c>
      <c r="Z41">
        <v>668</v>
      </c>
      <c r="AB41">
        <v>1784033100000</v>
      </c>
      <c r="AC41">
        <v>1076</v>
      </c>
      <c r="AD41" s="6"/>
      <c r="AE41">
        <v>1784119500000</v>
      </c>
      <c r="AF41">
        <v>940</v>
      </c>
      <c r="AH41">
        <v>1784119500000</v>
      </c>
      <c r="AI41">
        <v>884</v>
      </c>
      <c r="AJ41" s="6"/>
    </row>
    <row r="42" spans="1:36">
      <c r="A42">
        <v>1777986000000</v>
      </c>
      <c r="B42">
        <v>1316</v>
      </c>
      <c r="D42">
        <v>1777986000000</v>
      </c>
      <c r="E42">
        <v>1788</v>
      </c>
      <c r="F42" s="6"/>
      <c r="G42">
        <v>1778072400000</v>
      </c>
      <c r="H42">
        <v>1344</v>
      </c>
      <c r="J42">
        <v>1778072400000</v>
      </c>
      <c r="K42">
        <v>1792</v>
      </c>
      <c r="L42" s="6"/>
      <c r="M42">
        <v>1779109200000</v>
      </c>
      <c r="N42">
        <v>1072</v>
      </c>
      <c r="P42">
        <v>1779109200000</v>
      </c>
      <c r="Q42">
        <v>1792</v>
      </c>
      <c r="R42" s="6"/>
      <c r="S42">
        <v>1782219600000</v>
      </c>
      <c r="T42">
        <v>832</v>
      </c>
      <c r="V42">
        <v>1782219600000</v>
      </c>
      <c r="W42">
        <v>1364</v>
      </c>
      <c r="X42" s="6"/>
      <c r="Y42">
        <v>1784034000000</v>
      </c>
      <c r="Z42">
        <v>660</v>
      </c>
      <c r="AB42">
        <v>1784034000000</v>
      </c>
      <c r="AC42">
        <v>1136</v>
      </c>
      <c r="AD42" s="6"/>
      <c r="AE42">
        <v>1784120400000</v>
      </c>
      <c r="AF42">
        <v>640</v>
      </c>
      <c r="AH42">
        <v>1784120400000</v>
      </c>
      <c r="AI42">
        <v>744</v>
      </c>
      <c r="AJ42" s="6"/>
    </row>
    <row r="43" spans="1:36">
      <c r="A43">
        <v>1777986900000</v>
      </c>
      <c r="B43">
        <v>1196</v>
      </c>
      <c r="D43">
        <v>1777986900000</v>
      </c>
      <c r="E43">
        <v>2120</v>
      </c>
      <c r="F43" s="6"/>
      <c r="G43">
        <v>1778073300000</v>
      </c>
      <c r="H43">
        <v>1004</v>
      </c>
      <c r="J43">
        <v>1778073300000</v>
      </c>
      <c r="K43">
        <v>1956</v>
      </c>
      <c r="L43" s="6"/>
      <c r="M43">
        <v>1779110100000</v>
      </c>
      <c r="N43">
        <v>1208</v>
      </c>
      <c r="P43">
        <v>1779110100000</v>
      </c>
      <c r="Q43">
        <v>1760</v>
      </c>
      <c r="R43" s="6"/>
      <c r="S43">
        <v>1782220500000</v>
      </c>
      <c r="T43">
        <v>896</v>
      </c>
      <c r="V43">
        <v>1782220500000</v>
      </c>
      <c r="W43">
        <v>1256</v>
      </c>
      <c r="X43" s="6"/>
      <c r="Y43">
        <v>1784034900000</v>
      </c>
      <c r="Z43">
        <v>716</v>
      </c>
      <c r="AB43">
        <v>1784034900000</v>
      </c>
      <c r="AC43">
        <v>1068</v>
      </c>
      <c r="AD43" s="6"/>
      <c r="AE43">
        <v>1784121300000</v>
      </c>
      <c r="AF43">
        <v>892</v>
      </c>
      <c r="AH43">
        <v>1784121300000</v>
      </c>
      <c r="AI43">
        <v>1144</v>
      </c>
      <c r="AJ43" s="6"/>
    </row>
    <row r="44" spans="1:36">
      <c r="A44">
        <v>1777987800000</v>
      </c>
      <c r="B44">
        <v>1492</v>
      </c>
      <c r="D44">
        <v>1777987800000</v>
      </c>
      <c r="E44">
        <v>1640</v>
      </c>
      <c r="F44" s="6"/>
      <c r="G44">
        <v>1778074200000</v>
      </c>
      <c r="H44">
        <v>1644</v>
      </c>
      <c r="J44">
        <v>1778074200000</v>
      </c>
      <c r="K44">
        <v>1964</v>
      </c>
      <c r="L44" s="6"/>
      <c r="M44">
        <v>1779111000000</v>
      </c>
      <c r="N44">
        <v>1624</v>
      </c>
      <c r="P44">
        <v>1779111000000</v>
      </c>
      <c r="Q44">
        <v>2220</v>
      </c>
      <c r="R44" s="6"/>
      <c r="S44">
        <v>1782221400000</v>
      </c>
      <c r="T44">
        <v>1108</v>
      </c>
      <c r="V44">
        <v>1782221400000</v>
      </c>
      <c r="W44">
        <v>1408</v>
      </c>
      <c r="X44" s="6"/>
      <c r="Y44">
        <v>1784035800000</v>
      </c>
      <c r="Z44">
        <v>596</v>
      </c>
      <c r="AB44">
        <v>1784035800000</v>
      </c>
      <c r="AC44">
        <v>1204</v>
      </c>
      <c r="AD44" s="6"/>
      <c r="AE44">
        <v>1784122200000</v>
      </c>
      <c r="AF44">
        <v>804</v>
      </c>
      <c r="AH44">
        <v>1784122200000</v>
      </c>
      <c r="AI44">
        <v>1096</v>
      </c>
      <c r="AJ44" s="6"/>
    </row>
    <row r="45" spans="1:36">
      <c r="A45">
        <v>1777988700000</v>
      </c>
      <c r="B45">
        <v>1164</v>
      </c>
      <c r="D45">
        <v>1777988700000</v>
      </c>
      <c r="E45">
        <v>2512</v>
      </c>
      <c r="F45" s="6"/>
      <c r="G45">
        <v>1778075100000</v>
      </c>
      <c r="H45">
        <v>1900</v>
      </c>
      <c r="J45">
        <v>1778075100000</v>
      </c>
      <c r="K45">
        <v>2372</v>
      </c>
      <c r="L45" s="6"/>
      <c r="M45">
        <v>1779111900000</v>
      </c>
      <c r="N45">
        <v>1928</v>
      </c>
      <c r="P45">
        <v>1779111900000</v>
      </c>
      <c r="Q45">
        <v>2496</v>
      </c>
      <c r="R45" s="6"/>
      <c r="S45">
        <v>1782222300000</v>
      </c>
      <c r="T45">
        <v>1288</v>
      </c>
      <c r="V45">
        <v>1782222300000</v>
      </c>
      <c r="W45">
        <v>1748</v>
      </c>
      <c r="X45" s="6"/>
      <c r="Y45">
        <v>1784036700000</v>
      </c>
      <c r="Z45">
        <v>944</v>
      </c>
      <c r="AB45">
        <v>1784036700000</v>
      </c>
      <c r="AC45">
        <v>1384</v>
      </c>
      <c r="AD45" s="6"/>
      <c r="AE45">
        <v>1784123100000</v>
      </c>
      <c r="AF45">
        <v>1100</v>
      </c>
      <c r="AH45">
        <v>1784123100000</v>
      </c>
      <c r="AI45">
        <v>1348</v>
      </c>
      <c r="AJ45" s="6"/>
    </row>
    <row r="46" spans="1:36">
      <c r="A46">
        <v>1777989600000</v>
      </c>
      <c r="B46">
        <v>1200</v>
      </c>
      <c r="D46">
        <v>1777989600000</v>
      </c>
      <c r="E46">
        <v>2456</v>
      </c>
      <c r="F46" s="6"/>
      <c r="G46">
        <v>1778076000000</v>
      </c>
      <c r="H46">
        <v>1796</v>
      </c>
      <c r="J46">
        <v>1778076000000</v>
      </c>
      <c r="K46">
        <v>2208</v>
      </c>
      <c r="L46" s="6"/>
      <c r="M46">
        <v>1779112800000</v>
      </c>
      <c r="N46">
        <v>2068</v>
      </c>
      <c r="P46">
        <v>1779112800000</v>
      </c>
      <c r="Q46">
        <v>2484</v>
      </c>
      <c r="R46" s="6"/>
      <c r="S46">
        <v>1782223200000</v>
      </c>
      <c r="T46">
        <v>1260</v>
      </c>
      <c r="V46">
        <v>1782223200000</v>
      </c>
      <c r="W46">
        <v>1780</v>
      </c>
      <c r="X46" s="6"/>
      <c r="Y46">
        <v>1784037600000</v>
      </c>
      <c r="Z46">
        <v>836</v>
      </c>
      <c r="AB46">
        <v>1784037600000</v>
      </c>
      <c r="AC46">
        <v>1076</v>
      </c>
      <c r="AD46" s="6"/>
      <c r="AE46">
        <v>1784124000000</v>
      </c>
      <c r="AF46">
        <v>912</v>
      </c>
      <c r="AH46">
        <v>1784124000000</v>
      </c>
      <c r="AI46">
        <v>892</v>
      </c>
      <c r="AJ46" s="6"/>
    </row>
    <row r="47" spans="1:36">
      <c r="A47">
        <v>1777990500000</v>
      </c>
      <c r="B47">
        <v>1428</v>
      </c>
      <c r="D47">
        <v>1777990500000</v>
      </c>
      <c r="E47">
        <v>1632</v>
      </c>
      <c r="F47" s="6"/>
      <c r="G47">
        <v>1778076900000</v>
      </c>
      <c r="H47">
        <v>1820</v>
      </c>
      <c r="J47">
        <v>1778076900000</v>
      </c>
      <c r="K47">
        <v>2156</v>
      </c>
      <c r="L47" s="6"/>
      <c r="M47">
        <v>1779113700000</v>
      </c>
      <c r="N47">
        <v>1948</v>
      </c>
      <c r="P47">
        <v>1779113700000</v>
      </c>
      <c r="Q47">
        <v>2568</v>
      </c>
      <c r="R47" s="6"/>
      <c r="S47">
        <v>1782224100000</v>
      </c>
      <c r="T47">
        <v>1404</v>
      </c>
      <c r="V47">
        <v>1782224100000</v>
      </c>
      <c r="W47">
        <v>1744</v>
      </c>
      <c r="X47" s="6"/>
      <c r="Y47">
        <v>1784038500000</v>
      </c>
      <c r="Z47">
        <v>716</v>
      </c>
      <c r="AB47">
        <v>1784038500000</v>
      </c>
      <c r="AC47">
        <v>836</v>
      </c>
      <c r="AD47" s="6"/>
      <c r="AE47">
        <v>1784124900000</v>
      </c>
      <c r="AF47">
        <v>780</v>
      </c>
      <c r="AH47">
        <v>1784124900000</v>
      </c>
      <c r="AI47">
        <v>1040</v>
      </c>
      <c r="AJ47" s="6"/>
    </row>
    <row r="48" spans="1:36">
      <c r="A48">
        <v>1777991400000</v>
      </c>
      <c r="B48">
        <v>1256</v>
      </c>
      <c r="D48">
        <v>1777991400000</v>
      </c>
      <c r="E48">
        <v>1504</v>
      </c>
      <c r="F48" s="6"/>
      <c r="G48">
        <v>1778077800000</v>
      </c>
      <c r="H48">
        <v>1108</v>
      </c>
      <c r="J48">
        <v>1778077800000</v>
      </c>
      <c r="K48">
        <v>1680</v>
      </c>
      <c r="L48" s="6"/>
      <c r="M48">
        <v>1779114600000</v>
      </c>
      <c r="N48">
        <v>1184</v>
      </c>
      <c r="P48">
        <v>1779114600000</v>
      </c>
      <c r="Q48">
        <v>2236</v>
      </c>
      <c r="R48" s="6"/>
      <c r="S48">
        <v>1782225000000</v>
      </c>
      <c r="T48">
        <v>1000</v>
      </c>
      <c r="V48">
        <v>1782225000000</v>
      </c>
      <c r="W48">
        <v>1008</v>
      </c>
      <c r="X48" s="6"/>
      <c r="Y48">
        <v>1784039400000</v>
      </c>
      <c r="Z48">
        <v>912</v>
      </c>
      <c r="AB48">
        <v>1784039400000</v>
      </c>
      <c r="AC48">
        <v>916</v>
      </c>
      <c r="AD48" s="6"/>
      <c r="AE48">
        <v>1784125800000</v>
      </c>
      <c r="AF48">
        <v>848</v>
      </c>
      <c r="AH48">
        <v>1784125800000</v>
      </c>
      <c r="AI48">
        <v>700</v>
      </c>
      <c r="AJ48" s="6"/>
    </row>
    <row r="49" spans="1:36">
      <c r="A49">
        <v>1777992300000</v>
      </c>
      <c r="B49">
        <v>1896</v>
      </c>
      <c r="D49">
        <v>1777992300000</v>
      </c>
      <c r="E49">
        <v>2208</v>
      </c>
      <c r="F49" s="6"/>
      <c r="G49">
        <v>1778078700000</v>
      </c>
      <c r="H49">
        <v>1636</v>
      </c>
      <c r="J49">
        <v>1778078700000</v>
      </c>
      <c r="K49">
        <v>2372</v>
      </c>
      <c r="L49" s="6"/>
      <c r="M49">
        <v>1779115500000</v>
      </c>
      <c r="N49">
        <v>1968</v>
      </c>
      <c r="P49">
        <v>1779115500000</v>
      </c>
      <c r="Q49">
        <v>2672</v>
      </c>
      <c r="R49" s="6"/>
      <c r="S49">
        <v>1782225900000</v>
      </c>
      <c r="T49">
        <v>1276</v>
      </c>
      <c r="V49">
        <v>1782225900000</v>
      </c>
      <c r="W49">
        <v>1904</v>
      </c>
      <c r="X49" s="6"/>
      <c r="Y49">
        <v>1784040300000</v>
      </c>
      <c r="Z49">
        <v>1068</v>
      </c>
      <c r="AB49">
        <v>1784040300000</v>
      </c>
      <c r="AC49">
        <v>1472</v>
      </c>
      <c r="AD49" s="6"/>
      <c r="AE49">
        <v>1784126700000</v>
      </c>
      <c r="AF49">
        <v>796</v>
      </c>
      <c r="AH49">
        <v>1784126700000</v>
      </c>
      <c r="AI49">
        <v>1036</v>
      </c>
      <c r="AJ49" s="6"/>
    </row>
    <row r="50" spans="1:36">
      <c r="A50">
        <v>1777993200000</v>
      </c>
      <c r="B50">
        <v>1204</v>
      </c>
      <c r="D50">
        <v>1777993200000</v>
      </c>
      <c r="E50">
        <v>2128</v>
      </c>
      <c r="F50" s="6"/>
      <c r="G50">
        <v>1778079600000</v>
      </c>
      <c r="H50">
        <v>1716</v>
      </c>
      <c r="J50">
        <v>1778079600000</v>
      </c>
      <c r="K50">
        <v>2148</v>
      </c>
      <c r="L50" s="6"/>
      <c r="M50">
        <v>1779116400000</v>
      </c>
      <c r="N50">
        <v>1792</v>
      </c>
      <c r="P50">
        <v>1779116400000</v>
      </c>
      <c r="Q50">
        <v>2592</v>
      </c>
      <c r="R50" s="6"/>
      <c r="S50">
        <v>1782226800000</v>
      </c>
      <c r="T50">
        <v>1292</v>
      </c>
      <c r="V50">
        <v>1782226800000</v>
      </c>
      <c r="W50">
        <v>1592</v>
      </c>
      <c r="X50" s="6"/>
      <c r="Y50">
        <v>1784041200000</v>
      </c>
      <c r="Z50">
        <v>1028</v>
      </c>
      <c r="AB50">
        <v>1784041200000</v>
      </c>
      <c r="AC50">
        <v>1284</v>
      </c>
      <c r="AD50" s="6"/>
      <c r="AE50">
        <v>1784127600000</v>
      </c>
      <c r="AF50">
        <v>1000</v>
      </c>
      <c r="AH50">
        <v>1784127600000</v>
      </c>
      <c r="AI50">
        <v>1344</v>
      </c>
      <c r="AJ50" s="6"/>
    </row>
    <row r="51" spans="1:36">
      <c r="A51">
        <v>1777994100000</v>
      </c>
      <c r="B51">
        <v>1060</v>
      </c>
      <c r="D51">
        <v>1777994100000</v>
      </c>
      <c r="E51">
        <v>1928</v>
      </c>
      <c r="F51" s="6"/>
      <c r="G51">
        <v>1778080500000</v>
      </c>
      <c r="H51">
        <v>1468</v>
      </c>
      <c r="J51">
        <v>1778080500000</v>
      </c>
      <c r="K51">
        <v>2312</v>
      </c>
      <c r="L51" s="6"/>
      <c r="M51">
        <v>1779117300000</v>
      </c>
      <c r="N51">
        <v>1592</v>
      </c>
      <c r="P51">
        <v>1779117300000</v>
      </c>
      <c r="Q51">
        <v>2460</v>
      </c>
      <c r="R51" s="6"/>
      <c r="S51">
        <v>1782227700000</v>
      </c>
      <c r="T51">
        <v>1060</v>
      </c>
      <c r="V51">
        <v>1782227700000</v>
      </c>
      <c r="W51">
        <v>1268</v>
      </c>
      <c r="X51" s="6"/>
      <c r="Y51">
        <v>1784042100000</v>
      </c>
      <c r="Z51">
        <v>1084</v>
      </c>
      <c r="AB51">
        <v>1784042100000</v>
      </c>
      <c r="AC51">
        <v>1140</v>
      </c>
      <c r="AD51" s="6"/>
      <c r="AE51">
        <v>1784128500000</v>
      </c>
      <c r="AF51">
        <v>940</v>
      </c>
      <c r="AH51">
        <v>1784128500000</v>
      </c>
      <c r="AI51">
        <v>1084</v>
      </c>
      <c r="AJ51" s="6"/>
    </row>
    <row r="52" spans="1:36">
      <c r="A52">
        <v>1777995000000</v>
      </c>
      <c r="B52">
        <v>800</v>
      </c>
      <c r="D52">
        <v>1777995000000</v>
      </c>
      <c r="E52">
        <v>1804</v>
      </c>
      <c r="F52" s="6"/>
      <c r="G52">
        <v>1778081400000</v>
      </c>
      <c r="H52">
        <v>1144</v>
      </c>
      <c r="J52">
        <v>1778081400000</v>
      </c>
      <c r="K52">
        <v>1432</v>
      </c>
      <c r="L52" s="6"/>
      <c r="M52">
        <v>1779118200000</v>
      </c>
      <c r="N52">
        <v>1728</v>
      </c>
      <c r="P52">
        <v>1779118200000</v>
      </c>
      <c r="Q52">
        <v>2588</v>
      </c>
      <c r="R52" s="6"/>
      <c r="S52">
        <v>1782228600000</v>
      </c>
      <c r="T52">
        <v>1228</v>
      </c>
      <c r="V52">
        <v>1782228600000</v>
      </c>
      <c r="W52">
        <v>1480</v>
      </c>
      <c r="X52" s="6"/>
      <c r="Y52">
        <v>1784043000000</v>
      </c>
      <c r="Z52">
        <v>1044</v>
      </c>
      <c r="AB52">
        <v>1784043000000</v>
      </c>
      <c r="AC52">
        <v>1068</v>
      </c>
      <c r="AD52" s="6"/>
      <c r="AE52">
        <v>1784129400000</v>
      </c>
      <c r="AF52">
        <v>1040</v>
      </c>
      <c r="AH52">
        <v>1784129400000</v>
      </c>
      <c r="AI52">
        <v>1352</v>
      </c>
      <c r="AJ52" s="6"/>
    </row>
    <row r="53" spans="1:36">
      <c r="A53">
        <v>1777995900000</v>
      </c>
      <c r="B53">
        <v>1136</v>
      </c>
      <c r="D53">
        <v>1777995900000</v>
      </c>
      <c r="E53">
        <v>2012</v>
      </c>
      <c r="F53" s="6"/>
      <c r="G53">
        <v>1778082300000</v>
      </c>
      <c r="H53">
        <v>1736</v>
      </c>
      <c r="J53">
        <v>1778082300000</v>
      </c>
      <c r="K53">
        <v>2444</v>
      </c>
      <c r="L53" s="6"/>
      <c r="M53">
        <v>1779119100000</v>
      </c>
      <c r="N53">
        <v>1784</v>
      </c>
      <c r="P53">
        <v>1779119100000</v>
      </c>
      <c r="Q53">
        <v>2540</v>
      </c>
      <c r="R53" s="6"/>
      <c r="S53">
        <v>1782229500000</v>
      </c>
      <c r="T53">
        <v>1156</v>
      </c>
      <c r="V53">
        <v>1782229500000</v>
      </c>
      <c r="W53">
        <v>1596</v>
      </c>
      <c r="X53" s="6"/>
      <c r="Y53">
        <v>1784043900000</v>
      </c>
      <c r="Z53">
        <v>888</v>
      </c>
      <c r="AB53">
        <v>1784043900000</v>
      </c>
      <c r="AC53">
        <v>1300</v>
      </c>
      <c r="AD53" s="6"/>
      <c r="AE53">
        <v>1784130300000</v>
      </c>
      <c r="AF53">
        <v>1004</v>
      </c>
      <c r="AH53">
        <v>1784130300000</v>
      </c>
      <c r="AI53">
        <v>1380</v>
      </c>
      <c r="AJ53" s="6"/>
    </row>
    <row r="54" spans="1:36">
      <c r="A54">
        <v>1777996800000</v>
      </c>
      <c r="B54">
        <v>916</v>
      </c>
      <c r="D54">
        <v>1777996800000</v>
      </c>
      <c r="E54">
        <v>1932</v>
      </c>
      <c r="F54" s="6"/>
      <c r="G54">
        <v>1778083200000</v>
      </c>
      <c r="H54">
        <v>1540</v>
      </c>
      <c r="J54">
        <v>1778083200000</v>
      </c>
      <c r="K54">
        <v>2296</v>
      </c>
      <c r="L54" s="6"/>
      <c r="M54">
        <v>1779120000000</v>
      </c>
      <c r="N54">
        <v>1468</v>
      </c>
      <c r="P54">
        <v>1779120000000</v>
      </c>
      <c r="Q54">
        <v>2588</v>
      </c>
      <c r="R54" s="6"/>
      <c r="S54">
        <v>1782230400000</v>
      </c>
      <c r="T54">
        <v>1196</v>
      </c>
      <c r="V54">
        <v>1782230400000</v>
      </c>
      <c r="W54">
        <v>1616</v>
      </c>
      <c r="X54" s="6"/>
      <c r="Y54">
        <v>1784044800000</v>
      </c>
      <c r="Z54">
        <v>968</v>
      </c>
      <c r="AB54">
        <v>1784044800000</v>
      </c>
      <c r="AC54">
        <v>1100</v>
      </c>
      <c r="AD54" s="6"/>
      <c r="AE54">
        <v>1784131200000</v>
      </c>
      <c r="AF54">
        <v>984</v>
      </c>
      <c r="AH54">
        <v>1784131200000</v>
      </c>
      <c r="AI54">
        <v>1184</v>
      </c>
      <c r="AJ54" s="6"/>
    </row>
    <row r="55" spans="1:36">
      <c r="A55">
        <v>1777997700000</v>
      </c>
      <c r="B55">
        <v>820</v>
      </c>
      <c r="D55">
        <v>1777997700000</v>
      </c>
      <c r="E55">
        <v>1648</v>
      </c>
      <c r="F55" s="6"/>
      <c r="G55">
        <v>1778084100000</v>
      </c>
      <c r="H55">
        <v>1572</v>
      </c>
      <c r="J55">
        <v>1778084100000</v>
      </c>
      <c r="K55">
        <v>2204</v>
      </c>
      <c r="L55" s="6"/>
      <c r="M55">
        <v>1779120900000</v>
      </c>
      <c r="N55">
        <v>2004</v>
      </c>
      <c r="P55">
        <v>1779120900000</v>
      </c>
      <c r="Q55">
        <v>2492</v>
      </c>
      <c r="R55" s="6"/>
      <c r="S55">
        <v>1782231300000</v>
      </c>
      <c r="T55">
        <v>1148</v>
      </c>
      <c r="V55">
        <v>1782231300000</v>
      </c>
      <c r="W55">
        <v>1564</v>
      </c>
      <c r="X55" s="6"/>
      <c r="Y55">
        <v>1784045700000</v>
      </c>
      <c r="Z55">
        <v>676</v>
      </c>
      <c r="AB55">
        <v>1784045700000</v>
      </c>
      <c r="AC55">
        <v>756</v>
      </c>
      <c r="AD55" s="6"/>
      <c r="AE55">
        <v>1784132100000</v>
      </c>
      <c r="AF55">
        <v>684</v>
      </c>
      <c r="AH55">
        <v>1784132100000</v>
      </c>
      <c r="AI55">
        <v>1332</v>
      </c>
      <c r="AJ55" s="6"/>
    </row>
    <row r="56" spans="1:36">
      <c r="A56">
        <v>1777998600000</v>
      </c>
      <c r="B56">
        <v>844</v>
      </c>
      <c r="D56">
        <v>1777998600000</v>
      </c>
      <c r="E56">
        <v>1752</v>
      </c>
      <c r="F56" s="6"/>
      <c r="G56">
        <v>1778085000000</v>
      </c>
      <c r="H56">
        <v>1528</v>
      </c>
      <c r="J56">
        <v>1778085000000</v>
      </c>
      <c r="K56">
        <v>2228</v>
      </c>
      <c r="L56" s="6"/>
      <c r="M56">
        <v>1779121800000</v>
      </c>
      <c r="N56">
        <v>1740</v>
      </c>
      <c r="P56">
        <v>1779121800000</v>
      </c>
      <c r="Q56">
        <v>2484</v>
      </c>
      <c r="R56" s="6"/>
      <c r="S56">
        <v>1782232200000</v>
      </c>
      <c r="T56">
        <v>1056</v>
      </c>
      <c r="V56">
        <v>1782232200000</v>
      </c>
      <c r="W56">
        <v>1144</v>
      </c>
      <c r="X56" s="6"/>
      <c r="Y56">
        <v>1784046600000</v>
      </c>
      <c r="Z56">
        <v>660</v>
      </c>
      <c r="AB56">
        <v>1784046600000</v>
      </c>
      <c r="AC56">
        <v>808</v>
      </c>
      <c r="AD56" s="6"/>
      <c r="AE56">
        <v>1784133000000</v>
      </c>
      <c r="AF56">
        <v>728</v>
      </c>
      <c r="AH56">
        <v>1784133000000</v>
      </c>
      <c r="AI56">
        <v>904</v>
      </c>
      <c r="AJ56" s="6"/>
    </row>
    <row r="57" spans="1:36">
      <c r="A57">
        <v>1777999500000</v>
      </c>
      <c r="B57">
        <v>1096</v>
      </c>
      <c r="D57">
        <v>1777999500000</v>
      </c>
      <c r="E57">
        <v>2280</v>
      </c>
      <c r="F57" s="6"/>
      <c r="G57">
        <v>1778085900000</v>
      </c>
      <c r="H57">
        <v>1428</v>
      </c>
      <c r="J57">
        <v>1778085900000</v>
      </c>
      <c r="K57">
        <v>1576</v>
      </c>
      <c r="L57" s="6"/>
      <c r="M57">
        <v>1779122700000</v>
      </c>
      <c r="N57">
        <v>1744</v>
      </c>
      <c r="P57">
        <v>1779122700000</v>
      </c>
      <c r="Q57">
        <v>2352</v>
      </c>
      <c r="R57" s="6"/>
      <c r="S57">
        <v>1782233100000</v>
      </c>
      <c r="T57">
        <v>1120</v>
      </c>
      <c r="V57">
        <v>1782233100000</v>
      </c>
      <c r="W57">
        <v>1280</v>
      </c>
      <c r="X57" s="6"/>
      <c r="Y57">
        <v>1784047500000</v>
      </c>
      <c r="Z57">
        <v>920</v>
      </c>
      <c r="AB57">
        <v>1784047500000</v>
      </c>
      <c r="AC57">
        <v>1168</v>
      </c>
      <c r="AD57" s="6"/>
      <c r="AE57">
        <v>1784133900000</v>
      </c>
      <c r="AF57">
        <v>992</v>
      </c>
      <c r="AH57">
        <v>1784133900000</v>
      </c>
      <c r="AI57">
        <v>1092</v>
      </c>
      <c r="AJ57" s="6"/>
    </row>
    <row r="58" spans="1:36">
      <c r="A58">
        <v>1778000400000</v>
      </c>
      <c r="B58">
        <v>1132</v>
      </c>
      <c r="D58">
        <v>1778000400000</v>
      </c>
      <c r="E58">
        <v>2300</v>
      </c>
      <c r="F58" s="6"/>
      <c r="G58">
        <v>1778086800000</v>
      </c>
      <c r="H58">
        <v>1812</v>
      </c>
      <c r="J58">
        <v>1778086800000</v>
      </c>
      <c r="K58">
        <v>2380</v>
      </c>
      <c r="L58" s="6"/>
      <c r="M58">
        <v>1779123600000</v>
      </c>
      <c r="N58">
        <v>2068</v>
      </c>
      <c r="P58">
        <v>1779123600000</v>
      </c>
      <c r="Q58">
        <v>2908</v>
      </c>
      <c r="R58" s="6"/>
      <c r="S58">
        <v>1782234000000</v>
      </c>
      <c r="T58">
        <v>1144</v>
      </c>
      <c r="V58">
        <v>1782234000000</v>
      </c>
      <c r="W58">
        <v>1400</v>
      </c>
      <c r="X58" s="6"/>
      <c r="Y58">
        <v>1784048400000</v>
      </c>
      <c r="Z58">
        <v>1084</v>
      </c>
      <c r="AB58">
        <v>1784048400000</v>
      </c>
      <c r="AC58">
        <v>1140</v>
      </c>
      <c r="AD58" s="6"/>
      <c r="AE58">
        <v>1784134800000</v>
      </c>
      <c r="AF58">
        <v>1184</v>
      </c>
      <c r="AH58">
        <v>1784134800000</v>
      </c>
      <c r="AI58">
        <v>1288</v>
      </c>
      <c r="AJ58" s="6"/>
    </row>
    <row r="59" spans="1:36">
      <c r="A59">
        <v>1778001300000</v>
      </c>
      <c r="B59">
        <v>1264</v>
      </c>
      <c r="D59">
        <v>1778001300000</v>
      </c>
      <c r="E59">
        <v>2204</v>
      </c>
      <c r="F59" s="6"/>
      <c r="G59">
        <v>1778087700000</v>
      </c>
      <c r="H59">
        <v>1756</v>
      </c>
      <c r="J59">
        <v>1778087700000</v>
      </c>
      <c r="K59">
        <v>2268</v>
      </c>
      <c r="L59" s="6"/>
      <c r="M59">
        <v>1779124500000</v>
      </c>
      <c r="N59">
        <v>2000</v>
      </c>
      <c r="P59">
        <v>1779124500000</v>
      </c>
      <c r="Q59">
        <v>2332</v>
      </c>
      <c r="R59" s="6"/>
      <c r="S59">
        <v>1782234900000</v>
      </c>
      <c r="T59">
        <v>1308</v>
      </c>
      <c r="V59">
        <v>1782234900000</v>
      </c>
      <c r="W59">
        <v>1388</v>
      </c>
      <c r="X59" s="6"/>
      <c r="Y59">
        <v>1784049300000</v>
      </c>
      <c r="Z59">
        <v>1012</v>
      </c>
      <c r="AB59">
        <v>1784049300000</v>
      </c>
      <c r="AC59">
        <v>1176</v>
      </c>
      <c r="AD59" s="6"/>
      <c r="AE59">
        <v>1784135700000</v>
      </c>
      <c r="AF59">
        <v>1168</v>
      </c>
      <c r="AH59">
        <v>1784135700000</v>
      </c>
      <c r="AI59">
        <v>908</v>
      </c>
      <c r="AJ59" s="6"/>
    </row>
    <row r="60" spans="1:36">
      <c r="A60">
        <v>1778002200000</v>
      </c>
      <c r="B60">
        <v>836</v>
      </c>
      <c r="D60">
        <v>1778002200000</v>
      </c>
      <c r="E60">
        <v>1976</v>
      </c>
      <c r="F60" s="6"/>
      <c r="G60">
        <v>1778088600000</v>
      </c>
      <c r="H60">
        <v>1184</v>
      </c>
      <c r="J60">
        <v>1778088600000</v>
      </c>
      <c r="K60">
        <v>1996</v>
      </c>
      <c r="L60" s="6"/>
      <c r="M60">
        <v>1779125400000</v>
      </c>
      <c r="N60">
        <v>1884</v>
      </c>
      <c r="P60">
        <v>1779125400000</v>
      </c>
      <c r="Q60">
        <v>2596</v>
      </c>
      <c r="R60" s="6"/>
      <c r="S60">
        <v>1782235800000</v>
      </c>
      <c r="T60">
        <v>1356</v>
      </c>
      <c r="V60">
        <v>1782235800000</v>
      </c>
      <c r="W60">
        <v>1620</v>
      </c>
      <c r="X60" s="6"/>
      <c r="Y60">
        <v>1784050200000</v>
      </c>
      <c r="Z60">
        <v>1332</v>
      </c>
      <c r="AB60">
        <v>1784050200000</v>
      </c>
      <c r="AC60">
        <v>1276</v>
      </c>
      <c r="AD60" s="6"/>
      <c r="AE60">
        <v>1784136600000</v>
      </c>
      <c r="AF60">
        <v>1148</v>
      </c>
      <c r="AH60">
        <v>1784136600000</v>
      </c>
      <c r="AI60">
        <v>776</v>
      </c>
      <c r="AJ60" s="6"/>
    </row>
    <row r="61" spans="1:36">
      <c r="A61">
        <v>1778003100000</v>
      </c>
      <c r="B61">
        <v>940</v>
      </c>
      <c r="D61">
        <v>1778003100000</v>
      </c>
      <c r="E61">
        <v>1784</v>
      </c>
      <c r="F61" s="6"/>
      <c r="G61">
        <v>1778089500000</v>
      </c>
      <c r="H61">
        <v>1680</v>
      </c>
      <c r="J61">
        <v>1778089500000</v>
      </c>
      <c r="K61">
        <v>2100</v>
      </c>
      <c r="L61" s="6"/>
      <c r="M61">
        <v>1779126300000</v>
      </c>
      <c r="N61">
        <v>2012</v>
      </c>
      <c r="P61">
        <v>1779126300000</v>
      </c>
      <c r="Q61">
        <v>2364</v>
      </c>
      <c r="R61" s="6"/>
      <c r="S61">
        <v>1782236700000</v>
      </c>
      <c r="T61">
        <v>1300</v>
      </c>
      <c r="V61">
        <v>1782236700000</v>
      </c>
      <c r="W61">
        <v>1384</v>
      </c>
      <c r="X61" s="6"/>
      <c r="Y61">
        <v>1784051100000</v>
      </c>
      <c r="Z61">
        <v>1176</v>
      </c>
      <c r="AB61">
        <v>1784051100000</v>
      </c>
      <c r="AC61">
        <v>1296</v>
      </c>
      <c r="AD61" s="6"/>
      <c r="AE61">
        <v>1784137500000</v>
      </c>
      <c r="AF61">
        <v>1020</v>
      </c>
      <c r="AH61">
        <v>1784137500000</v>
      </c>
      <c r="AI61">
        <v>1464</v>
      </c>
      <c r="AJ61" s="6"/>
    </row>
    <row r="62" spans="1:36">
      <c r="A62">
        <v>1778004000000</v>
      </c>
      <c r="B62">
        <v>1180</v>
      </c>
      <c r="D62">
        <v>1778004000000</v>
      </c>
      <c r="E62">
        <v>1600</v>
      </c>
      <c r="F62" s="6"/>
      <c r="G62">
        <v>1778090400000</v>
      </c>
      <c r="H62">
        <v>1792</v>
      </c>
      <c r="J62">
        <v>1778090400000</v>
      </c>
      <c r="K62">
        <v>2180</v>
      </c>
      <c r="L62" s="6"/>
      <c r="M62">
        <v>1779127200000</v>
      </c>
      <c r="N62">
        <v>1844</v>
      </c>
      <c r="P62">
        <v>1779127200000</v>
      </c>
      <c r="Q62">
        <v>2460</v>
      </c>
      <c r="R62" s="6"/>
      <c r="S62">
        <v>1782237600000</v>
      </c>
      <c r="T62">
        <v>1248</v>
      </c>
      <c r="V62">
        <v>1782237600000</v>
      </c>
      <c r="W62">
        <v>1336</v>
      </c>
      <c r="X62" s="6"/>
      <c r="Y62">
        <v>1784052000000</v>
      </c>
      <c r="Z62">
        <v>1136</v>
      </c>
      <c r="AB62">
        <v>1784052000000</v>
      </c>
      <c r="AC62">
        <v>1256</v>
      </c>
      <c r="AD62" s="6"/>
      <c r="AE62">
        <v>1784138400000</v>
      </c>
      <c r="AF62">
        <v>1192</v>
      </c>
      <c r="AH62">
        <v>1784138400000</v>
      </c>
      <c r="AI62">
        <v>1204</v>
      </c>
      <c r="AJ62" s="6"/>
    </row>
    <row r="63" spans="1:36">
      <c r="A63">
        <v>1778004900000</v>
      </c>
      <c r="B63">
        <v>1640</v>
      </c>
      <c r="D63">
        <v>1778004900000</v>
      </c>
      <c r="E63">
        <v>1544</v>
      </c>
      <c r="F63" s="6"/>
      <c r="G63">
        <v>1778091300000</v>
      </c>
      <c r="H63">
        <v>1224</v>
      </c>
      <c r="J63">
        <v>1778091300000</v>
      </c>
      <c r="K63">
        <v>1984</v>
      </c>
      <c r="L63" s="6"/>
      <c r="M63">
        <v>1779128100000</v>
      </c>
      <c r="N63">
        <v>2136</v>
      </c>
      <c r="P63">
        <v>1779128100000</v>
      </c>
      <c r="Q63">
        <v>2624</v>
      </c>
      <c r="R63" s="6"/>
      <c r="S63">
        <v>1782238500000</v>
      </c>
      <c r="T63">
        <v>1576</v>
      </c>
      <c r="V63">
        <v>1782238500000</v>
      </c>
      <c r="W63">
        <v>1536</v>
      </c>
      <c r="X63" s="6"/>
      <c r="Y63">
        <v>1784052900000</v>
      </c>
      <c r="Z63">
        <v>1176</v>
      </c>
      <c r="AB63">
        <v>1784052900000</v>
      </c>
      <c r="AC63">
        <v>1124</v>
      </c>
      <c r="AD63" s="6"/>
      <c r="AE63">
        <v>1784139300000</v>
      </c>
      <c r="AF63">
        <v>1188</v>
      </c>
      <c r="AH63">
        <v>1784139300000</v>
      </c>
      <c r="AI63">
        <v>1248</v>
      </c>
      <c r="AJ63" s="6"/>
    </row>
    <row r="64" spans="1:36">
      <c r="A64">
        <v>1778005800000</v>
      </c>
      <c r="B64">
        <v>1836</v>
      </c>
      <c r="D64">
        <v>1778005800000</v>
      </c>
      <c r="E64">
        <v>2248</v>
      </c>
      <c r="F64" s="6"/>
      <c r="G64">
        <v>1778092200000</v>
      </c>
      <c r="H64">
        <v>1784</v>
      </c>
      <c r="J64">
        <v>1778092200000</v>
      </c>
      <c r="K64">
        <v>2212</v>
      </c>
      <c r="L64" s="6"/>
      <c r="M64">
        <v>1779129000000</v>
      </c>
      <c r="N64">
        <v>2104</v>
      </c>
      <c r="P64">
        <v>1779129000000</v>
      </c>
      <c r="Q64">
        <v>1872</v>
      </c>
      <c r="R64" s="6"/>
      <c r="S64">
        <v>1782239400000</v>
      </c>
      <c r="T64">
        <v>1464</v>
      </c>
      <c r="V64">
        <v>1782239400000</v>
      </c>
      <c r="W64">
        <v>1564</v>
      </c>
      <c r="X64" s="6"/>
      <c r="Y64">
        <v>1784053800000</v>
      </c>
      <c r="Z64">
        <v>1332</v>
      </c>
      <c r="AB64">
        <v>1784053800000</v>
      </c>
      <c r="AC64">
        <v>1212</v>
      </c>
      <c r="AD64" s="6"/>
      <c r="AE64">
        <v>1784140200000</v>
      </c>
      <c r="AF64">
        <v>1140</v>
      </c>
      <c r="AH64">
        <v>1784140200000</v>
      </c>
      <c r="AI64">
        <v>1376</v>
      </c>
      <c r="AJ64" s="6"/>
    </row>
    <row r="65" spans="1:36">
      <c r="A65">
        <v>1778006700000</v>
      </c>
      <c r="B65">
        <v>1912</v>
      </c>
      <c r="D65">
        <v>1778006700000</v>
      </c>
      <c r="E65">
        <v>2304</v>
      </c>
      <c r="F65" s="6"/>
      <c r="G65">
        <v>1778093100000</v>
      </c>
      <c r="H65">
        <v>1592</v>
      </c>
      <c r="J65">
        <v>1778093100000</v>
      </c>
      <c r="K65">
        <v>2096</v>
      </c>
      <c r="L65" s="6"/>
      <c r="M65">
        <v>1779129900000</v>
      </c>
      <c r="N65">
        <v>2112</v>
      </c>
      <c r="P65">
        <v>1779129900000</v>
      </c>
      <c r="Q65">
        <v>1924</v>
      </c>
      <c r="R65" s="6"/>
      <c r="S65">
        <v>1782240300000</v>
      </c>
      <c r="T65">
        <v>1492</v>
      </c>
      <c r="V65">
        <v>1782240300000</v>
      </c>
      <c r="W65">
        <v>1552</v>
      </c>
      <c r="X65" s="6"/>
      <c r="Y65">
        <v>1784054700000</v>
      </c>
      <c r="Z65">
        <v>1276</v>
      </c>
      <c r="AB65">
        <v>1784054700000</v>
      </c>
      <c r="AC65">
        <v>1200</v>
      </c>
      <c r="AD65" s="6"/>
      <c r="AE65">
        <v>1784141100000</v>
      </c>
      <c r="AF65">
        <v>1420</v>
      </c>
      <c r="AH65">
        <v>1784141100000</v>
      </c>
      <c r="AI65">
        <v>1312</v>
      </c>
      <c r="AJ65" s="6"/>
    </row>
    <row r="66" spans="1:36">
      <c r="A66">
        <v>1778007600000</v>
      </c>
      <c r="B66">
        <v>1916</v>
      </c>
      <c r="D66">
        <v>1778007600000</v>
      </c>
      <c r="E66">
        <v>2348</v>
      </c>
      <c r="F66" s="6"/>
      <c r="G66">
        <v>1778094000000</v>
      </c>
      <c r="H66">
        <v>1488</v>
      </c>
      <c r="J66">
        <v>1778094000000</v>
      </c>
      <c r="K66">
        <v>2200</v>
      </c>
      <c r="L66" s="6"/>
      <c r="M66">
        <v>1779130800000</v>
      </c>
      <c r="N66">
        <v>1972</v>
      </c>
      <c r="P66">
        <v>1779130800000</v>
      </c>
      <c r="Q66">
        <v>2540</v>
      </c>
      <c r="R66" s="6"/>
      <c r="S66">
        <v>1782241200000</v>
      </c>
      <c r="T66">
        <v>1528</v>
      </c>
      <c r="V66">
        <v>1782241200000</v>
      </c>
      <c r="W66">
        <v>1436</v>
      </c>
      <c r="X66" s="6"/>
      <c r="Y66">
        <v>1784055600000</v>
      </c>
      <c r="Z66">
        <v>1204</v>
      </c>
      <c r="AB66">
        <v>1784055600000</v>
      </c>
      <c r="AC66">
        <v>1076</v>
      </c>
      <c r="AD66" s="6"/>
      <c r="AE66">
        <v>1784142000000</v>
      </c>
      <c r="AF66">
        <v>1232</v>
      </c>
      <c r="AH66">
        <v>1784142000000</v>
      </c>
      <c r="AI66">
        <v>1336</v>
      </c>
      <c r="AJ66" s="6"/>
    </row>
    <row r="67" spans="1:36">
      <c r="A67">
        <v>1778008500000</v>
      </c>
      <c r="B67">
        <v>2048</v>
      </c>
      <c r="D67">
        <v>1778008500000</v>
      </c>
      <c r="E67">
        <v>2196</v>
      </c>
      <c r="F67" s="6"/>
      <c r="G67">
        <v>1778094900000</v>
      </c>
      <c r="H67">
        <v>1888</v>
      </c>
      <c r="J67">
        <v>1778094900000</v>
      </c>
      <c r="K67">
        <v>2216</v>
      </c>
      <c r="L67" s="6"/>
      <c r="M67">
        <v>1779131700000</v>
      </c>
      <c r="N67">
        <v>2172</v>
      </c>
      <c r="P67">
        <v>1779131700000</v>
      </c>
      <c r="Q67">
        <v>2460</v>
      </c>
      <c r="R67" s="6"/>
      <c r="S67">
        <v>1782242100000</v>
      </c>
      <c r="T67">
        <v>1492</v>
      </c>
      <c r="V67">
        <v>1782242100000</v>
      </c>
      <c r="W67">
        <v>1436</v>
      </c>
      <c r="X67" s="6"/>
      <c r="Y67">
        <v>1784056500000</v>
      </c>
      <c r="Z67">
        <v>1276</v>
      </c>
      <c r="AB67">
        <v>1784056500000</v>
      </c>
      <c r="AC67">
        <v>1280</v>
      </c>
      <c r="AD67" s="6"/>
      <c r="AE67">
        <v>1784142900000</v>
      </c>
      <c r="AF67">
        <v>976</v>
      </c>
      <c r="AH67">
        <v>1784142900000</v>
      </c>
      <c r="AI67">
        <v>912</v>
      </c>
      <c r="AJ67" s="6"/>
    </row>
    <row r="68" spans="1:36">
      <c r="A68">
        <v>1778009400000</v>
      </c>
      <c r="B68">
        <v>1388</v>
      </c>
      <c r="D68">
        <v>1778009400000</v>
      </c>
      <c r="E68">
        <v>1640</v>
      </c>
      <c r="F68" s="6"/>
      <c r="G68">
        <v>1778095800000</v>
      </c>
      <c r="H68">
        <v>1976</v>
      </c>
      <c r="J68">
        <v>1778095800000</v>
      </c>
      <c r="K68">
        <v>1888</v>
      </c>
      <c r="L68" s="6"/>
      <c r="M68">
        <v>1779132600000</v>
      </c>
      <c r="N68">
        <v>2028</v>
      </c>
      <c r="P68">
        <v>1779132600000</v>
      </c>
      <c r="Q68">
        <v>2336</v>
      </c>
      <c r="R68" s="6"/>
      <c r="S68">
        <v>1782243000000</v>
      </c>
      <c r="T68">
        <v>1300</v>
      </c>
      <c r="V68">
        <v>1782243000000</v>
      </c>
      <c r="W68">
        <v>1004</v>
      </c>
      <c r="X68" s="6"/>
      <c r="Y68">
        <v>1784057400000</v>
      </c>
      <c r="Z68">
        <v>892</v>
      </c>
      <c r="AB68">
        <v>1784057400000</v>
      </c>
      <c r="AC68">
        <v>948</v>
      </c>
      <c r="AD68" s="6"/>
      <c r="AE68">
        <v>1784143800000</v>
      </c>
      <c r="AF68">
        <v>1152</v>
      </c>
      <c r="AH68">
        <v>1784143800000</v>
      </c>
      <c r="AI68">
        <v>1276</v>
      </c>
      <c r="AJ68" s="6"/>
    </row>
    <row r="69" spans="1:36">
      <c r="A69">
        <v>1778010300000</v>
      </c>
      <c r="B69">
        <v>2100</v>
      </c>
      <c r="D69">
        <v>1778010300000</v>
      </c>
      <c r="E69">
        <v>2232</v>
      </c>
      <c r="F69" s="6"/>
      <c r="G69">
        <v>1778096700000</v>
      </c>
      <c r="H69">
        <v>1660</v>
      </c>
      <c r="J69">
        <v>1778096700000</v>
      </c>
      <c r="K69">
        <v>1928</v>
      </c>
      <c r="L69" s="6"/>
      <c r="M69">
        <v>1779133500000</v>
      </c>
      <c r="N69">
        <v>2100</v>
      </c>
      <c r="P69">
        <v>1779133500000</v>
      </c>
      <c r="Q69">
        <v>2564</v>
      </c>
      <c r="R69" s="6"/>
      <c r="S69">
        <v>1782243900000</v>
      </c>
      <c r="T69">
        <v>1476</v>
      </c>
      <c r="V69">
        <v>1782243900000</v>
      </c>
      <c r="W69">
        <v>1604</v>
      </c>
      <c r="X69" s="6"/>
      <c r="Y69">
        <v>1784058300000</v>
      </c>
      <c r="Z69">
        <v>1100</v>
      </c>
      <c r="AB69">
        <v>1784058300000</v>
      </c>
      <c r="AC69">
        <v>1288</v>
      </c>
      <c r="AD69" s="6"/>
      <c r="AE69">
        <v>1784144700000</v>
      </c>
      <c r="AF69">
        <v>1200</v>
      </c>
      <c r="AH69">
        <v>1784144700000</v>
      </c>
      <c r="AI69">
        <v>1092</v>
      </c>
      <c r="AJ69" s="6"/>
    </row>
    <row r="70" spans="1:36">
      <c r="A70">
        <v>1778011200000</v>
      </c>
      <c r="B70">
        <v>1424</v>
      </c>
      <c r="D70">
        <v>1778011200000</v>
      </c>
      <c r="E70">
        <v>2004</v>
      </c>
      <c r="F70" s="6"/>
      <c r="G70">
        <v>1778097600000</v>
      </c>
      <c r="H70">
        <v>1336</v>
      </c>
      <c r="J70">
        <v>1778097600000</v>
      </c>
      <c r="K70">
        <v>1900</v>
      </c>
      <c r="L70" s="6"/>
      <c r="M70">
        <v>1779134400000</v>
      </c>
      <c r="N70">
        <v>2136</v>
      </c>
      <c r="P70">
        <v>1779134400000</v>
      </c>
      <c r="Q70">
        <v>2464</v>
      </c>
      <c r="R70" s="6"/>
      <c r="S70">
        <v>1782244800000</v>
      </c>
      <c r="T70">
        <v>1460</v>
      </c>
      <c r="V70">
        <v>1782244800000</v>
      </c>
      <c r="W70">
        <v>1560</v>
      </c>
      <c r="X70" s="6"/>
      <c r="Y70">
        <v>1784059200000</v>
      </c>
      <c r="Z70">
        <v>1260</v>
      </c>
      <c r="AB70">
        <v>1784059200000</v>
      </c>
      <c r="AC70">
        <v>1280</v>
      </c>
      <c r="AD70" s="6"/>
      <c r="AE70">
        <v>1784145600000</v>
      </c>
      <c r="AF70">
        <v>1272</v>
      </c>
      <c r="AH70">
        <v>1784145600000</v>
      </c>
      <c r="AI70">
        <v>1288</v>
      </c>
      <c r="AJ70" s="6"/>
    </row>
    <row r="71" spans="1:36">
      <c r="A71">
        <v>1778012100000</v>
      </c>
      <c r="B71">
        <v>1924</v>
      </c>
      <c r="D71">
        <v>1778012100000</v>
      </c>
      <c r="E71">
        <v>2380</v>
      </c>
      <c r="F71" s="6"/>
      <c r="G71">
        <v>1778098500000</v>
      </c>
      <c r="H71">
        <v>2016</v>
      </c>
      <c r="J71">
        <v>1778098500000</v>
      </c>
      <c r="K71">
        <v>2256</v>
      </c>
      <c r="L71" s="6"/>
      <c r="M71">
        <v>1779135300000</v>
      </c>
      <c r="N71">
        <v>1656</v>
      </c>
      <c r="P71">
        <v>1779135300000</v>
      </c>
      <c r="Q71">
        <v>2048</v>
      </c>
      <c r="R71" s="6"/>
      <c r="S71">
        <v>1782245700000</v>
      </c>
      <c r="T71">
        <v>1344</v>
      </c>
      <c r="V71">
        <v>1782245700000</v>
      </c>
      <c r="W71">
        <v>1500</v>
      </c>
      <c r="X71" s="6"/>
      <c r="Y71">
        <v>1784060100000</v>
      </c>
      <c r="Z71">
        <v>1152</v>
      </c>
      <c r="AB71">
        <v>1784060100000</v>
      </c>
      <c r="AC71">
        <v>1136</v>
      </c>
      <c r="AD71" s="6"/>
      <c r="AE71">
        <v>1784146500000</v>
      </c>
      <c r="AF71">
        <v>1124</v>
      </c>
      <c r="AH71">
        <v>1784146500000</v>
      </c>
      <c r="AI71">
        <v>996</v>
      </c>
      <c r="AJ71" s="6"/>
    </row>
    <row r="72" spans="1:36">
      <c r="A72">
        <v>1778013000000</v>
      </c>
      <c r="B72">
        <v>1464</v>
      </c>
      <c r="D72">
        <v>1778013000000</v>
      </c>
      <c r="E72">
        <v>2056</v>
      </c>
      <c r="F72" s="6"/>
      <c r="G72">
        <v>1778099400000</v>
      </c>
      <c r="H72">
        <v>1648</v>
      </c>
      <c r="J72">
        <v>1778099400000</v>
      </c>
      <c r="K72">
        <v>2056</v>
      </c>
      <c r="L72" s="6"/>
      <c r="M72">
        <v>1779136200000</v>
      </c>
      <c r="N72">
        <v>1992</v>
      </c>
      <c r="P72">
        <v>1779136200000</v>
      </c>
      <c r="Q72">
        <v>2516</v>
      </c>
      <c r="R72" s="6"/>
      <c r="S72">
        <v>1782246600000</v>
      </c>
      <c r="T72">
        <v>1576</v>
      </c>
      <c r="V72">
        <v>1782246600000</v>
      </c>
      <c r="W72">
        <v>1456</v>
      </c>
      <c r="X72" s="6"/>
      <c r="Y72">
        <v>1784061000000</v>
      </c>
      <c r="Z72">
        <v>852</v>
      </c>
      <c r="AB72">
        <v>1784061000000</v>
      </c>
      <c r="AC72">
        <v>1048</v>
      </c>
      <c r="AD72" s="6"/>
      <c r="AE72">
        <v>1784147400000</v>
      </c>
      <c r="AF72">
        <v>1244</v>
      </c>
      <c r="AH72">
        <v>1784147400000</v>
      </c>
      <c r="AI72">
        <v>1120</v>
      </c>
      <c r="AJ72" s="6"/>
    </row>
    <row r="73" spans="1:36">
      <c r="A73">
        <v>1778013900000</v>
      </c>
      <c r="B73">
        <v>2272</v>
      </c>
      <c r="D73">
        <v>1778013900000</v>
      </c>
      <c r="E73">
        <v>2388</v>
      </c>
      <c r="F73" s="6"/>
      <c r="G73">
        <v>1778100300000</v>
      </c>
      <c r="H73">
        <v>1916</v>
      </c>
      <c r="J73">
        <v>1778100300000</v>
      </c>
      <c r="K73">
        <v>2080</v>
      </c>
      <c r="L73" s="6"/>
      <c r="M73">
        <v>1779137100000</v>
      </c>
      <c r="N73">
        <v>2252</v>
      </c>
      <c r="P73">
        <v>1779137100000</v>
      </c>
      <c r="Q73">
        <v>2396</v>
      </c>
      <c r="R73" s="6"/>
      <c r="S73">
        <v>1782247500000</v>
      </c>
      <c r="T73">
        <v>1212</v>
      </c>
      <c r="V73">
        <v>1782247500000</v>
      </c>
      <c r="W73">
        <v>1200</v>
      </c>
      <c r="X73" s="6"/>
      <c r="Y73">
        <v>1784061900000</v>
      </c>
      <c r="Z73">
        <v>1296</v>
      </c>
      <c r="AB73">
        <v>1784061900000</v>
      </c>
      <c r="AC73">
        <v>1268</v>
      </c>
      <c r="AD73" s="6"/>
      <c r="AE73">
        <v>1784148300000</v>
      </c>
      <c r="AF73">
        <v>1188</v>
      </c>
      <c r="AH73">
        <v>1784148300000</v>
      </c>
      <c r="AI73">
        <v>1068</v>
      </c>
      <c r="AJ73" s="6"/>
    </row>
    <row r="74" spans="1:36">
      <c r="A74">
        <v>1778014800000</v>
      </c>
      <c r="B74">
        <v>2020</v>
      </c>
      <c r="D74">
        <v>1778014800000</v>
      </c>
      <c r="E74">
        <v>1976</v>
      </c>
      <c r="F74" s="6"/>
      <c r="G74">
        <v>1778101200000</v>
      </c>
      <c r="H74">
        <v>1924</v>
      </c>
      <c r="J74">
        <v>1778101200000</v>
      </c>
      <c r="K74">
        <v>2328</v>
      </c>
      <c r="L74" s="6"/>
      <c r="M74">
        <v>1779138000000</v>
      </c>
      <c r="N74">
        <v>1332</v>
      </c>
      <c r="P74">
        <v>1779138000000</v>
      </c>
      <c r="Q74">
        <v>2332</v>
      </c>
      <c r="R74" s="6"/>
      <c r="S74">
        <v>1782248400000</v>
      </c>
      <c r="T74">
        <v>1324</v>
      </c>
      <c r="V74">
        <v>1782248400000</v>
      </c>
      <c r="W74">
        <v>1612</v>
      </c>
      <c r="X74" s="6"/>
      <c r="Y74">
        <v>1784062800000</v>
      </c>
      <c r="Z74">
        <v>1252</v>
      </c>
      <c r="AB74">
        <v>1784062800000</v>
      </c>
      <c r="AC74">
        <v>1128</v>
      </c>
      <c r="AD74" s="6"/>
      <c r="AE74">
        <v>1784149200000</v>
      </c>
      <c r="AF74">
        <v>1276</v>
      </c>
      <c r="AH74">
        <v>1784149200000</v>
      </c>
      <c r="AI74">
        <v>940</v>
      </c>
      <c r="AJ74" s="6"/>
    </row>
    <row r="75" spans="1:36">
      <c r="A75">
        <v>1778015700000</v>
      </c>
      <c r="B75">
        <v>2036</v>
      </c>
      <c r="D75">
        <v>1778015700000</v>
      </c>
      <c r="E75">
        <v>2232</v>
      </c>
      <c r="F75" s="6"/>
      <c r="G75">
        <v>1778102100000</v>
      </c>
      <c r="H75">
        <v>1900</v>
      </c>
      <c r="J75">
        <v>1778102100000</v>
      </c>
      <c r="K75">
        <v>2160</v>
      </c>
      <c r="L75" s="6"/>
      <c r="M75">
        <v>1779138900000</v>
      </c>
      <c r="N75">
        <v>2168</v>
      </c>
      <c r="P75">
        <v>1779138900000</v>
      </c>
      <c r="Q75">
        <v>2436</v>
      </c>
      <c r="R75" s="6"/>
      <c r="S75">
        <v>1782249300000</v>
      </c>
      <c r="T75">
        <v>1384</v>
      </c>
      <c r="V75">
        <v>1782249300000</v>
      </c>
      <c r="W75">
        <v>1516</v>
      </c>
      <c r="X75" s="6"/>
      <c r="Y75">
        <v>1784063700000</v>
      </c>
      <c r="Z75">
        <v>1244</v>
      </c>
      <c r="AB75">
        <v>1784063700000</v>
      </c>
      <c r="AC75">
        <v>972</v>
      </c>
      <c r="AD75" s="6"/>
      <c r="AE75">
        <v>1784150100000</v>
      </c>
      <c r="AF75">
        <v>1076</v>
      </c>
      <c r="AH75">
        <v>1784150100000</v>
      </c>
      <c r="AI75">
        <v>1032</v>
      </c>
      <c r="AJ75" s="6"/>
    </row>
    <row r="76" spans="1:36">
      <c r="A76">
        <v>1778016600000</v>
      </c>
      <c r="B76">
        <v>2024</v>
      </c>
      <c r="D76">
        <v>1778016600000</v>
      </c>
      <c r="E76">
        <v>2308</v>
      </c>
      <c r="F76" s="6"/>
      <c r="G76">
        <v>1778103000000</v>
      </c>
      <c r="H76">
        <v>1532</v>
      </c>
      <c r="J76">
        <v>1778103000000</v>
      </c>
      <c r="K76">
        <v>2024</v>
      </c>
      <c r="L76" s="6"/>
      <c r="M76">
        <v>1779139800000</v>
      </c>
      <c r="N76">
        <v>2084</v>
      </c>
      <c r="P76">
        <v>1779139800000</v>
      </c>
      <c r="Q76">
        <v>2352</v>
      </c>
      <c r="R76" s="6"/>
      <c r="S76">
        <v>1782250200000</v>
      </c>
      <c r="T76">
        <v>888</v>
      </c>
      <c r="V76">
        <v>1782250200000</v>
      </c>
      <c r="W76">
        <v>1052</v>
      </c>
      <c r="X76" s="6"/>
      <c r="Y76">
        <v>1784064600000</v>
      </c>
      <c r="Z76">
        <v>1040</v>
      </c>
      <c r="AB76">
        <v>1784064600000</v>
      </c>
      <c r="AC76">
        <v>1304</v>
      </c>
      <c r="AD76" s="6"/>
      <c r="AE76">
        <v>1784151000000</v>
      </c>
      <c r="AF76">
        <v>752</v>
      </c>
      <c r="AH76">
        <v>1784151000000</v>
      </c>
      <c r="AI76">
        <v>936</v>
      </c>
      <c r="AJ76" s="6"/>
    </row>
    <row r="77" spans="1:36">
      <c r="A77">
        <v>1778017500000</v>
      </c>
      <c r="B77">
        <v>1976</v>
      </c>
      <c r="D77">
        <v>1778017500000</v>
      </c>
      <c r="E77">
        <v>2348</v>
      </c>
      <c r="F77" s="6"/>
      <c r="G77">
        <v>1778103900000</v>
      </c>
      <c r="H77">
        <v>1320</v>
      </c>
      <c r="J77">
        <v>1778103900000</v>
      </c>
      <c r="K77">
        <v>1588</v>
      </c>
      <c r="L77" s="6"/>
      <c r="M77">
        <v>1779140700000</v>
      </c>
      <c r="N77">
        <v>2180</v>
      </c>
      <c r="P77">
        <v>1779140700000</v>
      </c>
      <c r="Q77">
        <v>2472</v>
      </c>
      <c r="R77" s="6"/>
      <c r="S77">
        <v>1782251100000</v>
      </c>
      <c r="T77">
        <v>1452</v>
      </c>
      <c r="V77">
        <v>1782251100000</v>
      </c>
      <c r="W77">
        <v>1628</v>
      </c>
      <c r="X77" s="6"/>
      <c r="Y77">
        <v>1784065500000</v>
      </c>
      <c r="Z77">
        <v>868</v>
      </c>
      <c r="AB77">
        <v>1784065500000</v>
      </c>
      <c r="AC77">
        <v>844</v>
      </c>
      <c r="AD77" s="6"/>
      <c r="AE77">
        <v>1784151900000</v>
      </c>
      <c r="AF77">
        <v>1352</v>
      </c>
      <c r="AH77">
        <v>1784151900000</v>
      </c>
      <c r="AI77">
        <v>1348</v>
      </c>
      <c r="AJ77" s="6"/>
    </row>
    <row r="78" spans="1:36">
      <c r="A78">
        <v>1778018400000</v>
      </c>
      <c r="B78">
        <v>1292</v>
      </c>
      <c r="D78">
        <v>1778018400000</v>
      </c>
      <c r="E78">
        <v>2476</v>
      </c>
      <c r="F78" s="6"/>
      <c r="G78">
        <v>1778104800000</v>
      </c>
      <c r="H78">
        <v>2140</v>
      </c>
      <c r="J78">
        <v>1778104800000</v>
      </c>
      <c r="K78">
        <v>2392</v>
      </c>
      <c r="L78" s="6"/>
      <c r="M78">
        <v>1779141600000</v>
      </c>
      <c r="N78">
        <v>2036</v>
      </c>
      <c r="P78">
        <v>1779141600000</v>
      </c>
      <c r="Q78">
        <v>2436</v>
      </c>
      <c r="R78" s="6"/>
      <c r="S78">
        <v>1782252000000</v>
      </c>
      <c r="T78">
        <v>916</v>
      </c>
      <c r="V78">
        <v>1782252000000</v>
      </c>
      <c r="W78">
        <v>1408</v>
      </c>
      <c r="X78" s="6"/>
      <c r="Y78">
        <v>1784066400000</v>
      </c>
      <c r="Z78">
        <v>1156</v>
      </c>
      <c r="AB78">
        <v>1784066400000</v>
      </c>
      <c r="AC78">
        <v>1272</v>
      </c>
      <c r="AD78" s="6"/>
      <c r="AE78">
        <v>1784152800000</v>
      </c>
      <c r="AF78">
        <v>1340</v>
      </c>
      <c r="AH78">
        <v>1784152800000</v>
      </c>
      <c r="AI78">
        <v>1176</v>
      </c>
      <c r="AJ78" s="6"/>
    </row>
    <row r="79" spans="1:36">
      <c r="A79">
        <v>1778019300000</v>
      </c>
      <c r="B79">
        <v>1972</v>
      </c>
      <c r="D79">
        <v>1778019300000</v>
      </c>
      <c r="E79">
        <v>2276</v>
      </c>
      <c r="F79" s="6"/>
      <c r="G79">
        <v>1778105700000</v>
      </c>
      <c r="H79">
        <v>2048</v>
      </c>
      <c r="J79">
        <v>1778105700000</v>
      </c>
      <c r="K79">
        <v>2468</v>
      </c>
      <c r="L79" s="6"/>
      <c r="M79">
        <v>1779142500000</v>
      </c>
      <c r="N79">
        <v>1900</v>
      </c>
      <c r="P79">
        <v>1779142500000</v>
      </c>
      <c r="Q79">
        <v>2468</v>
      </c>
      <c r="R79" s="6"/>
      <c r="S79">
        <v>1782252900000</v>
      </c>
      <c r="T79">
        <v>1324</v>
      </c>
      <c r="V79">
        <v>1782252900000</v>
      </c>
      <c r="W79">
        <v>1700</v>
      </c>
      <c r="X79" s="6"/>
      <c r="Y79">
        <v>1784067300000</v>
      </c>
      <c r="Z79">
        <v>1288</v>
      </c>
      <c r="AB79">
        <v>1784067300000</v>
      </c>
      <c r="AC79">
        <v>1168</v>
      </c>
      <c r="AD79" s="6"/>
      <c r="AE79">
        <v>1784153700000</v>
      </c>
      <c r="AF79">
        <v>1132</v>
      </c>
      <c r="AH79">
        <v>1784153700000</v>
      </c>
      <c r="AI79">
        <v>804</v>
      </c>
      <c r="AJ79" s="6"/>
    </row>
    <row r="80" spans="1:36">
      <c r="A80">
        <v>1778020200000</v>
      </c>
      <c r="B80">
        <v>2140</v>
      </c>
      <c r="D80">
        <v>1778020200000</v>
      </c>
      <c r="E80">
        <v>2428</v>
      </c>
      <c r="F80" s="6"/>
      <c r="G80">
        <v>1778106600000</v>
      </c>
      <c r="H80">
        <v>1472</v>
      </c>
      <c r="J80">
        <v>1778106600000</v>
      </c>
      <c r="K80">
        <v>2268</v>
      </c>
      <c r="L80" s="6"/>
      <c r="M80">
        <v>1779143400000</v>
      </c>
      <c r="N80">
        <v>2036</v>
      </c>
      <c r="P80">
        <v>1779143400000</v>
      </c>
      <c r="Q80">
        <v>2452</v>
      </c>
      <c r="R80" s="6"/>
      <c r="S80">
        <v>1782253800000</v>
      </c>
      <c r="T80">
        <v>1156</v>
      </c>
      <c r="V80">
        <v>1782253800000</v>
      </c>
      <c r="W80">
        <v>1576</v>
      </c>
      <c r="X80" s="6"/>
      <c r="Y80">
        <v>1784068200000</v>
      </c>
      <c r="Z80">
        <v>1212</v>
      </c>
      <c r="AB80">
        <v>1784068200000</v>
      </c>
      <c r="AC80">
        <v>1256</v>
      </c>
      <c r="AD80" s="6"/>
      <c r="AE80">
        <v>1784154600000</v>
      </c>
      <c r="AF80">
        <v>1152</v>
      </c>
      <c r="AH80">
        <v>1784154600000</v>
      </c>
      <c r="AI80">
        <v>1380</v>
      </c>
      <c r="AJ80" s="6"/>
    </row>
    <row r="81" spans="1:36">
      <c r="A81">
        <v>1778021100000</v>
      </c>
      <c r="B81">
        <v>2100</v>
      </c>
      <c r="D81">
        <v>1778021100000</v>
      </c>
      <c r="E81">
        <v>1956</v>
      </c>
      <c r="F81" s="6"/>
      <c r="G81">
        <v>1778107500000</v>
      </c>
      <c r="H81">
        <v>2168</v>
      </c>
      <c r="J81">
        <v>1778107500000</v>
      </c>
      <c r="K81">
        <v>2056</v>
      </c>
      <c r="L81" s="6"/>
      <c r="M81">
        <v>1779144300000</v>
      </c>
      <c r="N81">
        <v>2108</v>
      </c>
      <c r="P81">
        <v>1779144300000</v>
      </c>
      <c r="Q81">
        <v>2288</v>
      </c>
      <c r="R81" s="6"/>
      <c r="S81">
        <v>1782254700000</v>
      </c>
      <c r="T81">
        <v>1452</v>
      </c>
      <c r="V81">
        <v>1782254700000</v>
      </c>
      <c r="W81">
        <v>1216</v>
      </c>
      <c r="X81" s="6"/>
      <c r="Y81">
        <v>1784069100000</v>
      </c>
      <c r="Z81">
        <v>1156</v>
      </c>
      <c r="AB81">
        <v>1784069100000</v>
      </c>
      <c r="AC81">
        <v>1260</v>
      </c>
      <c r="AD81" s="6"/>
      <c r="AE81">
        <v>1784155500000</v>
      </c>
      <c r="AF81">
        <v>1220</v>
      </c>
      <c r="AH81">
        <v>1784155500000</v>
      </c>
      <c r="AI81">
        <v>1280</v>
      </c>
      <c r="AJ81" s="6"/>
    </row>
    <row r="82" spans="1:36">
      <c r="A82">
        <v>1778022000000</v>
      </c>
      <c r="B82">
        <v>2188</v>
      </c>
      <c r="D82">
        <v>1778022000000</v>
      </c>
      <c r="E82">
        <v>2448</v>
      </c>
      <c r="F82" s="6"/>
      <c r="G82">
        <v>1778108400000</v>
      </c>
      <c r="H82">
        <v>2136</v>
      </c>
      <c r="J82">
        <v>1778108400000</v>
      </c>
      <c r="K82">
        <v>2612</v>
      </c>
      <c r="L82" s="6"/>
      <c r="M82">
        <v>1779145200000</v>
      </c>
      <c r="N82">
        <v>2108</v>
      </c>
      <c r="P82">
        <v>1779145200000</v>
      </c>
      <c r="Q82">
        <v>2388</v>
      </c>
      <c r="R82" s="6"/>
      <c r="S82">
        <v>1782255600000</v>
      </c>
      <c r="T82">
        <v>1564</v>
      </c>
      <c r="V82">
        <v>1782255600000</v>
      </c>
      <c r="W82">
        <v>1492</v>
      </c>
      <c r="X82" s="6"/>
      <c r="Y82">
        <v>1784070000000</v>
      </c>
      <c r="Z82">
        <v>1496</v>
      </c>
      <c r="AB82">
        <v>1784070000000</v>
      </c>
      <c r="AC82">
        <v>1768</v>
      </c>
      <c r="AD82" s="6"/>
      <c r="AE82">
        <v>1784156400000</v>
      </c>
      <c r="AF82">
        <v>1424</v>
      </c>
      <c r="AH82">
        <v>1784156400000</v>
      </c>
      <c r="AI82">
        <v>1160</v>
      </c>
      <c r="AJ82" s="6"/>
    </row>
    <row r="83" spans="1:36">
      <c r="A83">
        <v>1778022900000</v>
      </c>
      <c r="B83">
        <v>1948</v>
      </c>
      <c r="D83">
        <v>1778022900000</v>
      </c>
      <c r="E83">
        <v>2288</v>
      </c>
      <c r="F83" s="6"/>
      <c r="G83">
        <v>1778109300000</v>
      </c>
      <c r="H83">
        <v>2012</v>
      </c>
      <c r="J83">
        <v>1778109300000</v>
      </c>
      <c r="K83">
        <v>2212</v>
      </c>
      <c r="L83" s="6"/>
      <c r="M83">
        <v>1779146100000</v>
      </c>
      <c r="N83">
        <v>2380</v>
      </c>
      <c r="P83">
        <v>1779146100000</v>
      </c>
      <c r="Q83">
        <v>2396</v>
      </c>
      <c r="R83" s="6"/>
      <c r="S83">
        <v>1782256500000</v>
      </c>
      <c r="T83">
        <v>1368</v>
      </c>
      <c r="V83">
        <v>1782256500000</v>
      </c>
      <c r="W83">
        <v>1340</v>
      </c>
      <c r="X83" s="6"/>
      <c r="Y83">
        <v>1784070900000</v>
      </c>
      <c r="Z83">
        <v>1460</v>
      </c>
      <c r="AB83">
        <v>1784070900000</v>
      </c>
      <c r="AC83">
        <v>1456</v>
      </c>
      <c r="AD83" s="6"/>
      <c r="AE83">
        <v>1784157300000</v>
      </c>
      <c r="AF83">
        <v>1220</v>
      </c>
      <c r="AH83">
        <v>1784157300000</v>
      </c>
      <c r="AI83">
        <v>1196</v>
      </c>
      <c r="AJ83" s="6"/>
    </row>
    <row r="84" spans="1:36">
      <c r="A84">
        <v>1778023800000</v>
      </c>
      <c r="B84">
        <v>1524</v>
      </c>
      <c r="D84">
        <v>1778023800000</v>
      </c>
      <c r="E84">
        <v>2000</v>
      </c>
      <c r="F84" s="6"/>
      <c r="G84">
        <v>1778110200000</v>
      </c>
      <c r="H84">
        <v>2268</v>
      </c>
      <c r="J84">
        <v>1778110200000</v>
      </c>
      <c r="K84">
        <v>2212</v>
      </c>
      <c r="L84" s="6"/>
      <c r="M84">
        <v>1779147000000</v>
      </c>
      <c r="N84">
        <v>2124</v>
      </c>
      <c r="P84">
        <v>1779147000000</v>
      </c>
      <c r="Q84">
        <v>2512</v>
      </c>
      <c r="R84" s="6"/>
      <c r="S84">
        <v>1782257400000</v>
      </c>
      <c r="T84">
        <v>1516</v>
      </c>
      <c r="V84">
        <v>1782257400000</v>
      </c>
      <c r="W84">
        <v>1368</v>
      </c>
      <c r="X84" s="6"/>
      <c r="Y84">
        <v>1784071800000</v>
      </c>
      <c r="Z84">
        <v>1408</v>
      </c>
      <c r="AB84">
        <v>1784071800000</v>
      </c>
      <c r="AC84">
        <v>932</v>
      </c>
      <c r="AD84" s="6"/>
      <c r="AE84">
        <v>1784158200000</v>
      </c>
      <c r="AF84">
        <v>1200</v>
      </c>
      <c r="AH84">
        <v>1784158200000</v>
      </c>
      <c r="AI84">
        <v>1456</v>
      </c>
      <c r="AJ84" s="6"/>
    </row>
    <row r="85" spans="1:36">
      <c r="A85">
        <v>1778024700000</v>
      </c>
      <c r="B85">
        <v>1964</v>
      </c>
      <c r="D85">
        <v>1778024700000</v>
      </c>
      <c r="E85">
        <v>2444</v>
      </c>
      <c r="F85" s="6"/>
      <c r="G85">
        <v>1778111100000</v>
      </c>
      <c r="H85">
        <v>2140</v>
      </c>
      <c r="J85">
        <v>1778111100000</v>
      </c>
      <c r="K85">
        <v>2184</v>
      </c>
      <c r="L85" s="6"/>
      <c r="M85">
        <v>1779147900000</v>
      </c>
      <c r="N85">
        <v>1948</v>
      </c>
      <c r="P85">
        <v>1779147900000</v>
      </c>
      <c r="Q85">
        <v>2228</v>
      </c>
      <c r="R85" s="6"/>
      <c r="S85">
        <v>1782258300000</v>
      </c>
      <c r="T85">
        <v>1480</v>
      </c>
      <c r="V85">
        <v>1782258300000</v>
      </c>
      <c r="W85">
        <v>1388</v>
      </c>
      <c r="X85" s="6"/>
      <c r="Y85">
        <v>1784072700000</v>
      </c>
      <c r="Z85">
        <v>892</v>
      </c>
      <c r="AB85">
        <v>1784072700000</v>
      </c>
      <c r="AC85">
        <v>1488</v>
      </c>
      <c r="AD85" s="6"/>
      <c r="AE85">
        <v>1784159100000</v>
      </c>
      <c r="AF85">
        <v>860</v>
      </c>
      <c r="AH85">
        <v>1784159100000</v>
      </c>
      <c r="AI85">
        <v>1240</v>
      </c>
      <c r="AJ85" s="6"/>
    </row>
    <row r="86" spans="1:36">
      <c r="A86">
        <v>1778025600000</v>
      </c>
      <c r="B86">
        <v>2064</v>
      </c>
      <c r="D86">
        <v>1778025600000</v>
      </c>
      <c r="E86">
        <v>2276</v>
      </c>
      <c r="F86" s="6"/>
      <c r="G86">
        <v>1778112000000</v>
      </c>
      <c r="H86">
        <v>2044</v>
      </c>
      <c r="J86">
        <v>1778112000000</v>
      </c>
      <c r="K86">
        <v>2272</v>
      </c>
      <c r="L86" s="6"/>
      <c r="M86">
        <v>1779148800000</v>
      </c>
      <c r="N86">
        <v>1356</v>
      </c>
      <c r="P86">
        <v>1779148800000</v>
      </c>
      <c r="Q86">
        <v>1624</v>
      </c>
      <c r="R86" s="6"/>
      <c r="S86">
        <v>1782259200000</v>
      </c>
      <c r="T86">
        <v>900</v>
      </c>
      <c r="V86">
        <v>1782259200000</v>
      </c>
      <c r="W86">
        <v>1128</v>
      </c>
      <c r="X86" s="6"/>
      <c r="Y86">
        <v>1784073600000</v>
      </c>
      <c r="Z86">
        <v>1356</v>
      </c>
      <c r="AB86">
        <v>1784073600000</v>
      </c>
      <c r="AC86">
        <v>1680</v>
      </c>
      <c r="AD86" s="6"/>
      <c r="AE86">
        <v>1784160000000</v>
      </c>
      <c r="AF86">
        <v>1164</v>
      </c>
      <c r="AH86">
        <v>1784160000000</v>
      </c>
      <c r="AI86">
        <v>1588</v>
      </c>
      <c r="AJ86" s="6"/>
    </row>
    <row r="87" spans="1:36">
      <c r="A87">
        <v>1778026500000</v>
      </c>
      <c r="B87">
        <v>1980</v>
      </c>
      <c r="D87">
        <v>1778026500000</v>
      </c>
      <c r="E87">
        <v>2176</v>
      </c>
      <c r="F87" s="6"/>
      <c r="G87">
        <v>1778112900000</v>
      </c>
      <c r="H87">
        <v>1956</v>
      </c>
      <c r="J87">
        <v>1778112900000</v>
      </c>
      <c r="K87">
        <v>2376</v>
      </c>
      <c r="L87" s="6"/>
      <c r="M87">
        <v>1779149700000</v>
      </c>
      <c r="N87">
        <v>1716</v>
      </c>
      <c r="P87">
        <v>1779149700000</v>
      </c>
      <c r="Q87">
        <v>2208</v>
      </c>
      <c r="R87" s="6"/>
      <c r="S87">
        <v>1782260100000</v>
      </c>
      <c r="T87">
        <v>1344</v>
      </c>
      <c r="V87">
        <v>1782260100000</v>
      </c>
      <c r="W87">
        <v>1448</v>
      </c>
      <c r="X87" s="6"/>
      <c r="Y87">
        <v>1784074500000</v>
      </c>
      <c r="Z87">
        <v>1384</v>
      </c>
      <c r="AB87">
        <v>1784074500000</v>
      </c>
      <c r="AC87">
        <v>1484</v>
      </c>
      <c r="AD87" s="6"/>
      <c r="AE87">
        <v>1784160900000</v>
      </c>
      <c r="AF87">
        <v>1216</v>
      </c>
      <c r="AH87">
        <v>1784160900000</v>
      </c>
      <c r="AI87">
        <v>1412</v>
      </c>
      <c r="AJ87" s="6"/>
    </row>
    <row r="88" spans="1:36">
      <c r="A88">
        <v>1778027400000</v>
      </c>
      <c r="B88">
        <v>1792</v>
      </c>
      <c r="D88">
        <v>1778027400000</v>
      </c>
      <c r="E88">
        <v>2192</v>
      </c>
      <c r="F88" s="6"/>
      <c r="G88">
        <v>1778113800000</v>
      </c>
      <c r="H88">
        <v>1856</v>
      </c>
      <c r="J88">
        <v>1778113800000</v>
      </c>
      <c r="K88">
        <v>1496</v>
      </c>
      <c r="L88" s="6"/>
      <c r="M88">
        <v>1779150600000</v>
      </c>
      <c r="N88">
        <v>1816</v>
      </c>
      <c r="P88">
        <v>1779150600000</v>
      </c>
      <c r="Q88">
        <v>2248</v>
      </c>
      <c r="R88" s="6"/>
      <c r="S88">
        <v>1782261000000</v>
      </c>
      <c r="T88">
        <v>1316</v>
      </c>
      <c r="V88">
        <v>1782261000000</v>
      </c>
      <c r="W88">
        <v>1536</v>
      </c>
      <c r="X88" s="6"/>
      <c r="Y88">
        <v>1784075400000</v>
      </c>
      <c r="Z88">
        <v>1372</v>
      </c>
      <c r="AB88">
        <v>1784075400000</v>
      </c>
      <c r="AC88">
        <v>1564</v>
      </c>
      <c r="AD88" s="6"/>
      <c r="AE88">
        <v>1784161800000</v>
      </c>
      <c r="AF88">
        <v>1364</v>
      </c>
      <c r="AH88">
        <v>1784161800000</v>
      </c>
      <c r="AI88">
        <v>1144</v>
      </c>
      <c r="AJ88" s="6"/>
    </row>
    <row r="89" spans="1:36">
      <c r="A89">
        <v>1778028300000</v>
      </c>
      <c r="B89">
        <v>1712</v>
      </c>
      <c r="D89">
        <v>1778028300000</v>
      </c>
      <c r="E89">
        <v>1744</v>
      </c>
      <c r="F89" s="6"/>
      <c r="G89">
        <v>1778114700000</v>
      </c>
      <c r="H89">
        <v>1960</v>
      </c>
      <c r="J89">
        <v>1778114700000</v>
      </c>
      <c r="K89">
        <v>2108</v>
      </c>
      <c r="L89" s="6"/>
      <c r="M89">
        <v>1779151500000</v>
      </c>
      <c r="N89">
        <v>1980</v>
      </c>
      <c r="P89">
        <v>1779151500000</v>
      </c>
      <c r="Q89">
        <v>2300</v>
      </c>
      <c r="R89" s="6"/>
      <c r="S89">
        <v>1782261900000</v>
      </c>
      <c r="T89">
        <v>1160</v>
      </c>
      <c r="V89">
        <v>1782261900000</v>
      </c>
      <c r="W89">
        <v>960</v>
      </c>
      <c r="X89" s="6"/>
      <c r="Y89">
        <v>1784076300000</v>
      </c>
      <c r="Z89">
        <v>1388</v>
      </c>
      <c r="AB89">
        <v>1784076300000</v>
      </c>
      <c r="AC89">
        <v>1440</v>
      </c>
      <c r="AD89" s="6"/>
      <c r="AE89">
        <v>1784162700000</v>
      </c>
      <c r="AF89">
        <v>1176</v>
      </c>
      <c r="AH89">
        <v>1784162700000</v>
      </c>
      <c r="AI89">
        <v>956</v>
      </c>
      <c r="AJ89" s="6"/>
    </row>
    <row r="90" spans="1:36">
      <c r="A90">
        <v>1778029200000</v>
      </c>
      <c r="B90">
        <v>1832</v>
      </c>
      <c r="D90">
        <v>1778029200000</v>
      </c>
      <c r="E90">
        <v>2380</v>
      </c>
      <c r="F90" s="6"/>
      <c r="G90">
        <v>1778115600000</v>
      </c>
      <c r="H90">
        <v>1944</v>
      </c>
      <c r="J90">
        <v>1778115600000</v>
      </c>
      <c r="K90">
        <v>2020</v>
      </c>
      <c r="L90" s="6"/>
      <c r="M90">
        <v>1779152400000</v>
      </c>
      <c r="N90">
        <v>1844</v>
      </c>
      <c r="P90">
        <v>1779152400000</v>
      </c>
      <c r="Q90">
        <v>1960</v>
      </c>
      <c r="R90" s="6"/>
      <c r="S90">
        <v>1782262800000</v>
      </c>
      <c r="T90">
        <v>1468</v>
      </c>
      <c r="V90">
        <v>1782262800000</v>
      </c>
      <c r="W90">
        <v>1220</v>
      </c>
      <c r="X90" s="6"/>
      <c r="Y90">
        <v>1784077200000</v>
      </c>
      <c r="Z90">
        <v>1328</v>
      </c>
      <c r="AB90">
        <v>1784077200000</v>
      </c>
      <c r="AC90">
        <v>1280</v>
      </c>
      <c r="AD90" s="6"/>
      <c r="AE90">
        <v>1784163600000</v>
      </c>
      <c r="AF90">
        <v>1236</v>
      </c>
      <c r="AH90">
        <v>1784163600000</v>
      </c>
      <c r="AI90">
        <v>1396</v>
      </c>
      <c r="AJ90" s="6"/>
    </row>
    <row r="91" spans="1:36">
      <c r="A91">
        <v>1778030100000</v>
      </c>
      <c r="B91">
        <v>1752</v>
      </c>
      <c r="D91">
        <v>1778030100000</v>
      </c>
      <c r="E91">
        <v>2088</v>
      </c>
      <c r="F91" s="6"/>
      <c r="G91">
        <v>1778116500000</v>
      </c>
      <c r="H91">
        <v>1848</v>
      </c>
      <c r="J91">
        <v>1778116500000</v>
      </c>
      <c r="K91">
        <v>2020</v>
      </c>
      <c r="L91" s="6"/>
      <c r="M91">
        <v>1779153300000</v>
      </c>
      <c r="N91">
        <v>1748</v>
      </c>
      <c r="P91">
        <v>1779153300000</v>
      </c>
      <c r="Q91">
        <v>1988</v>
      </c>
      <c r="R91" s="6"/>
      <c r="S91">
        <v>1782263700000</v>
      </c>
      <c r="T91">
        <v>1500</v>
      </c>
      <c r="V91">
        <v>1782263700000</v>
      </c>
      <c r="W91">
        <v>1244</v>
      </c>
      <c r="X91" s="6"/>
      <c r="Y91">
        <v>1784078100000</v>
      </c>
      <c r="Z91">
        <v>1184</v>
      </c>
      <c r="AB91">
        <v>1784078100000</v>
      </c>
      <c r="AC91">
        <v>1368</v>
      </c>
      <c r="AD91" s="6"/>
      <c r="AE91">
        <v>1784164500000</v>
      </c>
      <c r="AF91">
        <v>1244</v>
      </c>
      <c r="AH91">
        <v>1784164500000</v>
      </c>
      <c r="AI91">
        <v>1432</v>
      </c>
      <c r="AJ91" s="6"/>
    </row>
    <row r="92" spans="1:36">
      <c r="A92">
        <v>1778031000000</v>
      </c>
      <c r="B92">
        <v>1716</v>
      </c>
      <c r="D92">
        <v>1778031000000</v>
      </c>
      <c r="E92">
        <v>2148</v>
      </c>
      <c r="F92" s="6"/>
      <c r="G92">
        <v>1778117400000</v>
      </c>
      <c r="H92">
        <v>1832</v>
      </c>
      <c r="J92">
        <v>1778117400000</v>
      </c>
      <c r="K92">
        <v>2008</v>
      </c>
      <c r="L92" s="6"/>
      <c r="M92">
        <v>1779154200000</v>
      </c>
      <c r="N92">
        <v>1664</v>
      </c>
      <c r="P92">
        <v>1779154200000</v>
      </c>
      <c r="Q92">
        <v>1748</v>
      </c>
      <c r="R92" s="6"/>
      <c r="S92">
        <v>1782264600000</v>
      </c>
      <c r="T92">
        <v>1260</v>
      </c>
      <c r="V92">
        <v>1782264600000</v>
      </c>
      <c r="W92">
        <v>1140</v>
      </c>
      <c r="X92" s="6"/>
      <c r="Y92">
        <v>1784079000000</v>
      </c>
      <c r="Z92">
        <v>1296</v>
      </c>
      <c r="AB92">
        <v>1784079000000</v>
      </c>
      <c r="AC92">
        <v>1012</v>
      </c>
      <c r="AD92" s="6"/>
      <c r="AE92">
        <v>1784165400000</v>
      </c>
      <c r="AF92">
        <v>1244</v>
      </c>
      <c r="AH92">
        <v>1784165400000</v>
      </c>
      <c r="AI92">
        <v>1372</v>
      </c>
      <c r="AJ92" s="6"/>
    </row>
    <row r="93" spans="1:36">
      <c r="A93">
        <v>1778031900000</v>
      </c>
      <c r="B93">
        <v>1336</v>
      </c>
      <c r="D93">
        <v>1778031900000</v>
      </c>
      <c r="E93">
        <v>1472</v>
      </c>
      <c r="F93" s="6"/>
      <c r="G93">
        <v>1778118300000</v>
      </c>
      <c r="H93">
        <v>1740</v>
      </c>
      <c r="J93">
        <v>1778118300000</v>
      </c>
      <c r="K93">
        <v>1832</v>
      </c>
      <c r="L93" s="6"/>
      <c r="M93">
        <v>1779155100000</v>
      </c>
      <c r="N93">
        <v>1748</v>
      </c>
      <c r="P93">
        <v>1779155100000</v>
      </c>
      <c r="Q93">
        <v>1832</v>
      </c>
      <c r="R93" s="6"/>
      <c r="S93">
        <v>1782265500000</v>
      </c>
      <c r="T93">
        <v>1204</v>
      </c>
      <c r="V93">
        <v>1782265500000</v>
      </c>
      <c r="W93">
        <v>1012</v>
      </c>
      <c r="X93" s="6"/>
      <c r="Y93">
        <v>1784079900000</v>
      </c>
      <c r="Z93">
        <v>1316</v>
      </c>
      <c r="AB93">
        <v>1784079900000</v>
      </c>
      <c r="AC93">
        <v>1408</v>
      </c>
      <c r="AD93" s="6"/>
      <c r="AE93">
        <v>1784166300000</v>
      </c>
      <c r="AF93">
        <v>1288</v>
      </c>
      <c r="AH93">
        <v>1784166300000</v>
      </c>
      <c r="AI93">
        <v>1196</v>
      </c>
      <c r="AJ93" s="6"/>
    </row>
    <row r="94" spans="1:36">
      <c r="A94">
        <v>1778032800000</v>
      </c>
      <c r="B94">
        <v>1348</v>
      </c>
      <c r="D94">
        <v>1778032800000</v>
      </c>
      <c r="E94">
        <v>1416</v>
      </c>
      <c r="F94" s="6"/>
      <c r="G94">
        <v>1778119200000</v>
      </c>
      <c r="H94">
        <v>1392</v>
      </c>
      <c r="J94">
        <v>1778119200000</v>
      </c>
      <c r="K94">
        <v>1904</v>
      </c>
      <c r="L94" s="6"/>
      <c r="M94">
        <v>1779156000000</v>
      </c>
      <c r="N94">
        <v>1464</v>
      </c>
      <c r="P94">
        <v>1779156000000</v>
      </c>
      <c r="Q94">
        <v>1800</v>
      </c>
      <c r="R94" s="6"/>
      <c r="S94">
        <v>1782266400000</v>
      </c>
      <c r="T94">
        <v>932</v>
      </c>
      <c r="V94">
        <v>1782266400000</v>
      </c>
      <c r="W94">
        <v>1132</v>
      </c>
      <c r="X94" s="6"/>
      <c r="Y94">
        <v>1784080800000</v>
      </c>
      <c r="Z94">
        <v>1288</v>
      </c>
      <c r="AB94">
        <v>1784080800000</v>
      </c>
      <c r="AC94">
        <v>1152</v>
      </c>
      <c r="AD94" s="6"/>
      <c r="AE94">
        <v>1784167200000</v>
      </c>
      <c r="AF94">
        <v>1312</v>
      </c>
      <c r="AH94">
        <v>1784167200000</v>
      </c>
      <c r="AI94">
        <v>1272</v>
      </c>
      <c r="AJ94" s="6"/>
    </row>
    <row r="95" spans="1:36">
      <c r="A95">
        <v>1778033700000</v>
      </c>
      <c r="B95">
        <v>1680</v>
      </c>
      <c r="D95">
        <v>1778033700000</v>
      </c>
      <c r="E95">
        <v>2128</v>
      </c>
      <c r="F95" s="6"/>
      <c r="G95">
        <v>1778120100000</v>
      </c>
      <c r="H95">
        <v>1352</v>
      </c>
      <c r="J95">
        <v>1778120100000</v>
      </c>
      <c r="K95">
        <v>1944</v>
      </c>
      <c r="L95" s="6"/>
      <c r="M95">
        <v>1779156900000</v>
      </c>
      <c r="N95">
        <v>1716</v>
      </c>
      <c r="P95">
        <v>1779156900000</v>
      </c>
      <c r="Q95">
        <v>2248</v>
      </c>
      <c r="R95" s="6"/>
      <c r="S95">
        <v>1782267300000</v>
      </c>
      <c r="T95">
        <v>1204</v>
      </c>
      <c r="V95">
        <v>1782267300000</v>
      </c>
      <c r="W95">
        <v>952</v>
      </c>
      <c r="X95" s="6"/>
      <c r="Y95">
        <v>1784081700000</v>
      </c>
      <c r="Z95">
        <v>1072</v>
      </c>
      <c r="AB95">
        <v>1784081700000</v>
      </c>
      <c r="AC95">
        <v>1156</v>
      </c>
      <c r="AD95" s="6"/>
      <c r="AE95">
        <v>1784168100000</v>
      </c>
      <c r="AF95">
        <v>1228</v>
      </c>
      <c r="AH95">
        <v>1784168100000</v>
      </c>
      <c r="AI95">
        <v>1260</v>
      </c>
      <c r="AJ95" s="6"/>
    </row>
    <row r="96" spans="1:36">
      <c r="A96">
        <v>1778034600000</v>
      </c>
      <c r="B96">
        <v>1748</v>
      </c>
      <c r="D96">
        <v>1778034600000</v>
      </c>
      <c r="E96">
        <v>2072</v>
      </c>
      <c r="F96" s="6"/>
      <c r="G96">
        <v>1778121000000</v>
      </c>
      <c r="H96">
        <v>1760</v>
      </c>
      <c r="J96">
        <v>1778121000000</v>
      </c>
      <c r="K96">
        <v>2004</v>
      </c>
      <c r="L96" s="6"/>
      <c r="M96">
        <v>1779157800000</v>
      </c>
      <c r="N96">
        <v>1820</v>
      </c>
      <c r="P96">
        <v>1779157800000</v>
      </c>
      <c r="Q96">
        <v>1936</v>
      </c>
      <c r="R96" s="6"/>
      <c r="S96">
        <v>1782268200000</v>
      </c>
      <c r="T96">
        <v>1420</v>
      </c>
      <c r="V96">
        <v>1782268200000</v>
      </c>
      <c r="W96">
        <v>996</v>
      </c>
      <c r="X96" s="6"/>
      <c r="Y96">
        <v>1784082600000</v>
      </c>
      <c r="Z96">
        <v>1088</v>
      </c>
      <c r="AB96">
        <v>1784082600000</v>
      </c>
      <c r="AC96">
        <v>816</v>
      </c>
      <c r="AD96" s="6"/>
      <c r="AE96">
        <v>1784169000000</v>
      </c>
      <c r="AF96">
        <v>1256</v>
      </c>
      <c r="AH96">
        <v>1784169000000</v>
      </c>
      <c r="AI96">
        <v>1196</v>
      </c>
      <c r="AJ96" s="6"/>
    </row>
    <row r="97" spans="1:36">
      <c r="A97">
        <v>1778035500000</v>
      </c>
      <c r="B97">
        <v>1772</v>
      </c>
      <c r="D97">
        <v>1778035500000</v>
      </c>
      <c r="E97">
        <v>2060</v>
      </c>
      <c r="F97" s="6"/>
      <c r="G97">
        <v>1778121900000</v>
      </c>
      <c r="H97">
        <v>1920</v>
      </c>
      <c r="J97">
        <v>1778121900000</v>
      </c>
      <c r="K97">
        <v>2032</v>
      </c>
      <c r="L97" s="6"/>
      <c r="M97">
        <v>1779158700000</v>
      </c>
      <c r="N97">
        <v>1740</v>
      </c>
      <c r="P97">
        <v>1779158700000</v>
      </c>
      <c r="Q97">
        <v>1988</v>
      </c>
      <c r="R97" s="6"/>
      <c r="S97">
        <v>1782269100000</v>
      </c>
      <c r="T97">
        <v>1188</v>
      </c>
      <c r="V97">
        <v>1782269100000</v>
      </c>
      <c r="W97">
        <v>1128</v>
      </c>
      <c r="X97" s="6"/>
      <c r="Y97">
        <v>1784083500000</v>
      </c>
      <c r="Z97">
        <v>1040</v>
      </c>
      <c r="AB97">
        <v>1784083500000</v>
      </c>
      <c r="AC97">
        <v>1112</v>
      </c>
      <c r="AD97" s="6"/>
      <c r="AE97">
        <v>1784169900000</v>
      </c>
      <c r="AF97">
        <v>1160</v>
      </c>
      <c r="AH97">
        <v>1784169900000</v>
      </c>
      <c r="AI97">
        <v>1444</v>
      </c>
      <c r="AJ97" s="6"/>
    </row>
    <row r="98" spans="1:36">
      <c r="A98">
        <v>1778036400000</v>
      </c>
      <c r="B98">
        <v>1552</v>
      </c>
      <c r="D98">
        <v>1778036400000</v>
      </c>
      <c r="E98">
        <v>1728</v>
      </c>
      <c r="F98" s="6"/>
      <c r="G98">
        <v>1778122800000</v>
      </c>
      <c r="H98">
        <v>1824</v>
      </c>
      <c r="J98">
        <v>1778122800000</v>
      </c>
      <c r="K98">
        <v>2020</v>
      </c>
      <c r="L98" s="6"/>
      <c r="M98">
        <v>1779159600000</v>
      </c>
      <c r="N98">
        <v>1804</v>
      </c>
      <c r="P98">
        <v>1779159600000</v>
      </c>
      <c r="Q98">
        <v>1812</v>
      </c>
      <c r="R98" s="6"/>
      <c r="S98">
        <v>1782270000000</v>
      </c>
      <c r="T98">
        <v>1280</v>
      </c>
      <c r="V98">
        <v>1782270000000</v>
      </c>
      <c r="W98">
        <v>1436</v>
      </c>
      <c r="X98" s="6"/>
      <c r="Y98">
        <v>1784084400000</v>
      </c>
      <c r="Z98">
        <v>1068</v>
      </c>
      <c r="AB98">
        <v>1784084400000</v>
      </c>
      <c r="AC98">
        <v>1172</v>
      </c>
      <c r="AD98" s="6"/>
      <c r="AE98">
        <v>1784170800000</v>
      </c>
      <c r="AF98">
        <v>1304</v>
      </c>
      <c r="AH98">
        <v>1784170800000</v>
      </c>
      <c r="AI98">
        <v>1440</v>
      </c>
      <c r="AJ98" s="6"/>
    </row>
    <row r="99" spans="1:36">
      <c r="A99">
        <v>1778037300000</v>
      </c>
      <c r="B99">
        <v>1840</v>
      </c>
      <c r="D99">
        <v>1778037300000</v>
      </c>
      <c r="E99">
        <v>2132</v>
      </c>
      <c r="F99" s="6"/>
      <c r="G99">
        <v>1778123700000</v>
      </c>
      <c r="H99">
        <v>1712</v>
      </c>
      <c r="J99">
        <v>1778123700000</v>
      </c>
      <c r="K99">
        <v>2120</v>
      </c>
      <c r="L99" s="6"/>
      <c r="M99">
        <v>1779160500000</v>
      </c>
      <c r="N99">
        <v>1628</v>
      </c>
      <c r="P99">
        <v>1779160500000</v>
      </c>
      <c r="Q99">
        <v>1788</v>
      </c>
      <c r="R99" s="6"/>
      <c r="S99">
        <v>1782270900000</v>
      </c>
      <c r="T99">
        <v>1232</v>
      </c>
      <c r="V99">
        <v>1782270900000</v>
      </c>
      <c r="W99">
        <v>1412</v>
      </c>
      <c r="X99" s="6"/>
      <c r="Y99">
        <v>1784085300000</v>
      </c>
      <c r="Z99">
        <v>1040</v>
      </c>
      <c r="AB99">
        <v>1784085300000</v>
      </c>
      <c r="AC99">
        <v>1356</v>
      </c>
      <c r="AD99" s="6"/>
      <c r="AE99">
        <v>1784171700000</v>
      </c>
      <c r="AF99">
        <v>1068</v>
      </c>
      <c r="AH99">
        <v>1784171700000</v>
      </c>
      <c r="AI99">
        <v>1392</v>
      </c>
      <c r="AJ99" s="6"/>
    </row>
    <row r="100" spans="1:36">
      <c r="A100">
        <v>1778038200000</v>
      </c>
      <c r="B100">
        <v>1716</v>
      </c>
      <c r="D100">
        <v>1778038200000</v>
      </c>
      <c r="E100">
        <v>1916</v>
      </c>
      <c r="F100" s="6"/>
      <c r="G100">
        <v>1778124600000</v>
      </c>
      <c r="H100">
        <v>1668</v>
      </c>
      <c r="J100">
        <v>1778124600000</v>
      </c>
      <c r="K100">
        <v>1884</v>
      </c>
      <c r="L100" s="6"/>
      <c r="M100">
        <v>1779161400000</v>
      </c>
      <c r="N100">
        <v>1656</v>
      </c>
      <c r="P100">
        <v>1779161400000</v>
      </c>
      <c r="Q100">
        <v>2068</v>
      </c>
      <c r="R100" s="6"/>
      <c r="S100">
        <v>1782271800000</v>
      </c>
      <c r="T100">
        <v>1180</v>
      </c>
      <c r="V100">
        <v>1782271800000</v>
      </c>
      <c r="W100">
        <v>1304</v>
      </c>
      <c r="X100" s="6"/>
      <c r="Y100">
        <v>1784086200000</v>
      </c>
      <c r="Z100">
        <v>876</v>
      </c>
      <c r="AB100">
        <v>1784086200000</v>
      </c>
      <c r="AC100">
        <v>1264</v>
      </c>
      <c r="AD100" s="6"/>
      <c r="AE100">
        <v>1784172600000</v>
      </c>
      <c r="AF100">
        <v>1108</v>
      </c>
      <c r="AH100">
        <v>1784172600000</v>
      </c>
      <c r="AI100">
        <v>1364</v>
      </c>
      <c r="AJ100" s="6"/>
    </row>
    <row r="101" spans="1:36">
      <c r="A101">
        <v>1778039100000</v>
      </c>
      <c r="B101">
        <v>1696</v>
      </c>
      <c r="D101">
        <v>1778039100000</v>
      </c>
      <c r="E101">
        <v>1956</v>
      </c>
      <c r="F101" s="6"/>
      <c r="G101">
        <v>1778125500000</v>
      </c>
      <c r="H101">
        <v>1520</v>
      </c>
      <c r="J101">
        <v>1778125500000</v>
      </c>
      <c r="K101">
        <v>1960</v>
      </c>
      <c r="L101" s="6"/>
      <c r="M101">
        <v>1779162300000</v>
      </c>
      <c r="N101">
        <v>1220</v>
      </c>
      <c r="P101">
        <v>1779162300000</v>
      </c>
      <c r="Q101">
        <v>1720</v>
      </c>
      <c r="R101" s="6"/>
      <c r="S101">
        <v>1782272700000</v>
      </c>
      <c r="T101">
        <v>1092</v>
      </c>
      <c r="V101">
        <v>1782272700000</v>
      </c>
      <c r="W101">
        <v>1420</v>
      </c>
      <c r="X101" s="6"/>
      <c r="Y101">
        <v>1784087100000</v>
      </c>
      <c r="Z101">
        <v>784</v>
      </c>
      <c r="AB101">
        <v>1784087100000</v>
      </c>
      <c r="AC101">
        <v>924</v>
      </c>
      <c r="AD101" s="6"/>
      <c r="AE101">
        <v>1784173500000</v>
      </c>
      <c r="AF101">
        <v>892</v>
      </c>
      <c r="AH101">
        <v>1784173500000</v>
      </c>
      <c r="AI101">
        <v>1256</v>
      </c>
      <c r="AJ101" s="6"/>
    </row>
    <row r="102" spans="1:36">
      <c r="A102">
        <v>1778040000000</v>
      </c>
      <c r="B102">
        <v>1396</v>
      </c>
      <c r="D102">
        <v>1778040000000</v>
      </c>
      <c r="E102">
        <v>1792</v>
      </c>
      <c r="F102" s="6"/>
      <c r="G102">
        <v>1778126400000</v>
      </c>
      <c r="H102">
        <v>1528</v>
      </c>
      <c r="J102">
        <v>1778126400000</v>
      </c>
      <c r="K102">
        <v>1900</v>
      </c>
      <c r="L102" s="6"/>
      <c r="M102">
        <v>1779163200000</v>
      </c>
      <c r="N102">
        <v>1416</v>
      </c>
      <c r="P102">
        <v>1779163200000</v>
      </c>
      <c r="Q102">
        <v>1820</v>
      </c>
      <c r="R102" s="6"/>
      <c r="S102">
        <v>1782273600000</v>
      </c>
      <c r="T102">
        <v>1068</v>
      </c>
      <c r="V102">
        <v>1782273600000</v>
      </c>
      <c r="W102">
        <v>1388</v>
      </c>
      <c r="X102" s="6"/>
      <c r="Y102">
        <v>1784088000000</v>
      </c>
      <c r="Z102">
        <v>700</v>
      </c>
      <c r="AB102">
        <v>1784088000000</v>
      </c>
      <c r="AC102">
        <v>932</v>
      </c>
      <c r="AD102" s="6"/>
      <c r="AE102">
        <v>1784174400000</v>
      </c>
      <c r="AF102">
        <v>892</v>
      </c>
      <c r="AH102">
        <v>1784174400000</v>
      </c>
      <c r="AI102">
        <v>1128</v>
      </c>
      <c r="AJ102" s="6"/>
    </row>
    <row r="103" spans="1:36">
      <c r="A103">
        <v>1778040900000</v>
      </c>
      <c r="B103">
        <v>1436</v>
      </c>
      <c r="D103">
        <v>1778040900000</v>
      </c>
      <c r="E103">
        <v>1984</v>
      </c>
      <c r="F103" s="6"/>
      <c r="G103">
        <v>1778127300000</v>
      </c>
      <c r="H103">
        <v>1092</v>
      </c>
      <c r="J103">
        <v>1778127300000</v>
      </c>
      <c r="K103">
        <v>1816</v>
      </c>
      <c r="L103" s="6"/>
      <c r="M103">
        <v>1779164100000</v>
      </c>
      <c r="N103">
        <v>1176</v>
      </c>
      <c r="P103">
        <v>1779164100000</v>
      </c>
      <c r="Q103">
        <v>1752</v>
      </c>
      <c r="R103" s="6"/>
      <c r="S103">
        <v>1782274500000</v>
      </c>
      <c r="T103">
        <v>964</v>
      </c>
      <c r="V103">
        <v>1782274500000</v>
      </c>
      <c r="W103">
        <v>1188</v>
      </c>
      <c r="X103" s="6"/>
      <c r="Y103">
        <v>1784088900000</v>
      </c>
      <c r="Z103">
        <v>724</v>
      </c>
      <c r="AB103">
        <v>1784088900000</v>
      </c>
      <c r="AC103">
        <v>728</v>
      </c>
      <c r="AD103" s="6"/>
      <c r="AE103">
        <v>1784175300000</v>
      </c>
      <c r="AF103">
        <v>724</v>
      </c>
      <c r="AH103">
        <v>1784175300000</v>
      </c>
      <c r="AI103">
        <v>952</v>
      </c>
      <c r="AJ103" s="6"/>
    </row>
    <row r="104" spans="1:36">
      <c r="A104">
        <v>1778041800000</v>
      </c>
      <c r="B104">
        <v>1464</v>
      </c>
      <c r="D104">
        <v>1778041800000</v>
      </c>
      <c r="E104">
        <v>1872</v>
      </c>
      <c r="F104" s="6"/>
      <c r="G104">
        <v>1778128200000</v>
      </c>
      <c r="H104">
        <v>1396</v>
      </c>
      <c r="J104">
        <v>1778128200000</v>
      </c>
      <c r="K104">
        <v>2212</v>
      </c>
      <c r="L104" s="6"/>
      <c r="M104">
        <v>1779165000000</v>
      </c>
      <c r="N104">
        <v>1252</v>
      </c>
      <c r="P104">
        <v>1779165000000</v>
      </c>
      <c r="Q104">
        <v>1692</v>
      </c>
      <c r="R104" s="6"/>
      <c r="S104">
        <v>1782275400000</v>
      </c>
      <c r="T104">
        <v>820</v>
      </c>
      <c r="V104">
        <v>1782275400000</v>
      </c>
      <c r="W104">
        <v>1196</v>
      </c>
      <c r="X104" s="6"/>
      <c r="Y104">
        <v>1784089800000</v>
      </c>
      <c r="Z104">
        <v>668</v>
      </c>
      <c r="AB104">
        <v>1784089800000</v>
      </c>
      <c r="AC104">
        <v>700</v>
      </c>
      <c r="AD104" s="6"/>
      <c r="AE104">
        <v>1784176200000</v>
      </c>
      <c r="AF104">
        <v>692</v>
      </c>
      <c r="AH104">
        <v>1784176200000</v>
      </c>
      <c r="AI104">
        <v>872</v>
      </c>
      <c r="AJ104" s="6"/>
    </row>
    <row r="105" spans="1:36">
      <c r="A105">
        <v>1778042700000</v>
      </c>
      <c r="B105">
        <v>1356</v>
      </c>
      <c r="D105">
        <v>1778042700000</v>
      </c>
      <c r="E105">
        <v>1568</v>
      </c>
      <c r="F105" s="6"/>
      <c r="G105">
        <v>1778129100000</v>
      </c>
      <c r="H105">
        <v>1392</v>
      </c>
      <c r="J105">
        <v>1778129100000</v>
      </c>
      <c r="K105">
        <v>1992</v>
      </c>
      <c r="L105" s="6"/>
      <c r="M105">
        <v>1779165900000</v>
      </c>
      <c r="N105">
        <v>1344</v>
      </c>
      <c r="P105">
        <v>1779165900000</v>
      </c>
      <c r="Q105">
        <v>1720</v>
      </c>
      <c r="R105" s="6"/>
      <c r="S105">
        <v>1782276300000</v>
      </c>
      <c r="T105">
        <v>756</v>
      </c>
      <c r="V105">
        <v>1782276300000</v>
      </c>
      <c r="W105">
        <v>1036</v>
      </c>
      <c r="X105" s="6"/>
      <c r="Y105">
        <v>1784090700000</v>
      </c>
      <c r="Z105">
        <v>572</v>
      </c>
      <c r="AB105">
        <v>1784090700000</v>
      </c>
      <c r="AC105">
        <v>640</v>
      </c>
      <c r="AD105" s="6"/>
      <c r="AE105">
        <v>1784177100000</v>
      </c>
      <c r="AF105">
        <v>500</v>
      </c>
      <c r="AH105">
        <v>1784177100000</v>
      </c>
      <c r="AI105">
        <v>704</v>
      </c>
      <c r="AJ105" s="6"/>
    </row>
    <row r="106" spans="1:36">
      <c r="A106">
        <v>1778043600000</v>
      </c>
      <c r="B106">
        <v>1376</v>
      </c>
      <c r="D106">
        <v>1778043600000</v>
      </c>
      <c r="E106">
        <v>1548</v>
      </c>
      <c r="F106" s="6"/>
      <c r="G106">
        <v>1778130000000</v>
      </c>
      <c r="H106">
        <v>1228</v>
      </c>
      <c r="J106">
        <v>1778130000000</v>
      </c>
      <c r="K106">
        <v>1968</v>
      </c>
      <c r="L106" s="6"/>
      <c r="M106">
        <v>1779166800000</v>
      </c>
      <c r="N106">
        <v>1320</v>
      </c>
      <c r="P106">
        <v>1779166800000</v>
      </c>
      <c r="Q106">
        <v>1608</v>
      </c>
      <c r="R106" s="6"/>
      <c r="S106">
        <v>1782277200000</v>
      </c>
      <c r="T106">
        <v>724</v>
      </c>
      <c r="V106">
        <v>1782277200000</v>
      </c>
      <c r="W106">
        <v>1128</v>
      </c>
      <c r="X106" s="6"/>
      <c r="Y106">
        <v>1784091600000</v>
      </c>
      <c r="Z106">
        <v>456</v>
      </c>
      <c r="AB106">
        <v>1784091600000</v>
      </c>
      <c r="AC106">
        <v>736</v>
      </c>
      <c r="AD106" s="6"/>
      <c r="AE106">
        <v>1784178000000</v>
      </c>
      <c r="AF106">
        <v>624</v>
      </c>
      <c r="AH106">
        <v>1784178000000</v>
      </c>
      <c r="AI106">
        <v>604</v>
      </c>
      <c r="AJ106" s="6"/>
    </row>
    <row r="107" spans="1:36">
      <c r="A107">
        <v>1778044500000</v>
      </c>
      <c r="B107">
        <v>1180</v>
      </c>
      <c r="D107">
        <v>1778044500000</v>
      </c>
      <c r="E107">
        <v>1580</v>
      </c>
      <c r="F107" s="6"/>
      <c r="G107">
        <v>1778130900000</v>
      </c>
      <c r="H107">
        <v>1368</v>
      </c>
      <c r="J107">
        <v>1778130900000</v>
      </c>
      <c r="K107">
        <v>1728</v>
      </c>
      <c r="L107" s="6"/>
      <c r="M107">
        <v>1779167700000</v>
      </c>
      <c r="N107">
        <v>1012</v>
      </c>
      <c r="P107">
        <v>1779167700000</v>
      </c>
      <c r="Q107">
        <v>1560</v>
      </c>
      <c r="R107" s="6"/>
      <c r="S107">
        <v>1782278100000</v>
      </c>
      <c r="T107">
        <v>676</v>
      </c>
      <c r="V107">
        <v>1782278100000</v>
      </c>
      <c r="W107">
        <v>1000</v>
      </c>
      <c r="X107" s="6"/>
      <c r="Y107">
        <v>1784092500000</v>
      </c>
      <c r="Z107">
        <v>388</v>
      </c>
      <c r="AB107">
        <v>1784092500000</v>
      </c>
      <c r="AC107">
        <v>728</v>
      </c>
      <c r="AD107" s="6"/>
      <c r="AE107">
        <v>1784178900000</v>
      </c>
      <c r="AF107">
        <v>356</v>
      </c>
      <c r="AH107">
        <v>1784178900000</v>
      </c>
      <c r="AI107">
        <v>724</v>
      </c>
      <c r="AJ107" s="6"/>
    </row>
    <row r="108" spans="1:36">
      <c r="A108">
        <v>1778045400000</v>
      </c>
      <c r="B108">
        <v>1052</v>
      </c>
      <c r="D108">
        <v>1778045400000</v>
      </c>
      <c r="E108">
        <v>1432</v>
      </c>
      <c r="F108" s="6"/>
      <c r="G108">
        <v>1778131800000</v>
      </c>
      <c r="H108">
        <v>1200</v>
      </c>
      <c r="J108">
        <v>1778131800000</v>
      </c>
      <c r="K108">
        <v>1616</v>
      </c>
      <c r="L108" s="6"/>
      <c r="M108">
        <v>1779168600000</v>
      </c>
      <c r="N108">
        <v>1200</v>
      </c>
      <c r="P108">
        <v>1779168600000</v>
      </c>
      <c r="Q108">
        <v>1652</v>
      </c>
      <c r="R108" s="6"/>
      <c r="S108">
        <v>1782279000000</v>
      </c>
      <c r="T108">
        <v>540</v>
      </c>
      <c r="V108">
        <v>1782279000000</v>
      </c>
      <c r="W108">
        <v>1160</v>
      </c>
      <c r="X108" s="6"/>
      <c r="Y108">
        <v>1784093400000</v>
      </c>
      <c r="Z108">
        <v>360</v>
      </c>
      <c r="AB108">
        <v>1784093400000</v>
      </c>
      <c r="AC108">
        <v>716</v>
      </c>
      <c r="AD108" s="6"/>
      <c r="AE108">
        <v>1784179800000</v>
      </c>
      <c r="AF108">
        <v>356</v>
      </c>
      <c r="AH108">
        <v>1784179800000</v>
      </c>
      <c r="AI108">
        <v>500</v>
      </c>
      <c r="AJ108" s="6"/>
    </row>
    <row r="109" spans="1:36">
      <c r="A109">
        <v>1778046300000</v>
      </c>
      <c r="B109">
        <v>1244</v>
      </c>
      <c r="D109">
        <v>1778046300000</v>
      </c>
      <c r="E109">
        <v>1144</v>
      </c>
      <c r="F109" s="6"/>
      <c r="G109">
        <v>1778132700000</v>
      </c>
      <c r="H109">
        <v>1328</v>
      </c>
      <c r="J109">
        <v>1778132700000</v>
      </c>
      <c r="K109">
        <v>1608</v>
      </c>
      <c r="L109" s="6"/>
      <c r="M109">
        <v>1779169500000</v>
      </c>
      <c r="N109">
        <v>1096</v>
      </c>
      <c r="P109">
        <v>1779169500000</v>
      </c>
      <c r="Q109">
        <v>1660</v>
      </c>
      <c r="R109" s="6"/>
      <c r="S109">
        <v>1782279900000</v>
      </c>
      <c r="T109">
        <v>532</v>
      </c>
      <c r="V109">
        <v>1782279900000</v>
      </c>
      <c r="W109">
        <v>1108</v>
      </c>
      <c r="X109" s="6"/>
      <c r="Y109">
        <v>1784094300000</v>
      </c>
      <c r="Z109">
        <v>424</v>
      </c>
      <c r="AB109">
        <v>1784094300000</v>
      </c>
      <c r="AC109">
        <v>668</v>
      </c>
      <c r="AD109" s="6"/>
      <c r="AE109">
        <v>1784180700000</v>
      </c>
      <c r="AF109">
        <v>232</v>
      </c>
      <c r="AH109">
        <v>1784180700000</v>
      </c>
      <c r="AI109">
        <v>456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hyperlinks>
    <hyperlink ref="M2" r:id="rId1" display="https://atspm.udot.utah.gov/performance-measures" xr:uid="{9D3FA36C-4F3C-4947-B8A5-14C897D45603}"/>
    <hyperlink ref="A2" r:id="rId2" display="https://atspm.udot.utah.gov/performance-measures" xr:uid="{E78E0233-BFC6-4459-BF51-08D6618807C0}"/>
    <hyperlink ref="G2" r:id="rId3" display="https://atspm.udot.utah.gov/performance-measures" xr:uid="{6F50E1CC-8B10-4635-94FE-DECEBBF6D817}"/>
    <hyperlink ref="Y2" r:id="rId4" display="https://atspm.udot.utah.gov/performance-measures" xr:uid="{D402D1FE-3A30-4561-A223-6CE1268CBA19}"/>
    <hyperlink ref="AE2" r:id="rId5" display="https://atspm.udot.utah.gov/performance-measures" xr:uid="{7F8AC614-A0B4-4D2C-AA27-E574C6B45C54}"/>
    <hyperlink ref="S2" r:id="rId6" display="https://atspm.udot.utah.gov/performance-measures" xr:uid="{19BE819E-E862-4D4E-82F3-4A76F365EBE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569F-8312-49E3-BC6A-6D525F82C18D}">
  <dimension ref="A1:AJ1073"/>
  <sheetViews>
    <sheetView topLeftCell="G1" workbookViewId="0">
      <selection activeCell="AG8" sqref="AG8:AG10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73</v>
      </c>
      <c r="F1" s="6"/>
      <c r="G1" s="1" t="s">
        <v>74</v>
      </c>
      <c r="L1" s="6"/>
      <c r="M1" s="1" t="s">
        <v>75</v>
      </c>
      <c r="R1" s="6"/>
      <c r="S1" s="1" t="s">
        <v>76</v>
      </c>
      <c r="X1" s="6"/>
      <c r="Y1" s="1" t="s">
        <v>77</v>
      </c>
      <c r="AD1" s="6"/>
      <c r="AE1" s="1" t="s">
        <v>78</v>
      </c>
      <c r="AJ1" s="6"/>
    </row>
    <row r="2" spans="1:36">
      <c r="A2" s="2" t="s">
        <v>79</v>
      </c>
      <c r="F2" s="6"/>
      <c r="G2" s="2" t="s">
        <v>79</v>
      </c>
      <c r="L2" s="6"/>
      <c r="M2" s="2" t="s">
        <v>79</v>
      </c>
      <c r="R2" s="6"/>
      <c r="S2" s="2" t="s">
        <v>79</v>
      </c>
      <c r="X2" s="6"/>
      <c r="Y2" s="2" t="s">
        <v>79</v>
      </c>
      <c r="AD2" s="6"/>
      <c r="AE2" s="2" t="s">
        <v>79</v>
      </c>
      <c r="AJ2" s="6"/>
    </row>
    <row r="3" spans="1:36">
      <c r="A3" t="s">
        <v>0</v>
      </c>
      <c r="F3" s="6"/>
      <c r="G3" t="s">
        <v>0</v>
      </c>
      <c r="L3" s="6"/>
      <c r="M3" t="s">
        <v>0</v>
      </c>
      <c r="R3" s="6"/>
      <c r="S3" t="s">
        <v>0</v>
      </c>
      <c r="X3" s="6"/>
      <c r="Y3" t="s">
        <v>0</v>
      </c>
      <c r="AD3" s="6"/>
      <c r="AE3" t="s">
        <v>0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91</v>
      </c>
      <c r="F7" s="6"/>
      <c r="G7" s="3" t="s">
        <v>91</v>
      </c>
      <c r="L7" s="6"/>
      <c r="M7" s="3" t="s">
        <v>91</v>
      </c>
      <c r="R7" s="6"/>
      <c r="S7" s="3" t="s">
        <v>91</v>
      </c>
      <c r="X7" s="6"/>
      <c r="Y7" s="3" t="s">
        <v>91</v>
      </c>
      <c r="AD7" s="6"/>
      <c r="AE7" s="3" t="s">
        <v>91</v>
      </c>
      <c r="AJ7" s="6"/>
    </row>
    <row r="8" spans="1:36">
      <c r="A8" t="s">
        <v>3</v>
      </c>
      <c r="B8" s="4">
        <f>AVERAGE(B16:B111,E16:E111)</f>
        <v>19.642552083333339</v>
      </c>
      <c r="C8" t="s">
        <v>6</v>
      </c>
      <c r="F8" s="6"/>
      <c r="G8" t="s">
        <v>3</v>
      </c>
      <c r="H8" s="4">
        <f>AVERAGE(H16:H111,K16:K111)</f>
        <v>20.643593749999997</v>
      </c>
      <c r="I8" t="s">
        <v>6</v>
      </c>
      <c r="L8" s="6"/>
      <c r="M8" t="s">
        <v>3</v>
      </c>
      <c r="N8" s="4">
        <f>AVERAGE(N16:N111,Q16:Q111)</f>
        <v>19.399479166666669</v>
      </c>
      <c r="O8" t="s">
        <v>6</v>
      </c>
      <c r="R8" s="6"/>
      <c r="S8" t="s">
        <v>3</v>
      </c>
      <c r="T8" s="4">
        <f>AVERAGE(T16:T111,W16:W111)</f>
        <v>19.911249999999999</v>
      </c>
      <c r="U8" t="s">
        <v>6</v>
      </c>
      <c r="X8" s="6"/>
      <c r="Y8" t="s">
        <v>3</v>
      </c>
      <c r="Z8" s="9">
        <f>AVERAGE(Z16:Z111,AC16:AC111)</f>
        <v>19.664114583333333</v>
      </c>
      <c r="AA8" t="s">
        <v>6</v>
      </c>
      <c r="AD8" s="6"/>
      <c r="AE8" t="s">
        <v>3</v>
      </c>
      <c r="AF8" s="9">
        <f>AVERAGE(AF16:AF111,AI16:AI111)</f>
        <v>20.194218749999994</v>
      </c>
      <c r="AG8" t="s">
        <v>6</v>
      </c>
      <c r="AJ8" s="6"/>
    </row>
    <row r="9" spans="1:36">
      <c r="A9" t="s">
        <v>4</v>
      </c>
      <c r="B9" s="4">
        <f>AVERAGE(B16:B111)</f>
        <v>16.134583333333342</v>
      </c>
      <c r="C9" t="s">
        <v>6</v>
      </c>
      <c r="F9" s="6"/>
      <c r="G9" t="s">
        <v>4</v>
      </c>
      <c r="H9" s="4">
        <f>AVERAGE(H16:H111)</f>
        <v>17.15270833333334</v>
      </c>
      <c r="I9" t="s">
        <v>6</v>
      </c>
      <c r="L9" s="6"/>
      <c r="M9" t="s">
        <v>4</v>
      </c>
      <c r="N9" s="4">
        <f>AVERAGE(N16:N111)</f>
        <v>16.449895833333333</v>
      </c>
      <c r="O9" t="s">
        <v>6</v>
      </c>
      <c r="R9" s="6"/>
      <c r="S9" t="s">
        <v>4</v>
      </c>
      <c r="T9" s="4">
        <f>AVERAGE(T16:T111)</f>
        <v>15.277291666666665</v>
      </c>
      <c r="U9" t="s">
        <v>6</v>
      </c>
      <c r="X9" s="6"/>
      <c r="Y9" t="s">
        <v>4</v>
      </c>
      <c r="Z9" s="9">
        <f>AVERAGE(Z16:Z111)</f>
        <v>14.661562499999997</v>
      </c>
      <c r="AA9" t="s">
        <v>6</v>
      </c>
      <c r="AD9" s="6"/>
      <c r="AE9" t="s">
        <v>4</v>
      </c>
      <c r="AF9" s="9">
        <f>AVERAGE(AF16:AF111)</f>
        <v>15.768124999999998</v>
      </c>
      <c r="AG9" t="s">
        <v>6</v>
      </c>
      <c r="AJ9" s="6"/>
    </row>
    <row r="10" spans="1:36">
      <c r="A10" t="s">
        <v>5</v>
      </c>
      <c r="B10" s="4">
        <f>AVERAGE(E16:E111)</f>
        <v>23.150520833333331</v>
      </c>
      <c r="C10" t="s">
        <v>6</v>
      </c>
      <c r="F10" s="6"/>
      <c r="G10" t="s">
        <v>5</v>
      </c>
      <c r="H10" s="4">
        <f>AVERAGE(K16:K111)</f>
        <v>24.134479166666665</v>
      </c>
      <c r="I10" t="s">
        <v>6</v>
      </c>
      <c r="L10" s="6"/>
      <c r="M10" t="s">
        <v>5</v>
      </c>
      <c r="N10" s="4">
        <f>AVERAGE(Q16:Q111)</f>
        <v>22.349062500000002</v>
      </c>
      <c r="O10" t="s">
        <v>6</v>
      </c>
      <c r="R10" s="6"/>
      <c r="S10" t="s">
        <v>5</v>
      </c>
      <c r="T10" s="4">
        <f>AVERAGE(W16:W111)</f>
        <v>24.545208333333346</v>
      </c>
      <c r="U10" t="s">
        <v>6</v>
      </c>
      <c r="X10" s="6"/>
      <c r="Y10" t="s">
        <v>5</v>
      </c>
      <c r="Z10" s="9">
        <f>AVERAGE(AC16:AC111)</f>
        <v>24.666666666666661</v>
      </c>
      <c r="AA10" t="s">
        <v>6</v>
      </c>
      <c r="AD10" s="6"/>
      <c r="AE10" t="s">
        <v>5</v>
      </c>
      <c r="AF10" s="9">
        <f>AVERAGE(AI16:AI111)</f>
        <v>24.620312500000008</v>
      </c>
      <c r="AG10" t="s">
        <v>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0</v>
      </c>
      <c r="D13" t="s">
        <v>0</v>
      </c>
      <c r="F13" s="6"/>
      <c r="G13" t="s">
        <v>0</v>
      </c>
      <c r="J13" t="s">
        <v>0</v>
      </c>
      <c r="L13" s="6"/>
      <c r="M13" t="s">
        <v>0</v>
      </c>
      <c r="P13" t="s">
        <v>0</v>
      </c>
      <c r="R13" s="6"/>
      <c r="S13" t="s">
        <v>0</v>
      </c>
      <c r="V13" t="s">
        <v>0</v>
      </c>
      <c r="X13" s="6"/>
      <c r="Y13" t="s">
        <v>0</v>
      </c>
      <c r="AB13" t="s">
        <v>0</v>
      </c>
      <c r="AD13" s="6"/>
      <c r="AE13" t="s">
        <v>0</v>
      </c>
      <c r="AH13" t="s">
        <v>0</v>
      </c>
      <c r="AJ13" s="6"/>
    </row>
    <row r="14" spans="1:36">
      <c r="A14" t="s">
        <v>92</v>
      </c>
      <c r="D14" t="s">
        <v>92</v>
      </c>
      <c r="F14" s="6"/>
      <c r="G14" t="s">
        <v>92</v>
      </c>
      <c r="J14" t="s">
        <v>92</v>
      </c>
      <c r="L14" s="6"/>
      <c r="M14" t="s">
        <v>92</v>
      </c>
      <c r="P14" t="s">
        <v>92</v>
      </c>
      <c r="R14" s="6"/>
      <c r="S14" t="s">
        <v>92</v>
      </c>
      <c r="V14" t="s">
        <v>92</v>
      </c>
      <c r="X14" s="6"/>
      <c r="Y14" t="s">
        <v>92</v>
      </c>
      <c r="AB14" t="s">
        <v>92</v>
      </c>
      <c r="AD14" s="6"/>
      <c r="AE14" t="s">
        <v>92</v>
      </c>
      <c r="AH14" t="s">
        <v>92</v>
      </c>
      <c r="AJ14" s="6"/>
    </row>
    <row r="15" spans="1:36">
      <c r="A15" t="s">
        <v>93</v>
      </c>
      <c r="D15" t="s">
        <v>93</v>
      </c>
      <c r="F15" s="6"/>
      <c r="G15" t="s">
        <v>93</v>
      </c>
      <c r="J15" t="s">
        <v>93</v>
      </c>
      <c r="L15" s="6"/>
      <c r="M15" t="s">
        <v>93</v>
      </c>
      <c r="P15" t="s">
        <v>93</v>
      </c>
      <c r="R15" s="6"/>
      <c r="S15" t="s">
        <v>93</v>
      </c>
      <c r="V15" t="s">
        <v>93</v>
      </c>
      <c r="X15" s="6"/>
      <c r="Y15" t="s">
        <v>93</v>
      </c>
      <c r="AB15" t="s">
        <v>93</v>
      </c>
      <c r="AD15" s="6"/>
      <c r="AE15" t="s">
        <v>93</v>
      </c>
      <c r="AH15" t="s">
        <v>93</v>
      </c>
      <c r="AJ15" s="6"/>
    </row>
    <row r="16" spans="1:36">
      <c r="A16">
        <v>1777960800000</v>
      </c>
      <c r="B16">
        <v>4.83</v>
      </c>
      <c r="D16">
        <v>1777960800000</v>
      </c>
      <c r="E16">
        <v>8.4499999999999993</v>
      </c>
      <c r="F16" s="6"/>
      <c r="G16">
        <v>1778047200000</v>
      </c>
      <c r="H16">
        <v>5.13</v>
      </c>
      <c r="J16">
        <v>1778047200000</v>
      </c>
      <c r="K16">
        <v>8.09</v>
      </c>
      <c r="L16" s="6"/>
      <c r="M16">
        <v>1779084000000</v>
      </c>
      <c r="N16">
        <v>2.54</v>
      </c>
      <c r="P16">
        <v>1779084000000</v>
      </c>
      <c r="Q16">
        <v>7.33</v>
      </c>
      <c r="R16" s="6"/>
      <c r="S16">
        <v>1782194400000</v>
      </c>
      <c r="T16">
        <v>11.64</v>
      </c>
      <c r="V16">
        <v>1782194400000</v>
      </c>
      <c r="W16">
        <v>12.4</v>
      </c>
      <c r="X16" s="6"/>
      <c r="Y16">
        <v>1784008800000</v>
      </c>
      <c r="Z16">
        <v>8.31</v>
      </c>
      <c r="AB16">
        <v>1784008800000</v>
      </c>
      <c r="AC16">
        <v>8.18</v>
      </c>
      <c r="AD16" s="6"/>
      <c r="AE16">
        <v>1784095200000</v>
      </c>
      <c r="AF16">
        <v>3.18</v>
      </c>
      <c r="AH16">
        <v>1784095200000</v>
      </c>
      <c r="AI16">
        <v>5.12</v>
      </c>
      <c r="AJ16" s="6"/>
    </row>
    <row r="17" spans="1:36">
      <c r="A17">
        <v>1777961700000</v>
      </c>
      <c r="B17">
        <v>4.66</v>
      </c>
      <c r="D17">
        <v>1777961700000</v>
      </c>
      <c r="E17">
        <v>6.21</v>
      </c>
      <c r="F17" s="6"/>
      <c r="G17">
        <v>1778048100000</v>
      </c>
      <c r="H17">
        <v>1.95</v>
      </c>
      <c r="J17">
        <v>1778048100000</v>
      </c>
      <c r="K17">
        <v>4.92</v>
      </c>
      <c r="L17" s="6"/>
      <c r="M17">
        <v>1779084900000</v>
      </c>
      <c r="N17">
        <v>2.4300000000000002</v>
      </c>
      <c r="P17">
        <v>1779084900000</v>
      </c>
      <c r="Q17">
        <v>3.76</v>
      </c>
      <c r="R17" s="6"/>
      <c r="S17">
        <v>1782195300000</v>
      </c>
      <c r="T17">
        <v>6.49</v>
      </c>
      <c r="V17">
        <v>1782195300000</v>
      </c>
      <c r="W17">
        <v>6.97</v>
      </c>
      <c r="X17" s="6"/>
      <c r="Y17">
        <v>1784009700000</v>
      </c>
      <c r="Z17">
        <v>4.09</v>
      </c>
      <c r="AB17">
        <v>1784009700000</v>
      </c>
      <c r="AC17">
        <v>7.65</v>
      </c>
      <c r="AD17" s="6"/>
      <c r="AE17">
        <v>1784096100000</v>
      </c>
      <c r="AF17">
        <v>5.2</v>
      </c>
      <c r="AH17">
        <v>1784096100000</v>
      </c>
      <c r="AI17">
        <v>10.82</v>
      </c>
      <c r="AJ17" s="6"/>
    </row>
    <row r="18" spans="1:36">
      <c r="A18">
        <v>1777962600000</v>
      </c>
      <c r="B18">
        <v>0.92</v>
      </c>
      <c r="D18">
        <v>1777962600000</v>
      </c>
      <c r="E18">
        <v>4.55</v>
      </c>
      <c r="F18" s="6"/>
      <c r="G18">
        <v>1778049000000</v>
      </c>
      <c r="H18">
        <v>4.34</v>
      </c>
      <c r="J18">
        <v>1778049000000</v>
      </c>
      <c r="K18">
        <v>6.9</v>
      </c>
      <c r="L18" s="6"/>
      <c r="M18">
        <v>1779085800000</v>
      </c>
      <c r="N18">
        <v>1.92</v>
      </c>
      <c r="P18">
        <v>1779085800000</v>
      </c>
      <c r="Q18">
        <v>2.95</v>
      </c>
      <c r="R18" s="6"/>
      <c r="S18">
        <v>1782196200000</v>
      </c>
      <c r="T18">
        <v>6.31</v>
      </c>
      <c r="V18">
        <v>1782196200000</v>
      </c>
      <c r="W18">
        <v>7.53</v>
      </c>
      <c r="X18" s="6"/>
      <c r="Y18">
        <v>1784010600000</v>
      </c>
      <c r="Z18">
        <v>1.95</v>
      </c>
      <c r="AB18">
        <v>1784010600000</v>
      </c>
      <c r="AC18">
        <v>5.05</v>
      </c>
      <c r="AD18" s="6"/>
      <c r="AE18">
        <v>1784097000000</v>
      </c>
      <c r="AF18">
        <v>4.42</v>
      </c>
      <c r="AH18">
        <v>1784097000000</v>
      </c>
      <c r="AI18">
        <v>3.98</v>
      </c>
      <c r="AJ18" s="6"/>
    </row>
    <row r="19" spans="1:36">
      <c r="A19">
        <v>1777963500000</v>
      </c>
      <c r="B19">
        <v>2.4700000000000002</v>
      </c>
      <c r="D19">
        <v>1777963500000</v>
      </c>
      <c r="E19">
        <v>3.54</v>
      </c>
      <c r="F19" s="6"/>
      <c r="G19">
        <v>1778049900000</v>
      </c>
      <c r="H19">
        <v>2.88</v>
      </c>
      <c r="J19">
        <v>1778049900000</v>
      </c>
      <c r="K19">
        <v>4.17</v>
      </c>
      <c r="L19" s="6"/>
      <c r="M19">
        <v>1779086700000</v>
      </c>
      <c r="N19">
        <v>2.15</v>
      </c>
      <c r="P19">
        <v>1779086700000</v>
      </c>
      <c r="Q19">
        <v>3.23</v>
      </c>
      <c r="R19" s="6"/>
      <c r="S19">
        <v>1782197100000</v>
      </c>
      <c r="T19">
        <v>2.44</v>
      </c>
      <c r="V19">
        <v>1782197100000</v>
      </c>
      <c r="W19">
        <v>3.58</v>
      </c>
      <c r="X19" s="6"/>
      <c r="Y19">
        <v>1784011500000</v>
      </c>
      <c r="Z19">
        <v>2.2200000000000002</v>
      </c>
      <c r="AB19">
        <v>1784011500000</v>
      </c>
      <c r="AC19">
        <v>6.09</v>
      </c>
      <c r="AD19" s="6"/>
      <c r="AE19">
        <v>1784097900000</v>
      </c>
      <c r="AF19">
        <v>3.87</v>
      </c>
      <c r="AH19">
        <v>1784097900000</v>
      </c>
      <c r="AI19">
        <v>7.84</v>
      </c>
      <c r="AJ19" s="6"/>
    </row>
    <row r="20" spans="1:36">
      <c r="A20">
        <v>1777964400000</v>
      </c>
      <c r="B20">
        <v>1.78</v>
      </c>
      <c r="D20">
        <v>1777964400000</v>
      </c>
      <c r="E20">
        <v>3.65</v>
      </c>
      <c r="F20" s="6"/>
      <c r="G20">
        <v>1778050800000</v>
      </c>
      <c r="H20">
        <v>3.73</v>
      </c>
      <c r="J20">
        <v>1778050800000</v>
      </c>
      <c r="K20">
        <v>5.34</v>
      </c>
      <c r="L20" s="6"/>
      <c r="M20">
        <v>1779087600000</v>
      </c>
      <c r="N20">
        <v>1.57</v>
      </c>
      <c r="P20">
        <v>1779087600000</v>
      </c>
      <c r="Q20">
        <v>3.61</v>
      </c>
      <c r="R20" s="6"/>
      <c r="S20">
        <v>1782198000000</v>
      </c>
      <c r="T20">
        <v>1.66</v>
      </c>
      <c r="V20">
        <v>1782198000000</v>
      </c>
      <c r="W20">
        <v>2.2999999999999998</v>
      </c>
      <c r="X20" s="6"/>
      <c r="Y20">
        <v>1784012400000</v>
      </c>
      <c r="Z20">
        <v>2.36</v>
      </c>
      <c r="AB20">
        <v>1784012400000</v>
      </c>
      <c r="AC20">
        <v>11.26</v>
      </c>
      <c r="AD20" s="6"/>
      <c r="AE20">
        <v>1784098800000</v>
      </c>
      <c r="AF20">
        <v>3.07</v>
      </c>
      <c r="AH20">
        <v>1784098800000</v>
      </c>
      <c r="AI20">
        <v>5.76</v>
      </c>
      <c r="AJ20" s="6"/>
    </row>
    <row r="21" spans="1:36">
      <c r="A21">
        <v>1777965300000</v>
      </c>
      <c r="B21">
        <v>2.19</v>
      </c>
      <c r="D21">
        <v>1777965300000</v>
      </c>
      <c r="E21">
        <v>2.65</v>
      </c>
      <c r="F21" s="6"/>
      <c r="G21">
        <v>1778051700000</v>
      </c>
      <c r="H21">
        <v>1.49</v>
      </c>
      <c r="J21">
        <v>1778051700000</v>
      </c>
      <c r="K21">
        <v>2.72</v>
      </c>
      <c r="L21" s="6"/>
      <c r="M21">
        <v>1779088500000</v>
      </c>
      <c r="N21">
        <v>1.29</v>
      </c>
      <c r="P21">
        <v>1779088500000</v>
      </c>
      <c r="Q21">
        <v>3.35</v>
      </c>
      <c r="R21" s="6"/>
      <c r="S21">
        <v>1782198900000</v>
      </c>
      <c r="T21">
        <v>5.78</v>
      </c>
      <c r="V21">
        <v>1782198900000</v>
      </c>
      <c r="W21">
        <v>12.33</v>
      </c>
      <c r="X21" s="6"/>
      <c r="Y21">
        <v>1784013300000</v>
      </c>
      <c r="Z21">
        <v>2.97</v>
      </c>
      <c r="AB21">
        <v>1784013300000</v>
      </c>
      <c r="AC21">
        <v>4.17</v>
      </c>
      <c r="AD21" s="6"/>
      <c r="AE21">
        <v>1784099700000</v>
      </c>
      <c r="AF21">
        <v>1.77</v>
      </c>
      <c r="AH21">
        <v>1784099700000</v>
      </c>
      <c r="AI21">
        <v>3.33</v>
      </c>
      <c r="AJ21" s="6"/>
    </row>
    <row r="22" spans="1:36">
      <c r="A22">
        <v>1777966200000</v>
      </c>
      <c r="B22">
        <v>1.64</v>
      </c>
      <c r="D22">
        <v>1777966200000</v>
      </c>
      <c r="E22">
        <v>3.18</v>
      </c>
      <c r="F22" s="6"/>
      <c r="G22">
        <v>1778052600000</v>
      </c>
      <c r="H22">
        <v>1.51</v>
      </c>
      <c r="J22">
        <v>1778052600000</v>
      </c>
      <c r="K22">
        <v>2.4</v>
      </c>
      <c r="L22" s="6"/>
      <c r="M22">
        <v>1779089400000</v>
      </c>
      <c r="N22">
        <v>3.51</v>
      </c>
      <c r="P22">
        <v>1779089400000</v>
      </c>
      <c r="Q22">
        <v>4.6500000000000004</v>
      </c>
      <c r="R22" s="6"/>
      <c r="S22">
        <v>1782199800000</v>
      </c>
      <c r="T22">
        <v>5.43</v>
      </c>
      <c r="V22">
        <v>1782199800000</v>
      </c>
      <c r="W22">
        <v>8.66</v>
      </c>
      <c r="X22" s="6"/>
      <c r="Y22">
        <v>1784014200000</v>
      </c>
      <c r="Z22">
        <v>2.29</v>
      </c>
      <c r="AB22">
        <v>1784014200000</v>
      </c>
      <c r="AC22">
        <v>1.66</v>
      </c>
      <c r="AD22" s="6"/>
      <c r="AE22">
        <v>1784100600000</v>
      </c>
      <c r="AF22">
        <v>2.77</v>
      </c>
      <c r="AH22">
        <v>1784100600000</v>
      </c>
      <c r="AI22">
        <v>2.57</v>
      </c>
      <c r="AJ22" s="6"/>
    </row>
    <row r="23" spans="1:36">
      <c r="A23">
        <v>1777967100000</v>
      </c>
      <c r="B23">
        <v>0.83</v>
      </c>
      <c r="D23">
        <v>1777967100000</v>
      </c>
      <c r="E23">
        <v>1.02</v>
      </c>
      <c r="F23" s="6"/>
      <c r="G23">
        <v>1778053500000</v>
      </c>
      <c r="H23">
        <v>2.66</v>
      </c>
      <c r="J23">
        <v>1778053500000</v>
      </c>
      <c r="K23">
        <v>3.24</v>
      </c>
      <c r="L23" s="6"/>
      <c r="M23">
        <v>1779090300000</v>
      </c>
      <c r="N23">
        <v>1.75</v>
      </c>
      <c r="P23">
        <v>1779090300000</v>
      </c>
      <c r="Q23">
        <v>1.19</v>
      </c>
      <c r="R23" s="6"/>
      <c r="S23">
        <v>1782200700000</v>
      </c>
      <c r="T23">
        <v>1.1100000000000001</v>
      </c>
      <c r="V23">
        <v>1782200700000</v>
      </c>
      <c r="W23">
        <v>1.71</v>
      </c>
      <c r="X23" s="6"/>
      <c r="Y23">
        <v>1784015100000</v>
      </c>
      <c r="Z23">
        <v>1.2</v>
      </c>
      <c r="AB23">
        <v>1784015100000</v>
      </c>
      <c r="AC23">
        <v>1.43</v>
      </c>
      <c r="AD23" s="6"/>
      <c r="AE23">
        <v>1784101500000</v>
      </c>
      <c r="AF23">
        <v>4.58</v>
      </c>
      <c r="AH23">
        <v>1784101500000</v>
      </c>
      <c r="AI23">
        <v>7.29</v>
      </c>
      <c r="AJ23" s="6"/>
    </row>
    <row r="24" spans="1:36">
      <c r="A24">
        <v>1777968000000</v>
      </c>
      <c r="B24">
        <v>2.78</v>
      </c>
      <c r="D24">
        <v>1777968000000</v>
      </c>
      <c r="E24">
        <v>2.83</v>
      </c>
      <c r="F24" s="6"/>
      <c r="G24">
        <v>1778054400000</v>
      </c>
      <c r="H24">
        <v>1.44</v>
      </c>
      <c r="J24">
        <v>1778054400000</v>
      </c>
      <c r="K24">
        <v>1.51</v>
      </c>
      <c r="L24" s="6"/>
      <c r="M24">
        <v>1779091200000</v>
      </c>
      <c r="N24">
        <v>1.23</v>
      </c>
      <c r="P24">
        <v>1779091200000</v>
      </c>
      <c r="Q24">
        <v>2.5499999999999998</v>
      </c>
      <c r="R24" s="6"/>
      <c r="S24">
        <v>1782201600000</v>
      </c>
      <c r="T24">
        <v>0.97</v>
      </c>
      <c r="V24">
        <v>1782201600000</v>
      </c>
      <c r="W24">
        <v>1.25</v>
      </c>
      <c r="X24" s="6"/>
      <c r="Y24">
        <v>1784016000000</v>
      </c>
      <c r="Z24">
        <v>0.9</v>
      </c>
      <c r="AB24">
        <v>1784016000000</v>
      </c>
      <c r="AC24">
        <v>1.67</v>
      </c>
      <c r="AD24" s="6"/>
      <c r="AE24">
        <v>1784102400000</v>
      </c>
      <c r="AF24">
        <v>0.84</v>
      </c>
      <c r="AH24">
        <v>1784102400000</v>
      </c>
      <c r="AI24">
        <v>2.21</v>
      </c>
      <c r="AJ24" s="6"/>
    </row>
    <row r="25" spans="1:36">
      <c r="A25">
        <v>1777968900000</v>
      </c>
      <c r="B25">
        <v>1.1399999999999999</v>
      </c>
      <c r="D25">
        <v>1777968900000</v>
      </c>
      <c r="E25">
        <v>1.65</v>
      </c>
      <c r="F25" s="6"/>
      <c r="G25">
        <v>1778055300000</v>
      </c>
      <c r="H25">
        <v>0.39</v>
      </c>
      <c r="J25">
        <v>1778055300000</v>
      </c>
      <c r="K25">
        <v>0.98</v>
      </c>
      <c r="L25" s="6"/>
      <c r="M25">
        <v>1779092100000</v>
      </c>
      <c r="N25">
        <v>1.43</v>
      </c>
      <c r="P25">
        <v>1779092100000</v>
      </c>
      <c r="Q25">
        <v>1.45</v>
      </c>
      <c r="R25" s="6"/>
      <c r="S25">
        <v>1782202500000</v>
      </c>
      <c r="T25">
        <v>1.85</v>
      </c>
      <c r="V25">
        <v>1782202500000</v>
      </c>
      <c r="W25">
        <v>1.72</v>
      </c>
      <c r="X25" s="6"/>
      <c r="Y25">
        <v>1784016900000</v>
      </c>
      <c r="Z25">
        <v>0.85</v>
      </c>
      <c r="AB25">
        <v>1784016900000</v>
      </c>
      <c r="AC25">
        <v>1.5</v>
      </c>
      <c r="AD25" s="6"/>
      <c r="AE25">
        <v>1784103300000</v>
      </c>
      <c r="AF25">
        <v>1.06</v>
      </c>
      <c r="AH25">
        <v>1784103300000</v>
      </c>
      <c r="AI25">
        <v>1.76</v>
      </c>
      <c r="AJ25" s="6"/>
    </row>
    <row r="26" spans="1:36">
      <c r="A26">
        <v>1777969800000</v>
      </c>
      <c r="B26">
        <v>1.1299999999999999</v>
      </c>
      <c r="D26">
        <v>1777969800000</v>
      </c>
      <c r="E26">
        <v>0.92</v>
      </c>
      <c r="F26" s="6"/>
      <c r="G26">
        <v>1778056200000</v>
      </c>
      <c r="H26">
        <v>1.44</v>
      </c>
      <c r="J26">
        <v>1778056200000</v>
      </c>
      <c r="K26">
        <v>1.99</v>
      </c>
      <c r="L26" s="6"/>
      <c r="M26">
        <v>1779093000000</v>
      </c>
      <c r="N26">
        <v>1.01</v>
      </c>
      <c r="P26">
        <v>1779093000000</v>
      </c>
      <c r="Q26">
        <v>0.81</v>
      </c>
      <c r="R26" s="6"/>
      <c r="S26">
        <v>1782203400000</v>
      </c>
      <c r="T26">
        <v>0.84</v>
      </c>
      <c r="V26">
        <v>1782203400000</v>
      </c>
      <c r="W26">
        <v>1.28</v>
      </c>
      <c r="X26" s="6"/>
      <c r="Y26">
        <v>1784017800000</v>
      </c>
      <c r="Z26">
        <v>0.89</v>
      </c>
      <c r="AB26">
        <v>1784017800000</v>
      </c>
      <c r="AC26">
        <v>0.99</v>
      </c>
      <c r="AD26" s="6"/>
      <c r="AE26">
        <v>1784104200000</v>
      </c>
      <c r="AF26">
        <v>0.55000000000000004</v>
      </c>
      <c r="AH26">
        <v>1784104200000</v>
      </c>
      <c r="AI26">
        <v>3.51</v>
      </c>
      <c r="AJ26" s="6"/>
    </row>
    <row r="27" spans="1:36">
      <c r="A27">
        <v>1777970700000</v>
      </c>
      <c r="B27">
        <v>0.88</v>
      </c>
      <c r="D27">
        <v>1777970700000</v>
      </c>
      <c r="E27">
        <v>0.89</v>
      </c>
      <c r="F27" s="6"/>
      <c r="G27">
        <v>1778057100000</v>
      </c>
      <c r="H27">
        <v>1.33</v>
      </c>
      <c r="J27">
        <v>1778057100000</v>
      </c>
      <c r="K27">
        <v>1.54</v>
      </c>
      <c r="L27" s="6"/>
      <c r="M27">
        <v>1779093900000</v>
      </c>
      <c r="N27">
        <v>1.36</v>
      </c>
      <c r="P27">
        <v>1779093900000</v>
      </c>
      <c r="Q27">
        <v>0.94</v>
      </c>
      <c r="R27" s="6"/>
      <c r="S27">
        <v>1782204300000</v>
      </c>
      <c r="T27">
        <v>0.43</v>
      </c>
      <c r="V27">
        <v>1782204300000</v>
      </c>
      <c r="W27">
        <v>1.3</v>
      </c>
      <c r="X27" s="6"/>
      <c r="Y27">
        <v>1784018700000</v>
      </c>
      <c r="Z27">
        <v>1.94</v>
      </c>
      <c r="AB27">
        <v>1784018700000</v>
      </c>
      <c r="AC27">
        <v>1.55</v>
      </c>
      <c r="AD27" s="6"/>
      <c r="AE27">
        <v>1784105100000</v>
      </c>
      <c r="AF27">
        <v>1.82</v>
      </c>
      <c r="AH27">
        <v>1784105100000</v>
      </c>
      <c r="AI27">
        <v>1</v>
      </c>
      <c r="AJ27" s="6"/>
    </row>
    <row r="28" spans="1:36">
      <c r="A28">
        <v>1777971600000</v>
      </c>
      <c r="B28">
        <v>0.66</v>
      </c>
      <c r="D28">
        <v>1777971600000</v>
      </c>
      <c r="E28">
        <v>1.0900000000000001</v>
      </c>
      <c r="F28" s="6"/>
      <c r="G28">
        <v>1778058000000</v>
      </c>
      <c r="H28">
        <v>1.63</v>
      </c>
      <c r="J28">
        <v>1778058000000</v>
      </c>
      <c r="K28">
        <v>1.56</v>
      </c>
      <c r="L28" s="6"/>
      <c r="M28">
        <v>1779094800000</v>
      </c>
      <c r="N28">
        <v>1.1399999999999999</v>
      </c>
      <c r="P28">
        <v>1779094800000</v>
      </c>
      <c r="Q28">
        <v>1.23</v>
      </c>
      <c r="R28" s="6"/>
      <c r="S28">
        <v>1782205200000</v>
      </c>
      <c r="T28">
        <v>0.63</v>
      </c>
      <c r="V28">
        <v>1782205200000</v>
      </c>
      <c r="W28">
        <v>1.2</v>
      </c>
      <c r="X28" s="6"/>
      <c r="Y28">
        <v>1784019600000</v>
      </c>
      <c r="Z28">
        <v>0.65</v>
      </c>
      <c r="AB28">
        <v>1784019600000</v>
      </c>
      <c r="AC28">
        <v>1.02</v>
      </c>
      <c r="AD28" s="6"/>
      <c r="AE28">
        <v>1784106000000</v>
      </c>
      <c r="AF28">
        <v>0</v>
      </c>
      <c r="AH28">
        <v>1784106000000</v>
      </c>
      <c r="AI28">
        <v>1.54</v>
      </c>
      <c r="AJ28" s="6"/>
    </row>
    <row r="29" spans="1:36">
      <c r="A29">
        <v>1777972500000</v>
      </c>
      <c r="B29">
        <v>1.05</v>
      </c>
      <c r="D29">
        <v>1777972500000</v>
      </c>
      <c r="E29">
        <v>1.6</v>
      </c>
      <c r="F29" s="6"/>
      <c r="G29">
        <v>1778058900000</v>
      </c>
      <c r="H29">
        <v>22.7</v>
      </c>
      <c r="J29">
        <v>1778058900000</v>
      </c>
      <c r="K29">
        <v>11.04</v>
      </c>
      <c r="L29" s="6"/>
      <c r="M29">
        <v>1779095700000</v>
      </c>
      <c r="N29">
        <v>1.01</v>
      </c>
      <c r="P29">
        <v>1779095700000</v>
      </c>
      <c r="Q29">
        <v>1.7</v>
      </c>
      <c r="R29" s="6"/>
      <c r="S29">
        <v>1782206100000</v>
      </c>
      <c r="T29">
        <v>2.08</v>
      </c>
      <c r="V29">
        <v>1782206100000</v>
      </c>
      <c r="W29">
        <v>2.1800000000000002</v>
      </c>
      <c r="X29" s="6"/>
      <c r="Y29">
        <v>1784020500000</v>
      </c>
      <c r="Z29">
        <v>1.17</v>
      </c>
      <c r="AB29">
        <v>1784020500000</v>
      </c>
      <c r="AC29">
        <v>1.72</v>
      </c>
      <c r="AD29" s="6"/>
      <c r="AE29">
        <v>1784106900000</v>
      </c>
      <c r="AF29">
        <v>1.87</v>
      </c>
      <c r="AH29">
        <v>1784106900000</v>
      </c>
      <c r="AI29">
        <v>1.45</v>
      </c>
      <c r="AJ29" s="6"/>
    </row>
    <row r="30" spans="1:36">
      <c r="A30">
        <v>1777973400000</v>
      </c>
      <c r="B30">
        <v>2.11</v>
      </c>
      <c r="D30">
        <v>1777973400000</v>
      </c>
      <c r="E30">
        <v>3.21</v>
      </c>
      <c r="F30" s="6"/>
      <c r="G30">
        <v>1778059800000</v>
      </c>
      <c r="H30">
        <v>17.39</v>
      </c>
      <c r="J30">
        <v>1778059800000</v>
      </c>
      <c r="K30">
        <v>14.74</v>
      </c>
      <c r="L30" s="6"/>
      <c r="M30">
        <v>1779096600000</v>
      </c>
      <c r="N30">
        <v>0.76</v>
      </c>
      <c r="P30">
        <v>1779096600000</v>
      </c>
      <c r="Q30">
        <v>1.48</v>
      </c>
      <c r="R30" s="6"/>
      <c r="S30">
        <v>1782207000000</v>
      </c>
      <c r="T30">
        <v>0.52</v>
      </c>
      <c r="V30">
        <v>1782207000000</v>
      </c>
      <c r="W30">
        <v>1.1399999999999999</v>
      </c>
      <c r="X30" s="6"/>
      <c r="Y30">
        <v>1784021400000</v>
      </c>
      <c r="Z30">
        <v>0.41</v>
      </c>
      <c r="AB30">
        <v>1784021400000</v>
      </c>
      <c r="AC30">
        <v>1.35</v>
      </c>
      <c r="AD30" s="6"/>
      <c r="AE30">
        <v>1784107800000</v>
      </c>
      <c r="AF30">
        <v>1</v>
      </c>
      <c r="AH30">
        <v>1784107800000</v>
      </c>
      <c r="AI30">
        <v>2.35</v>
      </c>
      <c r="AJ30" s="6"/>
    </row>
    <row r="31" spans="1:36">
      <c r="A31">
        <v>1777974300000</v>
      </c>
      <c r="B31">
        <v>3.13</v>
      </c>
      <c r="D31">
        <v>1777974300000</v>
      </c>
      <c r="E31">
        <v>2.2400000000000002</v>
      </c>
      <c r="F31" s="6"/>
      <c r="G31">
        <v>1778060700000</v>
      </c>
      <c r="H31">
        <v>17.91</v>
      </c>
      <c r="J31">
        <v>1778060700000</v>
      </c>
      <c r="K31">
        <v>9.67</v>
      </c>
      <c r="L31" s="6"/>
      <c r="M31">
        <v>1779097500000</v>
      </c>
      <c r="N31">
        <v>1.75</v>
      </c>
      <c r="P31">
        <v>1779097500000</v>
      </c>
      <c r="Q31">
        <v>1.9</v>
      </c>
      <c r="R31" s="6"/>
      <c r="S31">
        <v>1782207900000</v>
      </c>
      <c r="T31">
        <v>1.35</v>
      </c>
      <c r="V31">
        <v>1782207900000</v>
      </c>
      <c r="W31">
        <v>2.37</v>
      </c>
      <c r="X31" s="6"/>
      <c r="Y31">
        <v>1784022300000</v>
      </c>
      <c r="Z31">
        <v>4.2699999999999996</v>
      </c>
      <c r="AB31">
        <v>1784022300000</v>
      </c>
      <c r="AC31">
        <v>2.98</v>
      </c>
      <c r="AD31" s="6"/>
      <c r="AE31">
        <v>1784108700000</v>
      </c>
      <c r="AF31">
        <v>1.07</v>
      </c>
      <c r="AH31">
        <v>1784108700000</v>
      </c>
      <c r="AI31">
        <v>1.04</v>
      </c>
      <c r="AJ31" s="6"/>
    </row>
    <row r="32" spans="1:36">
      <c r="A32">
        <v>1777975200000</v>
      </c>
      <c r="B32">
        <v>14.66</v>
      </c>
      <c r="D32">
        <v>1777975200000</v>
      </c>
      <c r="E32">
        <v>6.59</v>
      </c>
      <c r="F32" s="6"/>
      <c r="G32">
        <v>1778061600000</v>
      </c>
      <c r="H32">
        <v>13.92</v>
      </c>
      <c r="J32">
        <v>1778061600000</v>
      </c>
      <c r="K32">
        <v>12.36</v>
      </c>
      <c r="L32" s="6"/>
      <c r="M32">
        <v>1779098400000</v>
      </c>
      <c r="N32">
        <v>0.99</v>
      </c>
      <c r="P32">
        <v>1779098400000</v>
      </c>
      <c r="Q32">
        <v>1.2</v>
      </c>
      <c r="R32" s="6"/>
      <c r="S32">
        <v>1782208800000</v>
      </c>
      <c r="T32">
        <v>3</v>
      </c>
      <c r="V32">
        <v>1782208800000</v>
      </c>
      <c r="W32">
        <v>2.08</v>
      </c>
      <c r="X32" s="6"/>
      <c r="Y32">
        <v>1784023200000</v>
      </c>
      <c r="Z32">
        <v>0.95</v>
      </c>
      <c r="AB32">
        <v>1784023200000</v>
      </c>
      <c r="AC32">
        <v>3.2</v>
      </c>
      <c r="AD32" s="6"/>
      <c r="AE32">
        <v>1784109600000</v>
      </c>
      <c r="AF32">
        <v>1.62</v>
      </c>
      <c r="AH32">
        <v>1784109600000</v>
      </c>
      <c r="AI32">
        <v>2.84</v>
      </c>
      <c r="AJ32" s="6"/>
    </row>
    <row r="33" spans="1:36">
      <c r="A33">
        <v>1777976100000</v>
      </c>
      <c r="B33">
        <v>1.41</v>
      </c>
      <c r="D33">
        <v>1777976100000</v>
      </c>
      <c r="E33">
        <v>1.27</v>
      </c>
      <c r="F33" s="6"/>
      <c r="G33">
        <v>1778062500000</v>
      </c>
      <c r="H33">
        <v>4.75</v>
      </c>
      <c r="J33">
        <v>1778062500000</v>
      </c>
      <c r="K33">
        <v>9.94</v>
      </c>
      <c r="L33" s="6"/>
      <c r="M33">
        <v>1779099300000</v>
      </c>
      <c r="N33">
        <v>1.81</v>
      </c>
      <c r="P33">
        <v>1779099300000</v>
      </c>
      <c r="Q33">
        <v>2.71</v>
      </c>
      <c r="R33" s="6"/>
      <c r="S33">
        <v>1782209700000</v>
      </c>
      <c r="T33">
        <v>2</v>
      </c>
      <c r="V33">
        <v>1782209700000</v>
      </c>
      <c r="W33">
        <v>1.58</v>
      </c>
      <c r="X33" s="6"/>
      <c r="Y33">
        <v>1784024100000</v>
      </c>
      <c r="Z33">
        <v>1.18</v>
      </c>
      <c r="AB33">
        <v>1784024100000</v>
      </c>
      <c r="AC33">
        <v>1.7</v>
      </c>
      <c r="AD33" s="6"/>
      <c r="AE33">
        <v>1784110500000</v>
      </c>
      <c r="AF33">
        <v>1.33</v>
      </c>
      <c r="AH33">
        <v>1784110500000</v>
      </c>
      <c r="AI33">
        <v>2.09</v>
      </c>
      <c r="AJ33" s="6"/>
    </row>
    <row r="34" spans="1:36">
      <c r="A34">
        <v>1777977000000</v>
      </c>
      <c r="B34">
        <v>1.98</v>
      </c>
      <c r="D34">
        <v>1777977000000</v>
      </c>
      <c r="E34">
        <v>3.82</v>
      </c>
      <c r="F34" s="6"/>
      <c r="G34">
        <v>1778063400000</v>
      </c>
      <c r="H34">
        <v>2.13</v>
      </c>
      <c r="J34">
        <v>1778063400000</v>
      </c>
      <c r="K34">
        <v>4.07</v>
      </c>
      <c r="L34" s="6"/>
      <c r="M34">
        <v>1779100200000</v>
      </c>
      <c r="N34">
        <v>1.34</v>
      </c>
      <c r="P34">
        <v>1779100200000</v>
      </c>
      <c r="Q34">
        <v>3.62</v>
      </c>
      <c r="R34" s="6"/>
      <c r="S34">
        <v>1782210600000</v>
      </c>
      <c r="T34">
        <v>2.19</v>
      </c>
      <c r="V34">
        <v>1782210600000</v>
      </c>
      <c r="W34">
        <v>3.47</v>
      </c>
      <c r="X34" s="6"/>
      <c r="Y34">
        <v>1784025000000</v>
      </c>
      <c r="Z34">
        <v>2.76</v>
      </c>
      <c r="AB34">
        <v>1784025000000</v>
      </c>
      <c r="AC34">
        <v>4.8099999999999996</v>
      </c>
      <c r="AD34" s="6"/>
      <c r="AE34">
        <v>1784111400000</v>
      </c>
      <c r="AF34">
        <v>2.52</v>
      </c>
      <c r="AH34">
        <v>1784111400000</v>
      </c>
      <c r="AI34">
        <v>2.4500000000000002</v>
      </c>
      <c r="AJ34" s="6"/>
    </row>
    <row r="35" spans="1:36">
      <c r="A35">
        <v>1777977900000</v>
      </c>
      <c r="B35">
        <v>3.87</v>
      </c>
      <c r="D35">
        <v>1777977900000</v>
      </c>
      <c r="E35">
        <v>7.23</v>
      </c>
      <c r="F35" s="6"/>
      <c r="G35">
        <v>1778064300000</v>
      </c>
      <c r="H35">
        <v>3.45</v>
      </c>
      <c r="J35">
        <v>1778064300000</v>
      </c>
      <c r="K35">
        <v>4.82</v>
      </c>
      <c r="L35" s="6"/>
      <c r="M35">
        <v>1779101100000</v>
      </c>
      <c r="N35">
        <v>4.0199999999999996</v>
      </c>
      <c r="P35">
        <v>1779101100000</v>
      </c>
      <c r="Q35">
        <v>7.08</v>
      </c>
      <c r="R35" s="6"/>
      <c r="S35">
        <v>1782211500000</v>
      </c>
      <c r="T35">
        <v>4.93</v>
      </c>
      <c r="V35">
        <v>1782211500000</v>
      </c>
      <c r="W35">
        <v>8.9600000000000009</v>
      </c>
      <c r="X35" s="6"/>
      <c r="Y35">
        <v>1784025900000</v>
      </c>
      <c r="Z35">
        <v>6.14</v>
      </c>
      <c r="AB35">
        <v>1784025900000</v>
      </c>
      <c r="AC35">
        <v>6.4</v>
      </c>
      <c r="AD35" s="6"/>
      <c r="AE35">
        <v>1784112300000</v>
      </c>
      <c r="AF35">
        <v>5</v>
      </c>
      <c r="AH35">
        <v>1784112300000</v>
      </c>
      <c r="AI35">
        <v>4.97</v>
      </c>
      <c r="AJ35" s="6"/>
    </row>
    <row r="36" spans="1:36">
      <c r="A36">
        <v>1777978800000</v>
      </c>
      <c r="B36">
        <v>1.94</v>
      </c>
      <c r="D36">
        <v>1777978800000</v>
      </c>
      <c r="E36">
        <v>5.51</v>
      </c>
      <c r="F36" s="6"/>
      <c r="G36">
        <v>1778065200000</v>
      </c>
      <c r="H36">
        <v>4.2300000000000004</v>
      </c>
      <c r="J36">
        <v>1778065200000</v>
      </c>
      <c r="K36">
        <v>5.49</v>
      </c>
      <c r="L36" s="6"/>
      <c r="M36">
        <v>1779102000000</v>
      </c>
      <c r="N36">
        <v>4.6100000000000003</v>
      </c>
      <c r="P36">
        <v>1779102000000</v>
      </c>
      <c r="Q36">
        <v>7.7</v>
      </c>
      <c r="R36" s="6"/>
      <c r="S36">
        <v>1782212400000</v>
      </c>
      <c r="T36">
        <v>2.4900000000000002</v>
      </c>
      <c r="V36">
        <v>1782212400000</v>
      </c>
      <c r="W36">
        <v>6.36</v>
      </c>
      <c r="X36" s="6"/>
      <c r="Y36">
        <v>1784026800000</v>
      </c>
      <c r="Z36">
        <v>2.82</v>
      </c>
      <c r="AB36">
        <v>1784026800000</v>
      </c>
      <c r="AC36">
        <v>3.41</v>
      </c>
      <c r="AD36" s="6"/>
      <c r="AE36">
        <v>1784113200000</v>
      </c>
      <c r="AF36">
        <v>2.61</v>
      </c>
      <c r="AH36">
        <v>1784113200000</v>
      </c>
      <c r="AI36">
        <v>6.51</v>
      </c>
      <c r="AJ36" s="6"/>
    </row>
    <row r="37" spans="1:36">
      <c r="A37">
        <v>1777979700000</v>
      </c>
      <c r="B37">
        <v>7.19</v>
      </c>
      <c r="D37">
        <v>1777979700000</v>
      </c>
      <c r="E37">
        <v>8.56</v>
      </c>
      <c r="F37" s="6"/>
      <c r="G37">
        <v>1778066100000</v>
      </c>
      <c r="H37">
        <v>3.82</v>
      </c>
      <c r="J37">
        <v>1778066100000</v>
      </c>
      <c r="K37">
        <v>9.3699999999999992</v>
      </c>
      <c r="L37" s="6"/>
      <c r="M37">
        <v>1779102900000</v>
      </c>
      <c r="N37">
        <v>9.34</v>
      </c>
      <c r="P37">
        <v>1779102900000</v>
      </c>
      <c r="Q37">
        <v>6.93</v>
      </c>
      <c r="R37" s="6"/>
      <c r="S37">
        <v>1782213300000</v>
      </c>
      <c r="T37">
        <v>4.5199999999999996</v>
      </c>
      <c r="V37">
        <v>1782213300000</v>
      </c>
      <c r="W37">
        <v>8.73</v>
      </c>
      <c r="X37" s="6"/>
      <c r="Y37">
        <v>1784027700000</v>
      </c>
      <c r="Z37">
        <v>4.79</v>
      </c>
      <c r="AB37">
        <v>1784027700000</v>
      </c>
      <c r="AC37">
        <v>8.02</v>
      </c>
      <c r="AD37" s="6"/>
      <c r="AE37">
        <v>1784114100000</v>
      </c>
      <c r="AF37">
        <v>4.7300000000000004</v>
      </c>
      <c r="AH37">
        <v>1784114100000</v>
      </c>
      <c r="AI37">
        <v>8.0500000000000007</v>
      </c>
      <c r="AJ37" s="6"/>
    </row>
    <row r="38" spans="1:36">
      <c r="A38">
        <v>1777980600000</v>
      </c>
      <c r="B38">
        <v>6.92</v>
      </c>
      <c r="D38">
        <v>1777980600000</v>
      </c>
      <c r="E38">
        <v>10.56</v>
      </c>
      <c r="F38" s="6"/>
      <c r="G38">
        <v>1778067000000</v>
      </c>
      <c r="H38">
        <v>7.25</v>
      </c>
      <c r="J38">
        <v>1778067000000</v>
      </c>
      <c r="K38">
        <v>9.26</v>
      </c>
      <c r="L38" s="6"/>
      <c r="M38">
        <v>1779103800000</v>
      </c>
      <c r="N38">
        <v>9.39</v>
      </c>
      <c r="P38">
        <v>1779103800000</v>
      </c>
      <c r="Q38">
        <v>8.74</v>
      </c>
      <c r="R38" s="6"/>
      <c r="S38">
        <v>1782214200000</v>
      </c>
      <c r="T38">
        <v>6.87</v>
      </c>
      <c r="V38">
        <v>1782214200000</v>
      </c>
      <c r="W38">
        <v>10.130000000000001</v>
      </c>
      <c r="X38" s="6"/>
      <c r="Y38">
        <v>1784028600000</v>
      </c>
      <c r="Z38">
        <v>6.39</v>
      </c>
      <c r="AB38">
        <v>1784028600000</v>
      </c>
      <c r="AC38">
        <v>12.62</v>
      </c>
      <c r="AD38" s="6"/>
      <c r="AE38">
        <v>1784115000000</v>
      </c>
      <c r="AF38">
        <v>7.45</v>
      </c>
      <c r="AH38">
        <v>1784115000000</v>
      </c>
      <c r="AI38">
        <v>14.13</v>
      </c>
      <c r="AJ38" s="6"/>
    </row>
    <row r="39" spans="1:36">
      <c r="A39">
        <v>1777981500000</v>
      </c>
      <c r="B39">
        <v>14.16</v>
      </c>
      <c r="D39">
        <v>1777981500000</v>
      </c>
      <c r="E39">
        <v>16.43</v>
      </c>
      <c r="F39" s="6"/>
      <c r="G39">
        <v>1778067900000</v>
      </c>
      <c r="H39">
        <v>9.77</v>
      </c>
      <c r="J39">
        <v>1778067900000</v>
      </c>
      <c r="K39">
        <v>14.88</v>
      </c>
      <c r="L39" s="6"/>
      <c r="M39">
        <v>1779104700000</v>
      </c>
      <c r="N39">
        <v>0</v>
      </c>
      <c r="P39">
        <v>1779104700000</v>
      </c>
      <c r="Q39">
        <v>0</v>
      </c>
      <c r="R39" s="6"/>
      <c r="S39">
        <v>1782215100000</v>
      </c>
      <c r="T39">
        <v>8.86</v>
      </c>
      <c r="V39">
        <v>1782215100000</v>
      </c>
      <c r="W39">
        <v>17.13</v>
      </c>
      <c r="X39" s="6"/>
      <c r="Y39">
        <v>1784029500000</v>
      </c>
      <c r="Z39">
        <v>9.41</v>
      </c>
      <c r="AB39">
        <v>1784029500000</v>
      </c>
      <c r="AC39">
        <v>11.16</v>
      </c>
      <c r="AD39" s="6"/>
      <c r="AE39">
        <v>1784115900000</v>
      </c>
      <c r="AF39">
        <v>8.9</v>
      </c>
      <c r="AH39">
        <v>1784115900000</v>
      </c>
      <c r="AI39">
        <v>11.35</v>
      </c>
      <c r="AJ39" s="6"/>
    </row>
    <row r="40" spans="1:36">
      <c r="A40">
        <v>1777982400000</v>
      </c>
      <c r="B40">
        <v>9.4600000000000009</v>
      </c>
      <c r="D40">
        <v>1777982400000</v>
      </c>
      <c r="E40">
        <v>15.84</v>
      </c>
      <c r="F40" s="6"/>
      <c r="G40">
        <v>1778068800000</v>
      </c>
      <c r="H40">
        <v>12.67</v>
      </c>
      <c r="J40">
        <v>1778068800000</v>
      </c>
      <c r="K40">
        <v>12.02</v>
      </c>
      <c r="L40" s="6"/>
      <c r="M40">
        <v>1779105600000</v>
      </c>
      <c r="N40">
        <v>28.47</v>
      </c>
      <c r="P40">
        <v>1779105600000</v>
      </c>
      <c r="Q40">
        <v>21.21</v>
      </c>
      <c r="R40" s="6"/>
      <c r="S40">
        <v>1782216000000</v>
      </c>
      <c r="T40">
        <v>8.01</v>
      </c>
      <c r="V40">
        <v>1782216000000</v>
      </c>
      <c r="W40">
        <v>16.63</v>
      </c>
      <c r="X40" s="6"/>
      <c r="Y40">
        <v>1784030400000</v>
      </c>
      <c r="Z40">
        <v>18.02</v>
      </c>
      <c r="AB40">
        <v>1784030400000</v>
      </c>
      <c r="AC40">
        <v>14.92</v>
      </c>
      <c r="AD40" s="6"/>
      <c r="AE40">
        <v>1784116800000</v>
      </c>
      <c r="AF40">
        <v>9.9499999999999993</v>
      </c>
      <c r="AH40">
        <v>1784116800000</v>
      </c>
      <c r="AI40">
        <v>12.84</v>
      </c>
      <c r="AJ40" s="6"/>
    </row>
    <row r="41" spans="1:36">
      <c r="A41">
        <v>1777983300000</v>
      </c>
      <c r="B41">
        <v>9.5</v>
      </c>
      <c r="D41">
        <v>1777983300000</v>
      </c>
      <c r="E41">
        <v>16.93</v>
      </c>
      <c r="F41" s="6"/>
      <c r="G41">
        <v>1778069700000</v>
      </c>
      <c r="H41">
        <v>11.18</v>
      </c>
      <c r="J41">
        <v>1778069700000</v>
      </c>
      <c r="K41">
        <v>25.24</v>
      </c>
      <c r="L41" s="6"/>
      <c r="M41">
        <v>1779106500000</v>
      </c>
      <c r="N41">
        <v>10.84</v>
      </c>
      <c r="P41">
        <v>1779106500000</v>
      </c>
      <c r="Q41">
        <v>14.6</v>
      </c>
      <c r="R41" s="6"/>
      <c r="S41">
        <v>1782216900000</v>
      </c>
      <c r="T41">
        <v>14.98</v>
      </c>
      <c r="V41">
        <v>1782216900000</v>
      </c>
      <c r="W41">
        <v>18.03</v>
      </c>
      <c r="X41" s="6"/>
      <c r="Y41">
        <v>1784031300000</v>
      </c>
      <c r="Z41">
        <v>11.67</v>
      </c>
      <c r="AB41">
        <v>1784031300000</v>
      </c>
      <c r="AC41">
        <v>16.07</v>
      </c>
      <c r="AD41" s="6"/>
      <c r="AE41">
        <v>1784117700000</v>
      </c>
      <c r="AF41">
        <v>10.55</v>
      </c>
      <c r="AH41">
        <v>1784117700000</v>
      </c>
      <c r="AI41">
        <v>19.329999999999998</v>
      </c>
      <c r="AJ41" s="6"/>
    </row>
    <row r="42" spans="1:36">
      <c r="A42">
        <v>1777984200000</v>
      </c>
      <c r="B42">
        <v>14.76</v>
      </c>
      <c r="D42">
        <v>1777984200000</v>
      </c>
      <c r="E42">
        <v>16.97</v>
      </c>
      <c r="F42" s="6"/>
      <c r="G42">
        <v>1778070600000</v>
      </c>
      <c r="H42">
        <v>14.06</v>
      </c>
      <c r="J42">
        <v>1778070600000</v>
      </c>
      <c r="K42">
        <v>25.72</v>
      </c>
      <c r="L42" s="6"/>
      <c r="M42">
        <v>1779107400000</v>
      </c>
      <c r="N42">
        <v>8.83</v>
      </c>
      <c r="P42">
        <v>1779107400000</v>
      </c>
      <c r="Q42">
        <v>16.420000000000002</v>
      </c>
      <c r="R42" s="6"/>
      <c r="S42">
        <v>1782217800000</v>
      </c>
      <c r="T42">
        <v>12.26</v>
      </c>
      <c r="V42">
        <v>1782217800000</v>
      </c>
      <c r="W42">
        <v>15.27</v>
      </c>
      <c r="X42" s="6"/>
      <c r="Y42">
        <v>1784032200000</v>
      </c>
      <c r="Z42">
        <v>15.42</v>
      </c>
      <c r="AB42">
        <v>1784032200000</v>
      </c>
      <c r="AC42">
        <v>16.53</v>
      </c>
      <c r="AD42" s="6"/>
      <c r="AE42">
        <v>1784118600000</v>
      </c>
      <c r="AF42">
        <v>10.82</v>
      </c>
      <c r="AH42">
        <v>1784118600000</v>
      </c>
      <c r="AI42">
        <v>12.62</v>
      </c>
      <c r="AJ42" s="6"/>
    </row>
    <row r="43" spans="1:36">
      <c r="A43">
        <v>1777985100000</v>
      </c>
      <c r="B43">
        <v>17.84</v>
      </c>
      <c r="D43">
        <v>1777985100000</v>
      </c>
      <c r="E43">
        <v>22.35</v>
      </c>
      <c r="F43" s="6"/>
      <c r="G43">
        <v>1778071500000</v>
      </c>
      <c r="H43">
        <v>17.11</v>
      </c>
      <c r="J43">
        <v>1778071500000</v>
      </c>
      <c r="K43">
        <v>19.82</v>
      </c>
      <c r="L43" s="6"/>
      <c r="M43">
        <v>1779108300000</v>
      </c>
      <c r="N43">
        <v>10.47</v>
      </c>
      <c r="P43">
        <v>1779108300000</v>
      </c>
      <c r="Q43">
        <v>19</v>
      </c>
      <c r="R43" s="6"/>
      <c r="S43">
        <v>1782218700000</v>
      </c>
      <c r="T43">
        <v>12.91</v>
      </c>
      <c r="V43">
        <v>1782218700000</v>
      </c>
      <c r="W43">
        <v>20.190000000000001</v>
      </c>
      <c r="X43" s="6"/>
      <c r="Y43">
        <v>1784033100000</v>
      </c>
      <c r="Z43">
        <v>11.03</v>
      </c>
      <c r="AB43">
        <v>1784033100000</v>
      </c>
      <c r="AC43">
        <v>21.88</v>
      </c>
      <c r="AD43" s="6"/>
      <c r="AE43">
        <v>1784119500000</v>
      </c>
      <c r="AF43">
        <v>15.79</v>
      </c>
      <c r="AH43">
        <v>1784119500000</v>
      </c>
      <c r="AI43">
        <v>18.3</v>
      </c>
      <c r="AJ43" s="6"/>
    </row>
    <row r="44" spans="1:36">
      <c r="A44">
        <v>1777986000000</v>
      </c>
      <c r="B44">
        <v>16.02</v>
      </c>
      <c r="D44">
        <v>1777986000000</v>
      </c>
      <c r="E44">
        <v>18.829999999999998</v>
      </c>
      <c r="F44" s="6"/>
      <c r="G44">
        <v>1778072400000</v>
      </c>
      <c r="H44">
        <v>16.66</v>
      </c>
      <c r="J44">
        <v>1778072400000</v>
      </c>
      <c r="K44">
        <v>21.15</v>
      </c>
      <c r="L44" s="6"/>
      <c r="M44">
        <v>1779109200000</v>
      </c>
      <c r="N44">
        <v>12.19</v>
      </c>
      <c r="P44">
        <v>1779109200000</v>
      </c>
      <c r="Q44">
        <v>31.63</v>
      </c>
      <c r="R44" s="6"/>
      <c r="S44">
        <v>1782219600000</v>
      </c>
      <c r="T44">
        <v>11.95</v>
      </c>
      <c r="V44">
        <v>1782219600000</v>
      </c>
      <c r="W44">
        <v>16.649999999999999</v>
      </c>
      <c r="X44" s="6"/>
      <c r="Y44">
        <v>1784034000000</v>
      </c>
      <c r="Z44">
        <v>11.53</v>
      </c>
      <c r="AB44">
        <v>1784034000000</v>
      </c>
      <c r="AC44">
        <v>15.85</v>
      </c>
      <c r="AD44" s="6"/>
      <c r="AE44">
        <v>1784120400000</v>
      </c>
      <c r="AF44">
        <v>18.04</v>
      </c>
      <c r="AH44">
        <v>1784120400000</v>
      </c>
      <c r="AI44">
        <v>19.72</v>
      </c>
      <c r="AJ44" s="6"/>
    </row>
    <row r="45" spans="1:36">
      <c r="A45">
        <v>1777986900000</v>
      </c>
      <c r="B45">
        <v>21.12</v>
      </c>
      <c r="D45">
        <v>1777986900000</v>
      </c>
      <c r="E45">
        <v>39.92</v>
      </c>
      <c r="F45" s="6"/>
      <c r="G45">
        <v>1778073300000</v>
      </c>
      <c r="H45">
        <v>20.56</v>
      </c>
      <c r="J45">
        <v>1778073300000</v>
      </c>
      <c r="K45">
        <v>23.61</v>
      </c>
      <c r="L45" s="6"/>
      <c r="M45">
        <v>1779110100000</v>
      </c>
      <c r="N45">
        <v>22.83</v>
      </c>
      <c r="P45">
        <v>1779110100000</v>
      </c>
      <c r="Q45">
        <v>22.2</v>
      </c>
      <c r="R45" s="6"/>
      <c r="S45">
        <v>1782220500000</v>
      </c>
      <c r="T45">
        <v>15.93</v>
      </c>
      <c r="V45">
        <v>1782220500000</v>
      </c>
      <c r="W45">
        <v>22.34</v>
      </c>
      <c r="X45" s="6"/>
      <c r="Y45">
        <v>1784034900000</v>
      </c>
      <c r="Z45">
        <v>16.829999999999998</v>
      </c>
      <c r="AB45">
        <v>1784034900000</v>
      </c>
      <c r="AC45">
        <v>27.86</v>
      </c>
      <c r="AD45" s="6"/>
      <c r="AE45">
        <v>1784121300000</v>
      </c>
      <c r="AF45">
        <v>13.5</v>
      </c>
      <c r="AH45">
        <v>1784121300000</v>
      </c>
      <c r="AI45">
        <v>23.88</v>
      </c>
      <c r="AJ45" s="6"/>
    </row>
    <row r="46" spans="1:36">
      <c r="A46">
        <v>1777987800000</v>
      </c>
      <c r="B46">
        <v>32.57</v>
      </c>
      <c r="D46">
        <v>1777987800000</v>
      </c>
      <c r="E46">
        <v>29.91</v>
      </c>
      <c r="F46" s="6"/>
      <c r="G46">
        <v>1778074200000</v>
      </c>
      <c r="H46">
        <v>25.2</v>
      </c>
      <c r="J46">
        <v>1778074200000</v>
      </c>
      <c r="K46">
        <v>28.56</v>
      </c>
      <c r="L46" s="6"/>
      <c r="M46">
        <v>1779111000000</v>
      </c>
      <c r="N46">
        <v>27.78</v>
      </c>
      <c r="P46">
        <v>1779111000000</v>
      </c>
      <c r="Q46">
        <v>38.1</v>
      </c>
      <c r="R46" s="6"/>
      <c r="S46">
        <v>1782221400000</v>
      </c>
      <c r="T46">
        <v>17.649999999999999</v>
      </c>
      <c r="V46">
        <v>1782221400000</v>
      </c>
      <c r="W46">
        <v>38.76</v>
      </c>
      <c r="X46" s="6"/>
      <c r="Y46">
        <v>1784035800000</v>
      </c>
      <c r="Z46">
        <v>14.5</v>
      </c>
      <c r="AB46">
        <v>1784035800000</v>
      </c>
      <c r="AC46">
        <v>23.24</v>
      </c>
      <c r="AD46" s="6"/>
      <c r="AE46">
        <v>1784122200000</v>
      </c>
      <c r="AF46">
        <v>22.98</v>
      </c>
      <c r="AH46">
        <v>1784122200000</v>
      </c>
      <c r="AI46">
        <v>28.07</v>
      </c>
      <c r="AJ46" s="6"/>
    </row>
    <row r="47" spans="1:36">
      <c r="A47">
        <v>1777988700000</v>
      </c>
      <c r="B47">
        <v>32.39</v>
      </c>
      <c r="D47">
        <v>1777988700000</v>
      </c>
      <c r="E47">
        <v>24.72</v>
      </c>
      <c r="F47" s="6"/>
      <c r="G47">
        <v>1778075100000</v>
      </c>
      <c r="H47">
        <v>20.03</v>
      </c>
      <c r="J47">
        <v>1778075100000</v>
      </c>
      <c r="K47">
        <v>27.34</v>
      </c>
      <c r="L47" s="6"/>
      <c r="M47">
        <v>1779111900000</v>
      </c>
      <c r="N47">
        <v>23.25</v>
      </c>
      <c r="P47">
        <v>1779111900000</v>
      </c>
      <c r="Q47">
        <v>30.26</v>
      </c>
      <c r="R47" s="6"/>
      <c r="S47">
        <v>1782222300000</v>
      </c>
      <c r="T47">
        <v>18.77</v>
      </c>
      <c r="V47">
        <v>1782222300000</v>
      </c>
      <c r="W47">
        <v>30.92</v>
      </c>
      <c r="X47" s="6"/>
      <c r="Y47">
        <v>1784036700000</v>
      </c>
      <c r="Z47">
        <v>15.34</v>
      </c>
      <c r="AB47">
        <v>1784036700000</v>
      </c>
      <c r="AC47">
        <v>28.31</v>
      </c>
      <c r="AD47" s="6"/>
      <c r="AE47">
        <v>1784123100000</v>
      </c>
      <c r="AF47">
        <v>20.52</v>
      </c>
      <c r="AH47">
        <v>1784123100000</v>
      </c>
      <c r="AI47">
        <v>32.28</v>
      </c>
      <c r="AJ47" s="6"/>
    </row>
    <row r="48" spans="1:36">
      <c r="A48">
        <v>1777989600000</v>
      </c>
      <c r="B48">
        <v>18.22</v>
      </c>
      <c r="D48">
        <v>1777989600000</v>
      </c>
      <c r="E48">
        <v>28.83</v>
      </c>
      <c r="F48" s="6"/>
      <c r="G48">
        <v>1778076000000</v>
      </c>
      <c r="H48">
        <v>20.78</v>
      </c>
      <c r="J48">
        <v>1778076000000</v>
      </c>
      <c r="K48">
        <v>30.32</v>
      </c>
      <c r="L48" s="6"/>
      <c r="M48">
        <v>1779112800000</v>
      </c>
      <c r="N48">
        <v>18.93</v>
      </c>
      <c r="P48">
        <v>1779112800000</v>
      </c>
      <c r="Q48">
        <v>26.67</v>
      </c>
      <c r="R48" s="6"/>
      <c r="S48">
        <v>1782223200000</v>
      </c>
      <c r="T48">
        <v>20.74</v>
      </c>
      <c r="V48">
        <v>1782223200000</v>
      </c>
      <c r="W48">
        <v>25.51</v>
      </c>
      <c r="X48" s="6"/>
      <c r="Y48">
        <v>1784037600000</v>
      </c>
      <c r="Z48">
        <v>16.2</v>
      </c>
      <c r="AB48">
        <v>1784037600000</v>
      </c>
      <c r="AC48">
        <v>32.68</v>
      </c>
      <c r="AD48" s="6"/>
      <c r="AE48">
        <v>1784124000000</v>
      </c>
      <c r="AF48">
        <v>21.92</v>
      </c>
      <c r="AH48">
        <v>1784124000000</v>
      </c>
      <c r="AI48">
        <v>29.72</v>
      </c>
      <c r="AJ48" s="6"/>
    </row>
    <row r="49" spans="1:36">
      <c r="A49">
        <v>1777990500000</v>
      </c>
      <c r="B49">
        <v>18.690000000000001</v>
      </c>
      <c r="D49">
        <v>1777990500000</v>
      </c>
      <c r="E49">
        <v>30.68</v>
      </c>
      <c r="F49" s="6"/>
      <c r="G49">
        <v>1778076900000</v>
      </c>
      <c r="H49">
        <v>20.07</v>
      </c>
      <c r="J49">
        <v>1778076900000</v>
      </c>
      <c r="K49">
        <v>29.3</v>
      </c>
      <c r="L49" s="6"/>
      <c r="M49">
        <v>1779113700000</v>
      </c>
      <c r="N49">
        <v>16.16</v>
      </c>
      <c r="P49">
        <v>1779113700000</v>
      </c>
      <c r="Q49">
        <v>22.8</v>
      </c>
      <c r="R49" s="6"/>
      <c r="S49">
        <v>1782224100000</v>
      </c>
      <c r="T49">
        <v>16.11</v>
      </c>
      <c r="V49">
        <v>1782224100000</v>
      </c>
      <c r="W49">
        <v>27.58</v>
      </c>
      <c r="X49" s="6"/>
      <c r="Y49">
        <v>1784038500000</v>
      </c>
      <c r="Z49">
        <v>20.41</v>
      </c>
      <c r="AB49">
        <v>1784038500000</v>
      </c>
      <c r="AC49">
        <v>32.29</v>
      </c>
      <c r="AD49" s="6"/>
      <c r="AE49">
        <v>1784124900000</v>
      </c>
      <c r="AF49">
        <v>24.67</v>
      </c>
      <c r="AH49">
        <v>1784124900000</v>
      </c>
      <c r="AI49">
        <v>36.409999999999997</v>
      </c>
      <c r="AJ49" s="6"/>
    </row>
    <row r="50" spans="1:36">
      <c r="A50">
        <v>1777991400000</v>
      </c>
      <c r="B50">
        <v>24.55</v>
      </c>
      <c r="D50">
        <v>1777991400000</v>
      </c>
      <c r="E50">
        <v>33.47</v>
      </c>
      <c r="F50" s="6"/>
      <c r="G50">
        <v>1778077800000</v>
      </c>
      <c r="H50">
        <v>19.28</v>
      </c>
      <c r="J50">
        <v>1778077800000</v>
      </c>
      <c r="K50">
        <v>31.38</v>
      </c>
      <c r="L50" s="6"/>
      <c r="M50">
        <v>1779114600000</v>
      </c>
      <c r="N50">
        <v>21.31</v>
      </c>
      <c r="P50">
        <v>1779114600000</v>
      </c>
      <c r="Q50">
        <v>38.29</v>
      </c>
      <c r="R50" s="6"/>
      <c r="S50">
        <v>1782225000000</v>
      </c>
      <c r="T50">
        <v>20.18</v>
      </c>
      <c r="V50">
        <v>1782225000000</v>
      </c>
      <c r="W50">
        <v>30.04</v>
      </c>
      <c r="X50" s="6"/>
      <c r="Y50">
        <v>1784039400000</v>
      </c>
      <c r="Z50">
        <v>20.43</v>
      </c>
      <c r="AB50">
        <v>1784039400000</v>
      </c>
      <c r="AC50">
        <v>35.65</v>
      </c>
      <c r="AD50" s="6"/>
      <c r="AE50">
        <v>1784125800000</v>
      </c>
      <c r="AF50">
        <v>20.420000000000002</v>
      </c>
      <c r="AH50">
        <v>1784125800000</v>
      </c>
      <c r="AI50">
        <v>35.68</v>
      </c>
      <c r="AJ50" s="6"/>
    </row>
    <row r="51" spans="1:36">
      <c r="A51">
        <v>1777992300000</v>
      </c>
      <c r="B51">
        <v>25.05</v>
      </c>
      <c r="D51">
        <v>1777992300000</v>
      </c>
      <c r="E51">
        <v>31.56</v>
      </c>
      <c r="F51" s="6"/>
      <c r="G51">
        <v>1778078700000</v>
      </c>
      <c r="H51">
        <v>21.06</v>
      </c>
      <c r="J51">
        <v>1778078700000</v>
      </c>
      <c r="K51">
        <v>27.19</v>
      </c>
      <c r="L51" s="6"/>
      <c r="M51">
        <v>1779115500000</v>
      </c>
      <c r="N51">
        <v>22.46</v>
      </c>
      <c r="P51">
        <v>1779115500000</v>
      </c>
      <c r="Q51">
        <v>31.45</v>
      </c>
      <c r="R51" s="6"/>
      <c r="S51">
        <v>1782225900000</v>
      </c>
      <c r="T51">
        <v>16.47</v>
      </c>
      <c r="V51">
        <v>1782225900000</v>
      </c>
      <c r="W51">
        <v>31.14</v>
      </c>
      <c r="X51" s="6"/>
      <c r="Y51">
        <v>1784040300000</v>
      </c>
      <c r="Z51">
        <v>21.94</v>
      </c>
      <c r="AB51">
        <v>1784040300000</v>
      </c>
      <c r="AC51">
        <v>32.42</v>
      </c>
      <c r="AD51" s="6"/>
      <c r="AE51">
        <v>1784126700000</v>
      </c>
      <c r="AF51">
        <v>22.78</v>
      </c>
      <c r="AH51">
        <v>1784126700000</v>
      </c>
      <c r="AI51">
        <v>34.24</v>
      </c>
      <c r="AJ51" s="6"/>
    </row>
    <row r="52" spans="1:36">
      <c r="A52">
        <v>1777993200000</v>
      </c>
      <c r="B52">
        <v>21.75</v>
      </c>
      <c r="D52">
        <v>1777993200000</v>
      </c>
      <c r="E52">
        <v>27.34</v>
      </c>
      <c r="F52" s="6"/>
      <c r="G52">
        <v>1778079600000</v>
      </c>
      <c r="H52">
        <v>19.809999999999999</v>
      </c>
      <c r="J52">
        <v>1778079600000</v>
      </c>
      <c r="K52">
        <v>27.05</v>
      </c>
      <c r="L52" s="6"/>
      <c r="M52">
        <v>1779116400000</v>
      </c>
      <c r="N52">
        <v>17.18</v>
      </c>
      <c r="P52">
        <v>1779116400000</v>
      </c>
      <c r="Q52">
        <v>26.35</v>
      </c>
      <c r="R52" s="6"/>
      <c r="S52">
        <v>1782226800000</v>
      </c>
      <c r="T52">
        <v>15.11</v>
      </c>
      <c r="V52">
        <v>1782226800000</v>
      </c>
      <c r="W52">
        <v>28.7</v>
      </c>
      <c r="X52" s="6"/>
      <c r="Y52">
        <v>1784041200000</v>
      </c>
      <c r="Z52">
        <v>17.13</v>
      </c>
      <c r="AB52">
        <v>1784041200000</v>
      </c>
      <c r="AC52">
        <v>33.26</v>
      </c>
      <c r="AD52" s="6"/>
      <c r="AE52">
        <v>1784127600000</v>
      </c>
      <c r="AF52">
        <v>18.309999999999999</v>
      </c>
      <c r="AH52">
        <v>1784127600000</v>
      </c>
      <c r="AI52">
        <v>36.4</v>
      </c>
      <c r="AJ52" s="6"/>
    </row>
    <row r="53" spans="1:36">
      <c r="A53">
        <v>1777994100000</v>
      </c>
      <c r="B53">
        <v>16.93</v>
      </c>
      <c r="D53">
        <v>1777994100000</v>
      </c>
      <c r="E53">
        <v>30.31</v>
      </c>
      <c r="F53" s="6"/>
      <c r="G53">
        <v>1778080500000</v>
      </c>
      <c r="H53">
        <v>19.059999999999999</v>
      </c>
      <c r="J53">
        <v>1778080500000</v>
      </c>
      <c r="K53">
        <v>28.27</v>
      </c>
      <c r="L53" s="6"/>
      <c r="M53">
        <v>1779117300000</v>
      </c>
      <c r="N53">
        <v>20.79</v>
      </c>
      <c r="P53">
        <v>1779117300000</v>
      </c>
      <c r="Q53">
        <v>26.08</v>
      </c>
      <c r="R53" s="6"/>
      <c r="S53">
        <v>1782227700000</v>
      </c>
      <c r="T53">
        <v>18.170000000000002</v>
      </c>
      <c r="V53">
        <v>1782227700000</v>
      </c>
      <c r="W53">
        <v>25.64</v>
      </c>
      <c r="X53" s="6"/>
      <c r="Y53">
        <v>1784042100000</v>
      </c>
      <c r="Z53">
        <v>14.78</v>
      </c>
      <c r="AB53">
        <v>1784042100000</v>
      </c>
      <c r="AC53">
        <v>34.33</v>
      </c>
      <c r="AD53" s="6"/>
      <c r="AE53">
        <v>1784128500000</v>
      </c>
      <c r="AF53">
        <v>19.309999999999999</v>
      </c>
      <c r="AH53">
        <v>1784128500000</v>
      </c>
      <c r="AI53">
        <v>32.25</v>
      </c>
      <c r="AJ53" s="6"/>
    </row>
    <row r="54" spans="1:36">
      <c r="A54">
        <v>1777995000000</v>
      </c>
      <c r="B54">
        <v>17.010000000000002</v>
      </c>
      <c r="D54">
        <v>1777995000000</v>
      </c>
      <c r="E54">
        <v>31.37</v>
      </c>
      <c r="F54" s="6"/>
      <c r="G54">
        <v>1778081400000</v>
      </c>
      <c r="H54">
        <v>17.79</v>
      </c>
      <c r="J54">
        <v>1778081400000</v>
      </c>
      <c r="K54">
        <v>24.02</v>
      </c>
      <c r="L54" s="6"/>
      <c r="M54">
        <v>1779118200000</v>
      </c>
      <c r="N54">
        <v>19.09</v>
      </c>
      <c r="P54">
        <v>1779118200000</v>
      </c>
      <c r="Q54">
        <v>29.24</v>
      </c>
      <c r="R54" s="6"/>
      <c r="S54">
        <v>1782228600000</v>
      </c>
      <c r="T54">
        <v>22.94</v>
      </c>
      <c r="V54">
        <v>1782228600000</v>
      </c>
      <c r="W54">
        <v>30.56</v>
      </c>
      <c r="X54" s="6"/>
      <c r="Y54">
        <v>1784043000000</v>
      </c>
      <c r="Z54">
        <v>13.14</v>
      </c>
      <c r="AB54">
        <v>1784043000000</v>
      </c>
      <c r="AC54">
        <v>37.89</v>
      </c>
      <c r="AD54" s="6"/>
      <c r="AE54">
        <v>1784129400000</v>
      </c>
      <c r="AF54">
        <v>17.920000000000002</v>
      </c>
      <c r="AH54">
        <v>1784129400000</v>
      </c>
      <c r="AI54">
        <v>30.29</v>
      </c>
      <c r="AJ54" s="6"/>
    </row>
    <row r="55" spans="1:36">
      <c r="A55">
        <v>1777995900000</v>
      </c>
      <c r="B55">
        <v>17.559999999999999</v>
      </c>
      <c r="D55">
        <v>1777995900000</v>
      </c>
      <c r="E55">
        <v>30.93</v>
      </c>
      <c r="F55" s="6"/>
      <c r="G55">
        <v>1778082300000</v>
      </c>
      <c r="H55">
        <v>23.48</v>
      </c>
      <c r="J55">
        <v>1778082300000</v>
      </c>
      <c r="K55">
        <v>35.450000000000003</v>
      </c>
      <c r="L55" s="6"/>
      <c r="M55">
        <v>1779119100000</v>
      </c>
      <c r="N55">
        <v>14.09</v>
      </c>
      <c r="P55">
        <v>1779119100000</v>
      </c>
      <c r="Q55">
        <v>26.58</v>
      </c>
      <c r="R55" s="6"/>
      <c r="S55">
        <v>1782229500000</v>
      </c>
      <c r="T55">
        <v>19.670000000000002</v>
      </c>
      <c r="V55">
        <v>1782229500000</v>
      </c>
      <c r="W55">
        <v>35.54</v>
      </c>
      <c r="X55" s="6"/>
      <c r="Y55">
        <v>1784043900000</v>
      </c>
      <c r="Z55">
        <v>14.61</v>
      </c>
      <c r="AB55">
        <v>1784043900000</v>
      </c>
      <c r="AC55">
        <v>32.51</v>
      </c>
      <c r="AD55" s="6"/>
      <c r="AE55">
        <v>1784130300000</v>
      </c>
      <c r="AF55">
        <v>16.77</v>
      </c>
      <c r="AH55">
        <v>1784130300000</v>
      </c>
      <c r="AI55">
        <v>35.58</v>
      </c>
      <c r="AJ55" s="6"/>
    </row>
    <row r="56" spans="1:36">
      <c r="A56">
        <v>1777996800000</v>
      </c>
      <c r="B56">
        <v>15.28</v>
      </c>
      <c r="D56">
        <v>1777996800000</v>
      </c>
      <c r="E56">
        <v>31.65</v>
      </c>
      <c r="F56" s="6"/>
      <c r="G56">
        <v>1778083200000</v>
      </c>
      <c r="H56">
        <v>16.57</v>
      </c>
      <c r="J56">
        <v>1778083200000</v>
      </c>
      <c r="K56">
        <v>28.31</v>
      </c>
      <c r="L56" s="6"/>
      <c r="M56">
        <v>1779120000000</v>
      </c>
      <c r="N56">
        <v>22.77</v>
      </c>
      <c r="P56">
        <v>1779120000000</v>
      </c>
      <c r="Q56">
        <v>34.979999999999997</v>
      </c>
      <c r="R56" s="6"/>
      <c r="S56">
        <v>1782230400000</v>
      </c>
      <c r="T56">
        <v>17.7</v>
      </c>
      <c r="V56">
        <v>1782230400000</v>
      </c>
      <c r="W56">
        <v>34</v>
      </c>
      <c r="X56" s="6"/>
      <c r="Y56">
        <v>1784044800000</v>
      </c>
      <c r="Z56">
        <v>16.63</v>
      </c>
      <c r="AB56">
        <v>1784044800000</v>
      </c>
      <c r="AC56">
        <v>42</v>
      </c>
      <c r="AD56" s="6"/>
      <c r="AE56">
        <v>1784131200000</v>
      </c>
      <c r="AF56">
        <v>15.84</v>
      </c>
      <c r="AH56">
        <v>1784131200000</v>
      </c>
      <c r="AI56">
        <v>36.42</v>
      </c>
      <c r="AJ56" s="6"/>
    </row>
    <row r="57" spans="1:36">
      <c r="A57">
        <v>1777997700000</v>
      </c>
      <c r="B57">
        <v>16.079999999999998</v>
      </c>
      <c r="D57">
        <v>1777997700000</v>
      </c>
      <c r="E57">
        <v>29.86</v>
      </c>
      <c r="F57" s="6"/>
      <c r="G57">
        <v>1778084100000</v>
      </c>
      <c r="H57">
        <v>20.88</v>
      </c>
      <c r="J57">
        <v>1778084100000</v>
      </c>
      <c r="K57">
        <v>31.92</v>
      </c>
      <c r="L57" s="6"/>
      <c r="M57">
        <v>1779120900000</v>
      </c>
      <c r="N57">
        <v>18.739999999999998</v>
      </c>
      <c r="P57">
        <v>1779120900000</v>
      </c>
      <c r="Q57">
        <v>31.07</v>
      </c>
      <c r="R57" s="6"/>
      <c r="S57">
        <v>1782231300000</v>
      </c>
      <c r="T57">
        <v>15.83</v>
      </c>
      <c r="V57">
        <v>1782231300000</v>
      </c>
      <c r="W57">
        <v>29.47</v>
      </c>
      <c r="X57" s="6"/>
      <c r="Y57">
        <v>1784045700000</v>
      </c>
      <c r="Z57">
        <v>15.98</v>
      </c>
      <c r="AB57">
        <v>1784045700000</v>
      </c>
      <c r="AC57">
        <v>36.22</v>
      </c>
      <c r="AD57" s="6"/>
      <c r="AE57">
        <v>1784132100000</v>
      </c>
      <c r="AF57">
        <v>17.55</v>
      </c>
      <c r="AH57">
        <v>1784132100000</v>
      </c>
      <c r="AI57">
        <v>35.43</v>
      </c>
      <c r="AJ57" s="6"/>
    </row>
    <row r="58" spans="1:36">
      <c r="A58">
        <v>1777998600000</v>
      </c>
      <c r="B58">
        <v>12.99</v>
      </c>
      <c r="D58">
        <v>1777998600000</v>
      </c>
      <c r="E58">
        <v>32.090000000000003</v>
      </c>
      <c r="F58" s="6"/>
      <c r="G58">
        <v>1778085000000</v>
      </c>
      <c r="H58">
        <v>20.13</v>
      </c>
      <c r="J58">
        <v>1778085000000</v>
      </c>
      <c r="K58">
        <v>30.62</v>
      </c>
      <c r="L58" s="6"/>
      <c r="M58">
        <v>1779121800000</v>
      </c>
      <c r="N58">
        <v>18</v>
      </c>
      <c r="P58">
        <v>1779121800000</v>
      </c>
      <c r="Q58">
        <v>30.32</v>
      </c>
      <c r="R58" s="6"/>
      <c r="S58">
        <v>1782232200000</v>
      </c>
      <c r="T58">
        <v>16.399999999999999</v>
      </c>
      <c r="V58">
        <v>1782232200000</v>
      </c>
      <c r="W58">
        <v>31.12</v>
      </c>
      <c r="X58" s="6"/>
      <c r="Y58">
        <v>1784046600000</v>
      </c>
      <c r="Z58">
        <v>17.07</v>
      </c>
      <c r="AB58">
        <v>1784046600000</v>
      </c>
      <c r="AC58">
        <v>40.520000000000003</v>
      </c>
      <c r="AD58" s="6"/>
      <c r="AE58">
        <v>1784133000000</v>
      </c>
      <c r="AF58">
        <v>19.64</v>
      </c>
      <c r="AH58">
        <v>1784133000000</v>
      </c>
      <c r="AI58">
        <v>33.6</v>
      </c>
      <c r="AJ58" s="6"/>
    </row>
    <row r="59" spans="1:36">
      <c r="A59">
        <v>1777999500000</v>
      </c>
      <c r="B59">
        <v>16.89</v>
      </c>
      <c r="D59">
        <v>1777999500000</v>
      </c>
      <c r="E59">
        <v>31.56</v>
      </c>
      <c r="F59" s="6"/>
      <c r="G59">
        <v>1778085900000</v>
      </c>
      <c r="H59">
        <v>20.05</v>
      </c>
      <c r="J59">
        <v>1778085900000</v>
      </c>
      <c r="K59">
        <v>32.89</v>
      </c>
      <c r="L59" s="6"/>
      <c r="M59">
        <v>1779122700000</v>
      </c>
      <c r="N59">
        <v>31.22</v>
      </c>
      <c r="P59">
        <v>1779122700000</v>
      </c>
      <c r="Q59">
        <v>39.119999999999997</v>
      </c>
      <c r="R59" s="6"/>
      <c r="S59">
        <v>1782233100000</v>
      </c>
      <c r="T59">
        <v>15.12</v>
      </c>
      <c r="V59">
        <v>1782233100000</v>
      </c>
      <c r="W59">
        <v>37.700000000000003</v>
      </c>
      <c r="X59" s="6"/>
      <c r="Y59">
        <v>1784047500000</v>
      </c>
      <c r="Z59">
        <v>15.81</v>
      </c>
      <c r="AB59">
        <v>1784047500000</v>
      </c>
      <c r="AC59">
        <v>37.96</v>
      </c>
      <c r="AD59" s="6"/>
      <c r="AE59">
        <v>1784133900000</v>
      </c>
      <c r="AF59">
        <v>16.86</v>
      </c>
      <c r="AH59">
        <v>1784133900000</v>
      </c>
      <c r="AI59">
        <v>44.84</v>
      </c>
      <c r="AJ59" s="6"/>
    </row>
    <row r="60" spans="1:36">
      <c r="A60">
        <v>1778000400000</v>
      </c>
      <c r="B60">
        <v>13.59</v>
      </c>
      <c r="D60">
        <v>1778000400000</v>
      </c>
      <c r="E60">
        <v>33.9</v>
      </c>
      <c r="F60" s="6"/>
      <c r="G60">
        <v>1778086800000</v>
      </c>
      <c r="H60">
        <v>18.440000000000001</v>
      </c>
      <c r="J60">
        <v>1778086800000</v>
      </c>
      <c r="K60">
        <v>34.14</v>
      </c>
      <c r="L60" s="6"/>
      <c r="M60">
        <v>1779123600000</v>
      </c>
      <c r="N60">
        <v>20.09</v>
      </c>
      <c r="P60">
        <v>1779123600000</v>
      </c>
      <c r="Q60">
        <v>29.61</v>
      </c>
      <c r="R60" s="6"/>
      <c r="S60">
        <v>1782234000000</v>
      </c>
      <c r="T60">
        <v>16.309999999999999</v>
      </c>
      <c r="V60">
        <v>1782234000000</v>
      </c>
      <c r="W60">
        <v>36.200000000000003</v>
      </c>
      <c r="X60" s="6"/>
      <c r="Y60">
        <v>1784048400000</v>
      </c>
      <c r="Z60">
        <v>16.57</v>
      </c>
      <c r="AB60">
        <v>1784048400000</v>
      </c>
      <c r="AC60">
        <v>39.57</v>
      </c>
      <c r="AD60" s="6"/>
      <c r="AE60">
        <v>1784134800000</v>
      </c>
      <c r="AF60">
        <v>18.7</v>
      </c>
      <c r="AH60">
        <v>1784134800000</v>
      </c>
      <c r="AI60">
        <v>40.479999999999997</v>
      </c>
      <c r="AJ60" s="6"/>
    </row>
    <row r="61" spans="1:36">
      <c r="A61">
        <v>1778001300000</v>
      </c>
      <c r="B61">
        <v>17.88</v>
      </c>
      <c r="D61">
        <v>1778001300000</v>
      </c>
      <c r="E61">
        <v>33.06</v>
      </c>
      <c r="F61" s="6"/>
      <c r="G61">
        <v>1778087700000</v>
      </c>
      <c r="H61">
        <v>23.84</v>
      </c>
      <c r="J61">
        <v>1778087700000</v>
      </c>
      <c r="K61">
        <v>39.6</v>
      </c>
      <c r="L61" s="6"/>
      <c r="M61">
        <v>1779124500000</v>
      </c>
      <c r="N61">
        <v>21.42</v>
      </c>
      <c r="P61">
        <v>1779124500000</v>
      </c>
      <c r="Q61">
        <v>34.51</v>
      </c>
      <c r="R61" s="6"/>
      <c r="S61">
        <v>1782234900000</v>
      </c>
      <c r="T61">
        <v>16.54</v>
      </c>
      <c r="V61">
        <v>1782234900000</v>
      </c>
      <c r="W61">
        <v>38.15</v>
      </c>
      <c r="X61" s="6"/>
      <c r="Y61">
        <v>1784049300000</v>
      </c>
      <c r="Z61">
        <v>19.29</v>
      </c>
      <c r="AB61">
        <v>1784049300000</v>
      </c>
      <c r="AC61">
        <v>38.86</v>
      </c>
      <c r="AD61" s="6"/>
      <c r="AE61">
        <v>1784135700000</v>
      </c>
      <c r="AF61">
        <v>15.51</v>
      </c>
      <c r="AH61">
        <v>1784135700000</v>
      </c>
      <c r="AI61">
        <v>42.73</v>
      </c>
      <c r="AJ61" s="6"/>
    </row>
    <row r="62" spans="1:36">
      <c r="A62">
        <v>1778002200000</v>
      </c>
      <c r="B62">
        <v>15.86</v>
      </c>
      <c r="D62">
        <v>1778002200000</v>
      </c>
      <c r="E62">
        <v>34.79</v>
      </c>
      <c r="F62" s="6"/>
      <c r="G62">
        <v>1778088600000</v>
      </c>
      <c r="H62">
        <v>24.34</v>
      </c>
      <c r="J62">
        <v>1778088600000</v>
      </c>
      <c r="K62">
        <v>53.35</v>
      </c>
      <c r="L62" s="6"/>
      <c r="M62">
        <v>1779125400000</v>
      </c>
      <c r="N62">
        <v>21.38</v>
      </c>
      <c r="P62">
        <v>1779125400000</v>
      </c>
      <c r="Q62">
        <v>38.479999999999997</v>
      </c>
      <c r="R62" s="6"/>
      <c r="S62">
        <v>1782235800000</v>
      </c>
      <c r="T62">
        <v>19.43</v>
      </c>
      <c r="V62">
        <v>1782235800000</v>
      </c>
      <c r="W62">
        <v>39.32</v>
      </c>
      <c r="X62" s="6"/>
      <c r="Y62">
        <v>1784050200000</v>
      </c>
      <c r="Z62">
        <v>17.75</v>
      </c>
      <c r="AB62">
        <v>1784050200000</v>
      </c>
      <c r="AC62">
        <v>39.799999999999997</v>
      </c>
      <c r="AD62" s="6"/>
      <c r="AE62">
        <v>1784136600000</v>
      </c>
      <c r="AF62">
        <v>17.89</v>
      </c>
      <c r="AH62">
        <v>1784136600000</v>
      </c>
      <c r="AI62">
        <v>42.22</v>
      </c>
      <c r="AJ62" s="6"/>
    </row>
    <row r="63" spans="1:36">
      <c r="A63">
        <v>1778003100000</v>
      </c>
      <c r="B63">
        <v>19.54</v>
      </c>
      <c r="D63">
        <v>1778003100000</v>
      </c>
      <c r="E63">
        <v>33.340000000000003</v>
      </c>
      <c r="F63" s="6"/>
      <c r="G63">
        <v>1778089500000</v>
      </c>
      <c r="H63">
        <v>20.440000000000001</v>
      </c>
      <c r="J63">
        <v>1778089500000</v>
      </c>
      <c r="K63">
        <v>35.03</v>
      </c>
      <c r="L63" s="6"/>
      <c r="M63">
        <v>1779126300000</v>
      </c>
      <c r="N63">
        <v>19.43</v>
      </c>
      <c r="P63">
        <v>1779126300000</v>
      </c>
      <c r="Q63">
        <v>35.020000000000003</v>
      </c>
      <c r="R63" s="6"/>
      <c r="S63">
        <v>1782236700000</v>
      </c>
      <c r="T63">
        <v>12.89</v>
      </c>
      <c r="V63">
        <v>1782236700000</v>
      </c>
      <c r="W63">
        <v>38.22</v>
      </c>
      <c r="X63" s="6"/>
      <c r="Y63">
        <v>1784051100000</v>
      </c>
      <c r="Z63">
        <v>18.22</v>
      </c>
      <c r="AB63">
        <v>1784051100000</v>
      </c>
      <c r="AC63">
        <v>42.03</v>
      </c>
      <c r="AD63" s="6"/>
      <c r="AE63">
        <v>1784137500000</v>
      </c>
      <c r="AF63">
        <v>15.45</v>
      </c>
      <c r="AH63">
        <v>1784137500000</v>
      </c>
      <c r="AI63">
        <v>37.380000000000003</v>
      </c>
      <c r="AJ63" s="6"/>
    </row>
    <row r="64" spans="1:36">
      <c r="A64">
        <v>1778004000000</v>
      </c>
      <c r="B64">
        <v>16.8</v>
      </c>
      <c r="D64">
        <v>1778004000000</v>
      </c>
      <c r="E64">
        <v>33.770000000000003</v>
      </c>
      <c r="F64" s="6"/>
      <c r="G64">
        <v>1778090400000</v>
      </c>
      <c r="H64">
        <v>17.579999999999998</v>
      </c>
      <c r="J64">
        <v>1778090400000</v>
      </c>
      <c r="K64">
        <v>34.33</v>
      </c>
      <c r="L64" s="6"/>
      <c r="M64">
        <v>1779127200000</v>
      </c>
      <c r="N64">
        <v>18.37</v>
      </c>
      <c r="P64">
        <v>1779127200000</v>
      </c>
      <c r="Q64">
        <v>33.03</v>
      </c>
      <c r="R64" s="6"/>
      <c r="S64">
        <v>1782237600000</v>
      </c>
      <c r="T64">
        <v>17.91</v>
      </c>
      <c r="V64">
        <v>1782237600000</v>
      </c>
      <c r="W64">
        <v>38.79</v>
      </c>
      <c r="X64" s="6"/>
      <c r="Y64">
        <v>1784052000000</v>
      </c>
      <c r="Z64">
        <v>19.41</v>
      </c>
      <c r="AB64">
        <v>1784052000000</v>
      </c>
      <c r="AC64">
        <v>38.700000000000003</v>
      </c>
      <c r="AD64" s="6"/>
      <c r="AE64">
        <v>1784138400000</v>
      </c>
      <c r="AF64">
        <v>29.73</v>
      </c>
      <c r="AH64">
        <v>1784138400000</v>
      </c>
      <c r="AI64">
        <v>59.99</v>
      </c>
      <c r="AJ64" s="6"/>
    </row>
    <row r="65" spans="1:36">
      <c r="A65">
        <v>1778004900000</v>
      </c>
      <c r="B65">
        <v>17.93</v>
      </c>
      <c r="D65">
        <v>1778004900000</v>
      </c>
      <c r="E65">
        <v>35.14</v>
      </c>
      <c r="F65" s="6"/>
      <c r="G65">
        <v>1778091300000</v>
      </c>
      <c r="H65">
        <v>20.77</v>
      </c>
      <c r="J65">
        <v>1778091300000</v>
      </c>
      <c r="K65">
        <v>34.83</v>
      </c>
      <c r="L65" s="6"/>
      <c r="M65">
        <v>1779128100000</v>
      </c>
      <c r="N65">
        <v>16.11</v>
      </c>
      <c r="P65">
        <v>1779128100000</v>
      </c>
      <c r="Q65">
        <v>31.66</v>
      </c>
      <c r="R65" s="6"/>
      <c r="S65">
        <v>1782238500000</v>
      </c>
      <c r="T65">
        <v>16.14</v>
      </c>
      <c r="V65">
        <v>1782238500000</v>
      </c>
      <c r="W65">
        <v>36.14</v>
      </c>
      <c r="X65" s="6"/>
      <c r="Y65">
        <v>1784052900000</v>
      </c>
      <c r="Z65">
        <v>18.18</v>
      </c>
      <c r="AB65">
        <v>1784052900000</v>
      </c>
      <c r="AC65">
        <v>43.88</v>
      </c>
      <c r="AD65" s="6"/>
      <c r="AE65">
        <v>1784139300000</v>
      </c>
      <c r="AF65">
        <v>17.61</v>
      </c>
      <c r="AH65">
        <v>1784139300000</v>
      </c>
      <c r="AI65">
        <v>35.840000000000003</v>
      </c>
      <c r="AJ65" s="6"/>
    </row>
    <row r="66" spans="1:36">
      <c r="A66">
        <v>1778005800000</v>
      </c>
      <c r="B66">
        <v>18.600000000000001</v>
      </c>
      <c r="D66">
        <v>1778005800000</v>
      </c>
      <c r="E66">
        <v>36.08</v>
      </c>
      <c r="F66" s="6"/>
      <c r="G66">
        <v>1778092200000</v>
      </c>
      <c r="H66">
        <v>17.98</v>
      </c>
      <c r="J66">
        <v>1778092200000</v>
      </c>
      <c r="K66">
        <v>36.409999999999997</v>
      </c>
      <c r="L66" s="6"/>
      <c r="M66">
        <v>1779129000000</v>
      </c>
      <c r="N66">
        <v>18.53</v>
      </c>
      <c r="P66">
        <v>1779129000000</v>
      </c>
      <c r="Q66">
        <v>36.25</v>
      </c>
      <c r="R66" s="6"/>
      <c r="S66">
        <v>1782239400000</v>
      </c>
      <c r="T66">
        <v>19.059999999999999</v>
      </c>
      <c r="V66">
        <v>1782239400000</v>
      </c>
      <c r="W66">
        <v>35.11</v>
      </c>
      <c r="X66" s="6"/>
      <c r="Y66">
        <v>1784053800000</v>
      </c>
      <c r="Z66">
        <v>16.420000000000002</v>
      </c>
      <c r="AB66">
        <v>1784053800000</v>
      </c>
      <c r="AC66">
        <v>42.06</v>
      </c>
      <c r="AD66" s="6"/>
      <c r="AE66">
        <v>1784140200000</v>
      </c>
      <c r="AF66">
        <v>19.760000000000002</v>
      </c>
      <c r="AH66">
        <v>1784140200000</v>
      </c>
      <c r="AI66">
        <v>36.86</v>
      </c>
      <c r="AJ66" s="6"/>
    </row>
    <row r="67" spans="1:36">
      <c r="A67">
        <v>1778006700000</v>
      </c>
      <c r="B67">
        <v>18.11</v>
      </c>
      <c r="D67">
        <v>1778006700000</v>
      </c>
      <c r="E67">
        <v>36.01</v>
      </c>
      <c r="F67" s="6"/>
      <c r="G67">
        <v>1778093100000</v>
      </c>
      <c r="H67">
        <v>18.04</v>
      </c>
      <c r="J67">
        <v>1778093100000</v>
      </c>
      <c r="K67">
        <v>36.549999999999997</v>
      </c>
      <c r="L67" s="6"/>
      <c r="M67">
        <v>1779129900000</v>
      </c>
      <c r="N67">
        <v>23.41</v>
      </c>
      <c r="P67">
        <v>1779129900000</v>
      </c>
      <c r="Q67">
        <v>37.11</v>
      </c>
      <c r="R67" s="6"/>
      <c r="S67">
        <v>1782240300000</v>
      </c>
      <c r="T67">
        <v>17.53</v>
      </c>
      <c r="V67">
        <v>1782240300000</v>
      </c>
      <c r="W67">
        <v>41.21</v>
      </c>
      <c r="X67" s="6"/>
      <c r="Y67">
        <v>1784054700000</v>
      </c>
      <c r="Z67">
        <v>16.93</v>
      </c>
      <c r="AB67">
        <v>1784054700000</v>
      </c>
      <c r="AC67">
        <v>46.22</v>
      </c>
      <c r="AD67" s="6"/>
      <c r="AE67">
        <v>1784141100000</v>
      </c>
      <c r="AF67">
        <v>16.420000000000002</v>
      </c>
      <c r="AH67">
        <v>1784141100000</v>
      </c>
      <c r="AI67">
        <v>39.17</v>
      </c>
      <c r="AJ67" s="6"/>
    </row>
    <row r="68" spans="1:36">
      <c r="A68">
        <v>1778007600000</v>
      </c>
      <c r="B68">
        <v>20.309999999999999</v>
      </c>
      <c r="D68">
        <v>1778007600000</v>
      </c>
      <c r="E68">
        <v>36.340000000000003</v>
      </c>
      <c r="F68" s="6"/>
      <c r="G68">
        <v>1778094000000</v>
      </c>
      <c r="H68">
        <v>19.440000000000001</v>
      </c>
      <c r="J68">
        <v>1778094000000</v>
      </c>
      <c r="K68">
        <v>37.6</v>
      </c>
      <c r="L68" s="6"/>
      <c r="M68">
        <v>1779130800000</v>
      </c>
      <c r="N68">
        <v>21.15</v>
      </c>
      <c r="P68">
        <v>1779130800000</v>
      </c>
      <c r="Q68">
        <v>34.840000000000003</v>
      </c>
      <c r="R68" s="6"/>
      <c r="S68">
        <v>1782241200000</v>
      </c>
      <c r="T68">
        <v>19.66</v>
      </c>
      <c r="V68">
        <v>1782241200000</v>
      </c>
      <c r="W68">
        <v>47.45</v>
      </c>
      <c r="X68" s="6"/>
      <c r="Y68">
        <v>1784055600000</v>
      </c>
      <c r="Z68">
        <v>31.35</v>
      </c>
      <c r="AB68">
        <v>1784055600000</v>
      </c>
      <c r="AC68">
        <v>38.11</v>
      </c>
      <c r="AD68" s="6"/>
      <c r="AE68">
        <v>1784142000000</v>
      </c>
      <c r="AF68">
        <v>15.36</v>
      </c>
      <c r="AH68">
        <v>1784142000000</v>
      </c>
      <c r="AI68">
        <v>33.86</v>
      </c>
      <c r="AJ68" s="6"/>
    </row>
    <row r="69" spans="1:36">
      <c r="A69">
        <v>1778008500000</v>
      </c>
      <c r="B69">
        <v>14.94</v>
      </c>
      <c r="D69">
        <v>1778008500000</v>
      </c>
      <c r="E69">
        <v>32.49</v>
      </c>
      <c r="F69" s="6"/>
      <c r="G69">
        <v>1778094900000</v>
      </c>
      <c r="H69">
        <v>18.16</v>
      </c>
      <c r="J69">
        <v>1778094900000</v>
      </c>
      <c r="K69">
        <v>35.32</v>
      </c>
      <c r="L69" s="6"/>
      <c r="M69">
        <v>1779131700000</v>
      </c>
      <c r="N69">
        <v>21.39</v>
      </c>
      <c r="P69">
        <v>1779131700000</v>
      </c>
      <c r="Q69">
        <v>34.68</v>
      </c>
      <c r="R69" s="6"/>
      <c r="S69">
        <v>1782242100000</v>
      </c>
      <c r="T69">
        <v>18.3</v>
      </c>
      <c r="V69">
        <v>1782242100000</v>
      </c>
      <c r="W69">
        <v>42.41</v>
      </c>
      <c r="X69" s="6"/>
      <c r="Y69">
        <v>1784056500000</v>
      </c>
      <c r="Z69">
        <v>27.38</v>
      </c>
      <c r="AB69">
        <v>1784056500000</v>
      </c>
      <c r="AC69">
        <v>42.23</v>
      </c>
      <c r="AD69" s="6"/>
      <c r="AE69">
        <v>1784142900000</v>
      </c>
      <c r="AF69">
        <v>16.829999999999998</v>
      </c>
      <c r="AH69">
        <v>1784142900000</v>
      </c>
      <c r="AI69">
        <v>41.2</v>
      </c>
      <c r="AJ69" s="6"/>
    </row>
    <row r="70" spans="1:36">
      <c r="A70">
        <v>1778009400000</v>
      </c>
      <c r="B70">
        <v>20.07</v>
      </c>
      <c r="D70">
        <v>1778009400000</v>
      </c>
      <c r="E70">
        <v>34.9</v>
      </c>
      <c r="F70" s="6"/>
      <c r="G70">
        <v>1778095800000</v>
      </c>
      <c r="H70">
        <v>19.8</v>
      </c>
      <c r="J70">
        <v>1778095800000</v>
      </c>
      <c r="K70">
        <v>34.49</v>
      </c>
      <c r="L70" s="6"/>
      <c r="M70">
        <v>1779132600000</v>
      </c>
      <c r="N70">
        <v>37.549999999999997</v>
      </c>
      <c r="P70">
        <v>1779132600000</v>
      </c>
      <c r="Q70">
        <v>27.69</v>
      </c>
      <c r="R70" s="6"/>
      <c r="S70">
        <v>1782243000000</v>
      </c>
      <c r="T70">
        <v>16.579999999999998</v>
      </c>
      <c r="V70">
        <v>1782243000000</v>
      </c>
      <c r="W70">
        <v>39.14</v>
      </c>
      <c r="X70" s="6"/>
      <c r="Y70">
        <v>1784057400000</v>
      </c>
      <c r="Z70">
        <v>21.46</v>
      </c>
      <c r="AB70">
        <v>1784057400000</v>
      </c>
      <c r="AC70">
        <v>39.82</v>
      </c>
      <c r="AD70" s="6"/>
      <c r="AE70">
        <v>1784143800000</v>
      </c>
      <c r="AF70">
        <v>12.94</v>
      </c>
      <c r="AH70">
        <v>1784143800000</v>
      </c>
      <c r="AI70">
        <v>35.4</v>
      </c>
      <c r="AJ70" s="6"/>
    </row>
    <row r="71" spans="1:36">
      <c r="A71">
        <v>1778010300000</v>
      </c>
      <c r="B71">
        <v>16.39</v>
      </c>
      <c r="D71">
        <v>1778010300000</v>
      </c>
      <c r="E71">
        <v>35.93</v>
      </c>
      <c r="F71" s="6"/>
      <c r="G71">
        <v>1778096700000</v>
      </c>
      <c r="H71">
        <v>21.01</v>
      </c>
      <c r="J71">
        <v>1778096700000</v>
      </c>
      <c r="K71">
        <v>34.840000000000003</v>
      </c>
      <c r="L71" s="6"/>
      <c r="M71">
        <v>1779133500000</v>
      </c>
      <c r="N71">
        <v>24.3</v>
      </c>
      <c r="P71">
        <v>1779133500000</v>
      </c>
      <c r="Q71">
        <v>36.22</v>
      </c>
      <c r="R71" s="6"/>
      <c r="S71">
        <v>1782243900000</v>
      </c>
      <c r="T71">
        <v>13.75</v>
      </c>
      <c r="V71">
        <v>1782243900000</v>
      </c>
      <c r="W71">
        <v>38.43</v>
      </c>
      <c r="X71" s="6"/>
      <c r="Y71">
        <v>1784058300000</v>
      </c>
      <c r="Z71">
        <v>18.09</v>
      </c>
      <c r="AB71">
        <v>1784058300000</v>
      </c>
      <c r="AC71">
        <v>41.32</v>
      </c>
      <c r="AD71" s="6"/>
      <c r="AE71">
        <v>1784144700000</v>
      </c>
      <c r="AF71">
        <v>14.63</v>
      </c>
      <c r="AH71">
        <v>1784144700000</v>
      </c>
      <c r="AI71">
        <v>40.47</v>
      </c>
      <c r="AJ71" s="6"/>
    </row>
    <row r="72" spans="1:36">
      <c r="A72">
        <v>1778011200000</v>
      </c>
      <c r="B72">
        <v>19.62</v>
      </c>
      <c r="D72">
        <v>1778011200000</v>
      </c>
      <c r="E72">
        <v>35.17</v>
      </c>
      <c r="F72" s="6"/>
      <c r="G72">
        <v>1778097600000</v>
      </c>
      <c r="H72">
        <v>19.149999999999999</v>
      </c>
      <c r="J72">
        <v>1778097600000</v>
      </c>
      <c r="K72">
        <v>38.409999999999997</v>
      </c>
      <c r="L72" s="6"/>
      <c r="M72">
        <v>1779134400000</v>
      </c>
      <c r="N72">
        <v>20.93</v>
      </c>
      <c r="P72">
        <v>1779134400000</v>
      </c>
      <c r="Q72">
        <v>36.549999999999997</v>
      </c>
      <c r="R72" s="6"/>
      <c r="S72">
        <v>1782244800000</v>
      </c>
      <c r="T72">
        <v>21.59</v>
      </c>
      <c r="V72">
        <v>1782244800000</v>
      </c>
      <c r="W72">
        <v>40.93</v>
      </c>
      <c r="X72" s="6"/>
      <c r="Y72">
        <v>1784059200000</v>
      </c>
      <c r="Z72">
        <v>19.64</v>
      </c>
      <c r="AB72">
        <v>1784059200000</v>
      </c>
      <c r="AC72">
        <v>40.729999999999997</v>
      </c>
      <c r="AD72" s="6"/>
      <c r="AE72">
        <v>1784145600000</v>
      </c>
      <c r="AF72">
        <v>15.97</v>
      </c>
      <c r="AH72">
        <v>1784145600000</v>
      </c>
      <c r="AI72">
        <v>41.06</v>
      </c>
      <c r="AJ72" s="6"/>
    </row>
    <row r="73" spans="1:36">
      <c r="A73">
        <v>1778012100000</v>
      </c>
      <c r="B73">
        <v>22.12</v>
      </c>
      <c r="D73">
        <v>1778012100000</v>
      </c>
      <c r="E73">
        <v>36.770000000000003</v>
      </c>
      <c r="F73" s="6"/>
      <c r="G73">
        <v>1778098500000</v>
      </c>
      <c r="H73">
        <v>20.05</v>
      </c>
      <c r="J73">
        <v>1778098500000</v>
      </c>
      <c r="K73">
        <v>37.729999999999997</v>
      </c>
      <c r="L73" s="6"/>
      <c r="M73">
        <v>1779135300000</v>
      </c>
      <c r="N73">
        <v>22.66</v>
      </c>
      <c r="P73">
        <v>1779135300000</v>
      </c>
      <c r="Q73">
        <v>36.31</v>
      </c>
      <c r="R73" s="6"/>
      <c r="S73">
        <v>1782245700000</v>
      </c>
      <c r="T73">
        <v>14.99</v>
      </c>
      <c r="V73">
        <v>1782245700000</v>
      </c>
      <c r="W73">
        <v>34.340000000000003</v>
      </c>
      <c r="X73" s="6"/>
      <c r="Y73">
        <v>1784060100000</v>
      </c>
      <c r="Z73">
        <v>18.21</v>
      </c>
      <c r="AB73">
        <v>1784060100000</v>
      </c>
      <c r="AC73">
        <v>44.75</v>
      </c>
      <c r="AD73" s="6"/>
      <c r="AE73">
        <v>1784146500000</v>
      </c>
      <c r="AF73">
        <v>15.63</v>
      </c>
      <c r="AH73">
        <v>1784146500000</v>
      </c>
      <c r="AI73">
        <v>41.94</v>
      </c>
      <c r="AJ73" s="6"/>
    </row>
    <row r="74" spans="1:36">
      <c r="A74">
        <v>1778013000000</v>
      </c>
      <c r="B74">
        <v>19.02</v>
      </c>
      <c r="D74">
        <v>1778013000000</v>
      </c>
      <c r="E74">
        <v>53.56</v>
      </c>
      <c r="F74" s="6"/>
      <c r="G74">
        <v>1778099400000</v>
      </c>
      <c r="H74">
        <v>20.95</v>
      </c>
      <c r="J74">
        <v>1778099400000</v>
      </c>
      <c r="K74">
        <v>36.26</v>
      </c>
      <c r="L74" s="6"/>
      <c r="M74">
        <v>1779136200000</v>
      </c>
      <c r="N74">
        <v>19.37</v>
      </c>
      <c r="P74">
        <v>1779136200000</v>
      </c>
      <c r="Q74">
        <v>31.88</v>
      </c>
      <c r="R74" s="6"/>
      <c r="S74">
        <v>1782246600000</v>
      </c>
      <c r="T74">
        <v>19.07</v>
      </c>
      <c r="V74">
        <v>1782246600000</v>
      </c>
      <c r="W74">
        <v>37.340000000000003</v>
      </c>
      <c r="X74" s="6"/>
      <c r="Y74">
        <v>1784061000000</v>
      </c>
      <c r="Z74">
        <v>14.29</v>
      </c>
      <c r="AB74">
        <v>1784061000000</v>
      </c>
      <c r="AC74">
        <v>40.549999999999997</v>
      </c>
      <c r="AD74" s="6"/>
      <c r="AE74">
        <v>1784147400000</v>
      </c>
      <c r="AF74">
        <v>17.52</v>
      </c>
      <c r="AH74">
        <v>1784147400000</v>
      </c>
      <c r="AI74">
        <v>42.71</v>
      </c>
      <c r="AJ74" s="6"/>
    </row>
    <row r="75" spans="1:36">
      <c r="A75">
        <v>1778013900000</v>
      </c>
      <c r="B75">
        <v>22.86</v>
      </c>
      <c r="D75">
        <v>1778013900000</v>
      </c>
      <c r="E75">
        <v>35.450000000000003</v>
      </c>
      <c r="F75" s="6"/>
      <c r="G75">
        <v>1778100300000</v>
      </c>
      <c r="H75">
        <v>23.66</v>
      </c>
      <c r="J75">
        <v>1778100300000</v>
      </c>
      <c r="K75">
        <v>35.869999999999997</v>
      </c>
      <c r="L75" s="6"/>
      <c r="M75">
        <v>1779137100000</v>
      </c>
      <c r="N75">
        <v>24.34</v>
      </c>
      <c r="P75">
        <v>1779137100000</v>
      </c>
      <c r="Q75">
        <v>33.42</v>
      </c>
      <c r="R75" s="6"/>
      <c r="S75">
        <v>1782247500000</v>
      </c>
      <c r="T75">
        <v>21.24</v>
      </c>
      <c r="V75">
        <v>1782247500000</v>
      </c>
      <c r="W75">
        <v>39.93</v>
      </c>
      <c r="X75" s="6"/>
      <c r="Y75">
        <v>1784061900000</v>
      </c>
      <c r="Z75">
        <v>17.420000000000002</v>
      </c>
      <c r="AB75">
        <v>1784061900000</v>
      </c>
      <c r="AC75">
        <v>42.65</v>
      </c>
      <c r="AD75" s="6"/>
      <c r="AE75">
        <v>1784148300000</v>
      </c>
      <c r="AF75">
        <v>15.62</v>
      </c>
      <c r="AH75">
        <v>1784148300000</v>
      </c>
      <c r="AI75">
        <v>35.590000000000003</v>
      </c>
      <c r="AJ75" s="6"/>
    </row>
    <row r="76" spans="1:36">
      <c r="A76">
        <v>1778014800000</v>
      </c>
      <c r="B76">
        <v>29.17</v>
      </c>
      <c r="D76">
        <v>1778014800000</v>
      </c>
      <c r="E76">
        <v>29.1</v>
      </c>
      <c r="F76" s="6"/>
      <c r="G76">
        <v>1778101200000</v>
      </c>
      <c r="H76">
        <v>26.82</v>
      </c>
      <c r="J76">
        <v>1778101200000</v>
      </c>
      <c r="K76">
        <v>27.7</v>
      </c>
      <c r="L76" s="6"/>
      <c r="M76">
        <v>1779138000000</v>
      </c>
      <c r="N76">
        <v>27.29</v>
      </c>
      <c r="P76">
        <v>1779138000000</v>
      </c>
      <c r="Q76">
        <v>25.4</v>
      </c>
      <c r="R76" s="6"/>
      <c r="S76">
        <v>1782248400000</v>
      </c>
      <c r="T76">
        <v>27.55</v>
      </c>
      <c r="V76">
        <v>1782248400000</v>
      </c>
      <c r="W76">
        <v>26.94</v>
      </c>
      <c r="X76" s="6"/>
      <c r="Y76">
        <v>1784062800000</v>
      </c>
      <c r="Z76">
        <v>22.48</v>
      </c>
      <c r="AB76">
        <v>1784062800000</v>
      </c>
      <c r="AC76">
        <v>25.94</v>
      </c>
      <c r="AD76" s="6"/>
      <c r="AE76">
        <v>1784149200000</v>
      </c>
      <c r="AF76">
        <v>21.77</v>
      </c>
      <c r="AH76">
        <v>1784149200000</v>
      </c>
      <c r="AI76">
        <v>24.49</v>
      </c>
      <c r="AJ76" s="6"/>
    </row>
    <row r="77" spans="1:36">
      <c r="A77">
        <v>1778015700000</v>
      </c>
      <c r="B77">
        <v>31.14</v>
      </c>
      <c r="D77">
        <v>1778015700000</v>
      </c>
      <c r="E77">
        <v>28.36</v>
      </c>
      <c r="F77" s="6"/>
      <c r="G77">
        <v>1778102100000</v>
      </c>
      <c r="H77">
        <v>28.95</v>
      </c>
      <c r="J77">
        <v>1778102100000</v>
      </c>
      <c r="K77">
        <v>25.61</v>
      </c>
      <c r="L77" s="6"/>
      <c r="M77">
        <v>1779138900000</v>
      </c>
      <c r="N77">
        <v>28.25</v>
      </c>
      <c r="P77">
        <v>1779138900000</v>
      </c>
      <c r="Q77">
        <v>29.39</v>
      </c>
      <c r="R77" s="6"/>
      <c r="S77">
        <v>1782249300000</v>
      </c>
      <c r="T77">
        <v>26.13</v>
      </c>
      <c r="V77">
        <v>1782249300000</v>
      </c>
      <c r="W77">
        <v>26.09</v>
      </c>
      <c r="X77" s="6"/>
      <c r="Y77">
        <v>1784063700000</v>
      </c>
      <c r="Z77">
        <v>24.56</v>
      </c>
      <c r="AB77">
        <v>1784063700000</v>
      </c>
      <c r="AC77">
        <v>23.04</v>
      </c>
      <c r="AD77" s="6"/>
      <c r="AE77">
        <v>1784150100000</v>
      </c>
      <c r="AF77">
        <v>22.29</v>
      </c>
      <c r="AH77">
        <v>1784150100000</v>
      </c>
      <c r="AI77">
        <v>24.1</v>
      </c>
      <c r="AJ77" s="6"/>
    </row>
    <row r="78" spans="1:36">
      <c r="A78">
        <v>1778016600000</v>
      </c>
      <c r="B78">
        <v>29.51</v>
      </c>
      <c r="D78">
        <v>1778016600000</v>
      </c>
      <c r="E78">
        <v>25.31</v>
      </c>
      <c r="F78" s="6"/>
      <c r="G78">
        <v>1778103000000</v>
      </c>
      <c r="H78">
        <v>25.23</v>
      </c>
      <c r="J78">
        <v>1778103000000</v>
      </c>
      <c r="K78">
        <v>24.41</v>
      </c>
      <c r="L78" s="6"/>
      <c r="M78">
        <v>1779139800000</v>
      </c>
      <c r="N78">
        <v>30.47</v>
      </c>
      <c r="P78">
        <v>1779139800000</v>
      </c>
      <c r="Q78">
        <v>32.369999999999997</v>
      </c>
      <c r="R78" s="6"/>
      <c r="S78">
        <v>1782250200000</v>
      </c>
      <c r="T78">
        <v>30.47</v>
      </c>
      <c r="V78">
        <v>1782250200000</v>
      </c>
      <c r="W78">
        <v>26.34</v>
      </c>
      <c r="X78" s="6"/>
      <c r="Y78">
        <v>1784064600000</v>
      </c>
      <c r="Z78">
        <v>28.5</v>
      </c>
      <c r="AB78">
        <v>1784064600000</v>
      </c>
      <c r="AC78">
        <v>27.24</v>
      </c>
      <c r="AD78" s="6"/>
      <c r="AE78">
        <v>1784151000000</v>
      </c>
      <c r="AF78">
        <v>20.18</v>
      </c>
      <c r="AH78">
        <v>1784151000000</v>
      </c>
      <c r="AI78">
        <v>25.42</v>
      </c>
      <c r="AJ78" s="6"/>
    </row>
    <row r="79" spans="1:36">
      <c r="A79">
        <v>1778017500000</v>
      </c>
      <c r="B79">
        <v>30.21</v>
      </c>
      <c r="D79">
        <v>1778017500000</v>
      </c>
      <c r="E79">
        <v>31.07</v>
      </c>
      <c r="F79" s="6"/>
      <c r="G79">
        <v>1778103900000</v>
      </c>
      <c r="H79">
        <v>27.35</v>
      </c>
      <c r="J79">
        <v>1778103900000</v>
      </c>
      <c r="K79">
        <v>30.94</v>
      </c>
      <c r="L79" s="6"/>
      <c r="M79">
        <v>1779140700000</v>
      </c>
      <c r="N79">
        <v>27.39</v>
      </c>
      <c r="P79">
        <v>1779140700000</v>
      </c>
      <c r="Q79">
        <v>31.01</v>
      </c>
      <c r="R79" s="6"/>
      <c r="S79">
        <v>1782251100000</v>
      </c>
      <c r="T79">
        <v>25.1</v>
      </c>
      <c r="V79">
        <v>1782251100000</v>
      </c>
      <c r="W79">
        <v>27.55</v>
      </c>
      <c r="X79" s="6"/>
      <c r="Y79">
        <v>1784065500000</v>
      </c>
      <c r="Z79">
        <v>21.75</v>
      </c>
      <c r="AB79">
        <v>1784065500000</v>
      </c>
      <c r="AC79">
        <v>33.72</v>
      </c>
      <c r="AD79" s="6"/>
      <c r="AE79">
        <v>1784151900000</v>
      </c>
      <c r="AF79">
        <v>29.38</v>
      </c>
      <c r="AH79">
        <v>1784151900000</v>
      </c>
      <c r="AI79">
        <v>28.17</v>
      </c>
      <c r="AJ79" s="6"/>
    </row>
    <row r="80" spans="1:36">
      <c r="A80">
        <v>1778018400000</v>
      </c>
      <c r="B80">
        <v>29.34</v>
      </c>
      <c r="D80">
        <v>1778018400000</v>
      </c>
      <c r="E80">
        <v>29.03</v>
      </c>
      <c r="F80" s="6"/>
      <c r="G80">
        <v>1778104800000</v>
      </c>
      <c r="H80">
        <v>26.19</v>
      </c>
      <c r="J80">
        <v>1778104800000</v>
      </c>
      <c r="K80">
        <v>27.16</v>
      </c>
      <c r="L80" s="6"/>
      <c r="M80">
        <v>1779141600000</v>
      </c>
      <c r="N80">
        <v>28.81</v>
      </c>
      <c r="P80">
        <v>1779141600000</v>
      </c>
      <c r="Q80">
        <v>26.84</v>
      </c>
      <c r="R80" s="6"/>
      <c r="S80">
        <v>1782252000000</v>
      </c>
      <c r="T80">
        <v>23.45</v>
      </c>
      <c r="V80">
        <v>1782252000000</v>
      </c>
      <c r="W80">
        <v>31.15</v>
      </c>
      <c r="X80" s="6"/>
      <c r="Y80">
        <v>1784066400000</v>
      </c>
      <c r="Z80">
        <v>27.85</v>
      </c>
      <c r="AB80">
        <v>1784066400000</v>
      </c>
      <c r="AC80">
        <v>25.85</v>
      </c>
      <c r="AD80" s="6"/>
      <c r="AE80">
        <v>1784152800000</v>
      </c>
      <c r="AF80">
        <v>26.73</v>
      </c>
      <c r="AH80">
        <v>1784152800000</v>
      </c>
      <c r="AI80">
        <v>24.79</v>
      </c>
      <c r="AJ80" s="6"/>
    </row>
    <row r="81" spans="1:36">
      <c r="A81">
        <v>1778019300000</v>
      </c>
      <c r="B81">
        <v>30.56</v>
      </c>
      <c r="D81">
        <v>1778019300000</v>
      </c>
      <c r="E81">
        <v>30.97</v>
      </c>
      <c r="F81" s="6"/>
      <c r="G81">
        <v>1778105700000</v>
      </c>
      <c r="H81">
        <v>28.92</v>
      </c>
      <c r="J81">
        <v>1778105700000</v>
      </c>
      <c r="K81">
        <v>28.35</v>
      </c>
      <c r="L81" s="6"/>
      <c r="M81">
        <v>1779142500000</v>
      </c>
      <c r="N81">
        <v>27.1</v>
      </c>
      <c r="P81">
        <v>1779142500000</v>
      </c>
      <c r="Q81">
        <v>31.54</v>
      </c>
      <c r="R81" s="6"/>
      <c r="S81">
        <v>1782252900000</v>
      </c>
      <c r="T81">
        <v>43.02</v>
      </c>
      <c r="V81">
        <v>1782252900000</v>
      </c>
      <c r="W81">
        <v>26.75</v>
      </c>
      <c r="X81" s="6"/>
      <c r="Y81">
        <v>1784067300000</v>
      </c>
      <c r="Z81">
        <v>31.77</v>
      </c>
      <c r="AB81">
        <v>1784067300000</v>
      </c>
      <c r="AC81">
        <v>52.39</v>
      </c>
      <c r="AD81" s="6"/>
      <c r="AE81">
        <v>1784153700000</v>
      </c>
      <c r="AF81">
        <v>41.12</v>
      </c>
      <c r="AH81">
        <v>1784153700000</v>
      </c>
      <c r="AI81">
        <v>26.18</v>
      </c>
      <c r="AJ81" s="6"/>
    </row>
    <row r="82" spans="1:36">
      <c r="A82">
        <v>1778020200000</v>
      </c>
      <c r="B82">
        <v>28.5</v>
      </c>
      <c r="D82">
        <v>1778020200000</v>
      </c>
      <c r="E82">
        <v>33.22</v>
      </c>
      <c r="F82" s="6"/>
      <c r="G82">
        <v>1778106600000</v>
      </c>
      <c r="H82">
        <v>28.56</v>
      </c>
      <c r="J82">
        <v>1778106600000</v>
      </c>
      <c r="K82">
        <v>27.45</v>
      </c>
      <c r="L82" s="6"/>
      <c r="M82">
        <v>1779143400000</v>
      </c>
      <c r="N82">
        <v>25.49</v>
      </c>
      <c r="P82">
        <v>1779143400000</v>
      </c>
      <c r="Q82">
        <v>30.41</v>
      </c>
      <c r="R82" s="6"/>
      <c r="S82">
        <v>1782253800000</v>
      </c>
      <c r="T82">
        <v>42.61</v>
      </c>
      <c r="V82">
        <v>1782253800000</v>
      </c>
      <c r="W82">
        <v>30.38</v>
      </c>
      <c r="X82" s="6"/>
      <c r="Y82">
        <v>1784068200000</v>
      </c>
      <c r="Z82">
        <v>30.85</v>
      </c>
      <c r="AB82">
        <v>1784068200000</v>
      </c>
      <c r="AC82">
        <v>29.06</v>
      </c>
      <c r="AD82" s="6"/>
      <c r="AE82">
        <v>1784154600000</v>
      </c>
      <c r="AF82">
        <v>32.270000000000003</v>
      </c>
      <c r="AH82">
        <v>1784154600000</v>
      </c>
      <c r="AI82">
        <v>27.61</v>
      </c>
      <c r="AJ82" s="6"/>
    </row>
    <row r="83" spans="1:36">
      <c r="A83">
        <v>1778021100000</v>
      </c>
      <c r="B83">
        <v>28.32</v>
      </c>
      <c r="D83">
        <v>1778021100000</v>
      </c>
      <c r="E83">
        <v>40.520000000000003</v>
      </c>
      <c r="F83" s="6"/>
      <c r="G83">
        <v>1778107500000</v>
      </c>
      <c r="H83">
        <v>31.4</v>
      </c>
      <c r="J83">
        <v>1778107500000</v>
      </c>
      <c r="K83">
        <v>32.22</v>
      </c>
      <c r="L83" s="6"/>
      <c r="M83">
        <v>1779144300000</v>
      </c>
      <c r="N83">
        <v>24.74</v>
      </c>
      <c r="P83">
        <v>1779144300000</v>
      </c>
      <c r="Q83">
        <v>40.06</v>
      </c>
      <c r="R83" s="6"/>
      <c r="S83">
        <v>1782254700000</v>
      </c>
      <c r="T83">
        <v>27.53</v>
      </c>
      <c r="V83">
        <v>1782254700000</v>
      </c>
      <c r="W83">
        <v>37.950000000000003</v>
      </c>
      <c r="X83" s="6"/>
      <c r="Y83">
        <v>1784069100000</v>
      </c>
      <c r="Z83">
        <v>24.95</v>
      </c>
      <c r="AB83">
        <v>1784069100000</v>
      </c>
      <c r="AC83">
        <v>33.79</v>
      </c>
      <c r="AD83" s="6"/>
      <c r="AE83">
        <v>1784155500000</v>
      </c>
      <c r="AF83">
        <v>30.52</v>
      </c>
      <c r="AH83">
        <v>1784155500000</v>
      </c>
      <c r="AI83">
        <v>41.39</v>
      </c>
      <c r="AJ83" s="6"/>
    </row>
    <row r="84" spans="1:36">
      <c r="A84">
        <v>1778022000000</v>
      </c>
      <c r="B84">
        <v>32.71</v>
      </c>
      <c r="D84">
        <v>1778022000000</v>
      </c>
      <c r="E84">
        <v>38.799999999999997</v>
      </c>
      <c r="F84" s="6"/>
      <c r="G84">
        <v>1778108400000</v>
      </c>
      <c r="H84">
        <v>29.13</v>
      </c>
      <c r="J84">
        <v>1778108400000</v>
      </c>
      <c r="K84">
        <v>32.770000000000003</v>
      </c>
      <c r="L84" s="6"/>
      <c r="M84">
        <v>1779145200000</v>
      </c>
      <c r="N84">
        <v>28.95</v>
      </c>
      <c r="P84">
        <v>1779145200000</v>
      </c>
      <c r="Q84">
        <v>39.020000000000003</v>
      </c>
      <c r="R84" s="6"/>
      <c r="S84">
        <v>1782255600000</v>
      </c>
      <c r="T84">
        <v>28.53</v>
      </c>
      <c r="V84">
        <v>1782255600000</v>
      </c>
      <c r="W84">
        <v>41.88</v>
      </c>
      <c r="X84" s="6"/>
      <c r="Y84">
        <v>1784070000000</v>
      </c>
      <c r="Z84">
        <v>34.58</v>
      </c>
      <c r="AB84">
        <v>1784070000000</v>
      </c>
      <c r="AC84">
        <v>35.81</v>
      </c>
      <c r="AD84" s="6"/>
      <c r="AE84">
        <v>1784156400000</v>
      </c>
      <c r="AF84">
        <v>34.06</v>
      </c>
      <c r="AH84">
        <v>1784156400000</v>
      </c>
      <c r="AI84">
        <v>47.29</v>
      </c>
      <c r="AJ84" s="6"/>
    </row>
    <row r="85" spans="1:36">
      <c r="A85">
        <v>1778022900000</v>
      </c>
      <c r="B85">
        <v>38.03</v>
      </c>
      <c r="D85">
        <v>1778022900000</v>
      </c>
      <c r="E85">
        <v>37.72</v>
      </c>
      <c r="F85" s="6"/>
      <c r="G85">
        <v>1778109300000</v>
      </c>
      <c r="H85">
        <v>34.58</v>
      </c>
      <c r="J85">
        <v>1778109300000</v>
      </c>
      <c r="K85">
        <v>41.3</v>
      </c>
      <c r="L85" s="6"/>
      <c r="M85">
        <v>1779146100000</v>
      </c>
      <c r="N85">
        <v>31.18</v>
      </c>
      <c r="P85">
        <v>1779146100000</v>
      </c>
      <c r="Q85">
        <v>38.020000000000003</v>
      </c>
      <c r="R85" s="6"/>
      <c r="S85">
        <v>1782256500000</v>
      </c>
      <c r="T85">
        <v>39.56</v>
      </c>
      <c r="V85">
        <v>1782256500000</v>
      </c>
      <c r="W85">
        <v>45.92</v>
      </c>
      <c r="X85" s="6"/>
      <c r="Y85">
        <v>1784070900000</v>
      </c>
      <c r="Z85">
        <v>35.32</v>
      </c>
      <c r="AB85">
        <v>1784070900000</v>
      </c>
      <c r="AC85">
        <v>41.56</v>
      </c>
      <c r="AD85" s="6"/>
      <c r="AE85">
        <v>1784157300000</v>
      </c>
      <c r="AF85">
        <v>41.45</v>
      </c>
      <c r="AH85">
        <v>1784157300000</v>
      </c>
      <c r="AI85">
        <v>42.49</v>
      </c>
      <c r="AJ85" s="6"/>
    </row>
    <row r="86" spans="1:36">
      <c r="A86">
        <v>1778023800000</v>
      </c>
      <c r="B86">
        <v>47.57</v>
      </c>
      <c r="D86">
        <v>1778023800000</v>
      </c>
      <c r="E86">
        <v>46.01</v>
      </c>
      <c r="F86" s="6"/>
      <c r="G86">
        <v>1778110200000</v>
      </c>
      <c r="H86">
        <v>32.72</v>
      </c>
      <c r="J86">
        <v>1778110200000</v>
      </c>
      <c r="K86">
        <v>41.14</v>
      </c>
      <c r="L86" s="6"/>
      <c r="M86">
        <v>1779147000000</v>
      </c>
      <c r="N86">
        <v>33.04</v>
      </c>
      <c r="P86">
        <v>1779147000000</v>
      </c>
      <c r="Q86">
        <v>34.74</v>
      </c>
      <c r="R86" s="6"/>
      <c r="S86">
        <v>1782257400000</v>
      </c>
      <c r="T86">
        <v>29.36</v>
      </c>
      <c r="V86">
        <v>1782257400000</v>
      </c>
      <c r="W86">
        <v>47.48</v>
      </c>
      <c r="X86" s="6"/>
      <c r="Y86">
        <v>1784071800000</v>
      </c>
      <c r="Z86">
        <v>36.29</v>
      </c>
      <c r="AB86">
        <v>1784071800000</v>
      </c>
      <c r="AC86">
        <v>44.01</v>
      </c>
      <c r="AD86" s="6"/>
      <c r="AE86">
        <v>1784158200000</v>
      </c>
      <c r="AF86">
        <v>34.979999999999997</v>
      </c>
      <c r="AH86">
        <v>1784158200000</v>
      </c>
      <c r="AI86">
        <v>32.29</v>
      </c>
      <c r="AJ86" s="6"/>
    </row>
    <row r="87" spans="1:36">
      <c r="A87">
        <v>1778024700000</v>
      </c>
      <c r="B87">
        <v>27.64</v>
      </c>
      <c r="D87">
        <v>1778024700000</v>
      </c>
      <c r="E87">
        <v>33.770000000000003</v>
      </c>
      <c r="F87" s="6"/>
      <c r="G87">
        <v>1778111100000</v>
      </c>
      <c r="H87">
        <v>30.57</v>
      </c>
      <c r="J87">
        <v>1778111100000</v>
      </c>
      <c r="K87">
        <v>40.85</v>
      </c>
      <c r="L87" s="6"/>
      <c r="M87">
        <v>1779147900000</v>
      </c>
      <c r="N87">
        <v>27.41</v>
      </c>
      <c r="P87">
        <v>1779147900000</v>
      </c>
      <c r="Q87">
        <v>29.03</v>
      </c>
      <c r="R87" s="6"/>
      <c r="S87">
        <v>1782258300000</v>
      </c>
      <c r="T87">
        <v>33.31</v>
      </c>
      <c r="V87">
        <v>1782258300000</v>
      </c>
      <c r="W87">
        <v>34.49</v>
      </c>
      <c r="X87" s="6"/>
      <c r="Y87">
        <v>1784072700000</v>
      </c>
      <c r="Z87">
        <v>38.22</v>
      </c>
      <c r="AB87">
        <v>1784072700000</v>
      </c>
      <c r="AC87">
        <v>35.200000000000003</v>
      </c>
      <c r="AD87" s="6"/>
      <c r="AE87">
        <v>1784159100000</v>
      </c>
      <c r="AF87">
        <v>47.02</v>
      </c>
      <c r="AH87">
        <v>1784159100000</v>
      </c>
      <c r="AI87">
        <v>36.79</v>
      </c>
      <c r="AJ87" s="6"/>
    </row>
    <row r="88" spans="1:36">
      <c r="A88">
        <v>1778025600000</v>
      </c>
      <c r="B88">
        <v>26.05</v>
      </c>
      <c r="D88">
        <v>1778025600000</v>
      </c>
      <c r="E88">
        <v>25.76</v>
      </c>
      <c r="F88" s="6"/>
      <c r="G88">
        <v>1778112000000</v>
      </c>
      <c r="H88">
        <v>27.38</v>
      </c>
      <c r="J88">
        <v>1778112000000</v>
      </c>
      <c r="K88">
        <v>35.54</v>
      </c>
      <c r="L88" s="6"/>
      <c r="M88">
        <v>1779148800000</v>
      </c>
      <c r="N88">
        <v>29.48</v>
      </c>
      <c r="P88">
        <v>1779148800000</v>
      </c>
      <c r="Q88">
        <v>31.5</v>
      </c>
      <c r="R88" s="6"/>
      <c r="S88">
        <v>1782259200000</v>
      </c>
      <c r="T88">
        <v>25.04</v>
      </c>
      <c r="V88">
        <v>1782259200000</v>
      </c>
      <c r="W88">
        <v>26.34</v>
      </c>
      <c r="X88" s="6"/>
      <c r="Y88">
        <v>1784073600000</v>
      </c>
      <c r="Z88">
        <v>23.39</v>
      </c>
      <c r="AB88">
        <v>1784073600000</v>
      </c>
      <c r="AC88">
        <v>32.29</v>
      </c>
      <c r="AD88" s="6"/>
      <c r="AE88">
        <v>1784160000000</v>
      </c>
      <c r="AF88">
        <v>39.619999999999997</v>
      </c>
      <c r="AH88">
        <v>1784160000000</v>
      </c>
      <c r="AI88">
        <v>29.76</v>
      </c>
      <c r="AJ88" s="6"/>
    </row>
    <row r="89" spans="1:36">
      <c r="A89">
        <v>1778026500000</v>
      </c>
      <c r="B89">
        <v>23.78</v>
      </c>
      <c r="D89">
        <v>1778026500000</v>
      </c>
      <c r="E89">
        <v>26.55</v>
      </c>
      <c r="F89" s="6"/>
      <c r="G89">
        <v>1778112900000</v>
      </c>
      <c r="H89">
        <v>28.89</v>
      </c>
      <c r="J89">
        <v>1778112900000</v>
      </c>
      <c r="K89">
        <v>30.09</v>
      </c>
      <c r="L89" s="6"/>
      <c r="M89">
        <v>1779149700000</v>
      </c>
      <c r="N89">
        <v>26.48</v>
      </c>
      <c r="P89">
        <v>1779149700000</v>
      </c>
      <c r="Q89">
        <v>30.37</v>
      </c>
      <c r="R89" s="6"/>
      <c r="S89">
        <v>1782260100000</v>
      </c>
      <c r="T89">
        <v>23.35</v>
      </c>
      <c r="V89">
        <v>1782260100000</v>
      </c>
      <c r="W89">
        <v>25.17</v>
      </c>
      <c r="X89" s="6"/>
      <c r="Y89">
        <v>1784074500000</v>
      </c>
      <c r="Z89">
        <v>25.49</v>
      </c>
      <c r="AB89">
        <v>1784074500000</v>
      </c>
      <c r="AC89">
        <v>26.73</v>
      </c>
      <c r="AD89" s="6"/>
      <c r="AE89">
        <v>1784160900000</v>
      </c>
      <c r="AF89">
        <v>24.68</v>
      </c>
      <c r="AH89">
        <v>1784160900000</v>
      </c>
      <c r="AI89">
        <v>23.43</v>
      </c>
      <c r="AJ89" s="6"/>
    </row>
    <row r="90" spans="1:36">
      <c r="A90">
        <v>1778027400000</v>
      </c>
      <c r="B90">
        <v>17.71</v>
      </c>
      <c r="D90">
        <v>1778027400000</v>
      </c>
      <c r="E90">
        <v>23.51</v>
      </c>
      <c r="F90" s="6"/>
      <c r="G90">
        <v>1778113800000</v>
      </c>
      <c r="H90">
        <v>30.14</v>
      </c>
      <c r="J90">
        <v>1778113800000</v>
      </c>
      <c r="K90">
        <v>30.34</v>
      </c>
      <c r="L90" s="6"/>
      <c r="M90">
        <v>1779150600000</v>
      </c>
      <c r="N90">
        <v>27.16</v>
      </c>
      <c r="P90">
        <v>1779150600000</v>
      </c>
      <c r="Q90">
        <v>26.95</v>
      </c>
      <c r="R90" s="6"/>
      <c r="S90">
        <v>1782261000000</v>
      </c>
      <c r="T90">
        <v>20.37</v>
      </c>
      <c r="V90">
        <v>1782261000000</v>
      </c>
      <c r="W90">
        <v>25.54</v>
      </c>
      <c r="X90" s="6"/>
      <c r="Y90">
        <v>1784075400000</v>
      </c>
      <c r="Z90">
        <v>21.25</v>
      </c>
      <c r="AB90">
        <v>1784075400000</v>
      </c>
      <c r="AC90">
        <v>26.7</v>
      </c>
      <c r="AD90" s="6"/>
      <c r="AE90">
        <v>1784161800000</v>
      </c>
      <c r="AF90">
        <v>26.31</v>
      </c>
      <c r="AH90">
        <v>1784161800000</v>
      </c>
      <c r="AI90">
        <v>25.6</v>
      </c>
      <c r="AJ90" s="6"/>
    </row>
    <row r="91" spans="1:36">
      <c r="A91">
        <v>1778028300000</v>
      </c>
      <c r="B91">
        <v>20.92</v>
      </c>
      <c r="D91">
        <v>1778028300000</v>
      </c>
      <c r="E91">
        <v>25.79</v>
      </c>
      <c r="F91" s="6"/>
      <c r="G91">
        <v>1778114700000</v>
      </c>
      <c r="H91">
        <v>22.36</v>
      </c>
      <c r="J91">
        <v>1778114700000</v>
      </c>
      <c r="K91">
        <v>27.98</v>
      </c>
      <c r="L91" s="6"/>
      <c r="M91">
        <v>1779151500000</v>
      </c>
      <c r="N91">
        <v>26.69</v>
      </c>
      <c r="P91">
        <v>1779151500000</v>
      </c>
      <c r="Q91">
        <v>32.61</v>
      </c>
      <c r="R91" s="6"/>
      <c r="S91">
        <v>1782261900000</v>
      </c>
      <c r="T91">
        <v>18.41</v>
      </c>
      <c r="V91">
        <v>1782261900000</v>
      </c>
      <c r="W91">
        <v>37.21</v>
      </c>
      <c r="X91" s="6"/>
      <c r="Y91">
        <v>1784076300000</v>
      </c>
      <c r="Z91">
        <v>16.75</v>
      </c>
      <c r="AB91">
        <v>1784076300000</v>
      </c>
      <c r="AC91">
        <v>20.57</v>
      </c>
      <c r="AD91" s="6"/>
      <c r="AE91">
        <v>1784162700000</v>
      </c>
      <c r="AF91">
        <v>20.64</v>
      </c>
      <c r="AH91">
        <v>1784162700000</v>
      </c>
      <c r="AI91">
        <v>30.67</v>
      </c>
      <c r="AJ91" s="6"/>
    </row>
    <row r="92" spans="1:36">
      <c r="A92">
        <v>1778029200000</v>
      </c>
      <c r="B92">
        <v>19.399999999999999</v>
      </c>
      <c r="D92">
        <v>1778029200000</v>
      </c>
      <c r="E92">
        <v>36.35</v>
      </c>
      <c r="F92" s="6"/>
      <c r="G92">
        <v>1778115600000</v>
      </c>
      <c r="H92">
        <v>22.76</v>
      </c>
      <c r="J92">
        <v>1778115600000</v>
      </c>
      <c r="K92">
        <v>31.49</v>
      </c>
      <c r="L92" s="6"/>
      <c r="M92">
        <v>1779152400000</v>
      </c>
      <c r="N92">
        <v>23.76</v>
      </c>
      <c r="P92">
        <v>1779152400000</v>
      </c>
      <c r="Q92">
        <v>36.450000000000003</v>
      </c>
      <c r="R92" s="6"/>
      <c r="S92">
        <v>1782262800000</v>
      </c>
      <c r="T92">
        <v>22.5</v>
      </c>
      <c r="V92">
        <v>1782262800000</v>
      </c>
      <c r="W92">
        <v>41.5</v>
      </c>
      <c r="X92" s="6"/>
      <c r="Y92">
        <v>1784077200000</v>
      </c>
      <c r="Z92">
        <v>17.84</v>
      </c>
      <c r="AB92">
        <v>1784077200000</v>
      </c>
      <c r="AC92">
        <v>35.229999999999997</v>
      </c>
      <c r="AD92" s="6"/>
      <c r="AE92">
        <v>1784163600000</v>
      </c>
      <c r="AF92">
        <v>17.260000000000002</v>
      </c>
      <c r="AH92">
        <v>1784163600000</v>
      </c>
      <c r="AI92">
        <v>36.5</v>
      </c>
      <c r="AJ92" s="6"/>
    </row>
    <row r="93" spans="1:36">
      <c r="A93">
        <v>1778030100000</v>
      </c>
      <c r="B93">
        <v>18.14</v>
      </c>
      <c r="D93">
        <v>1778030100000</v>
      </c>
      <c r="E93">
        <v>33.18</v>
      </c>
      <c r="F93" s="6"/>
      <c r="G93">
        <v>1778116500000</v>
      </c>
      <c r="H93">
        <v>19.920000000000002</v>
      </c>
      <c r="J93">
        <v>1778116500000</v>
      </c>
      <c r="K93">
        <v>38.96</v>
      </c>
      <c r="L93" s="6"/>
      <c r="M93">
        <v>1779153300000</v>
      </c>
      <c r="N93">
        <v>23.96</v>
      </c>
      <c r="P93">
        <v>1779153300000</v>
      </c>
      <c r="Q93">
        <v>27.94</v>
      </c>
      <c r="R93" s="6"/>
      <c r="S93">
        <v>1782263700000</v>
      </c>
      <c r="T93">
        <v>15.45</v>
      </c>
      <c r="V93">
        <v>1782263700000</v>
      </c>
      <c r="W93">
        <v>39.69</v>
      </c>
      <c r="X93" s="6"/>
      <c r="Y93">
        <v>1784078100000</v>
      </c>
      <c r="Z93">
        <v>12.85</v>
      </c>
      <c r="AB93">
        <v>1784078100000</v>
      </c>
      <c r="AC93">
        <v>36.42</v>
      </c>
      <c r="AD93" s="6"/>
      <c r="AE93">
        <v>1784164500000</v>
      </c>
      <c r="AF93">
        <v>13.85</v>
      </c>
      <c r="AH93">
        <v>1784164500000</v>
      </c>
      <c r="AI93">
        <v>32.19</v>
      </c>
      <c r="AJ93" s="6"/>
    </row>
    <row r="94" spans="1:36">
      <c r="A94">
        <v>1778031000000</v>
      </c>
      <c r="B94">
        <v>17.07</v>
      </c>
      <c r="D94">
        <v>1778031000000</v>
      </c>
      <c r="E94">
        <v>30.35</v>
      </c>
      <c r="F94" s="6"/>
      <c r="G94">
        <v>1778117400000</v>
      </c>
      <c r="H94">
        <v>19.71</v>
      </c>
      <c r="J94">
        <v>1778117400000</v>
      </c>
      <c r="K94">
        <v>35.81</v>
      </c>
      <c r="L94" s="6"/>
      <c r="M94">
        <v>1779154200000</v>
      </c>
      <c r="N94">
        <v>19.5</v>
      </c>
      <c r="P94">
        <v>1779154200000</v>
      </c>
      <c r="Q94">
        <v>34.39</v>
      </c>
      <c r="R94" s="6"/>
      <c r="S94">
        <v>1782264600000</v>
      </c>
      <c r="T94">
        <v>18.02</v>
      </c>
      <c r="V94">
        <v>1782264600000</v>
      </c>
      <c r="W94">
        <v>44.49</v>
      </c>
      <c r="X94" s="6"/>
      <c r="Y94">
        <v>1784079000000</v>
      </c>
      <c r="Z94">
        <v>10.92</v>
      </c>
      <c r="AB94">
        <v>1784079000000</v>
      </c>
      <c r="AC94">
        <v>35.700000000000003</v>
      </c>
      <c r="AD94" s="6"/>
      <c r="AE94">
        <v>1784165400000</v>
      </c>
      <c r="AF94">
        <v>28.9</v>
      </c>
      <c r="AH94">
        <v>1784165400000</v>
      </c>
      <c r="AI94">
        <v>40.79</v>
      </c>
      <c r="AJ94" s="6"/>
    </row>
    <row r="95" spans="1:36">
      <c r="A95">
        <v>1778031900000</v>
      </c>
      <c r="B95">
        <v>22.23</v>
      </c>
      <c r="D95">
        <v>1778031900000</v>
      </c>
      <c r="E95">
        <v>35.74</v>
      </c>
      <c r="F95" s="6"/>
      <c r="G95">
        <v>1778118300000</v>
      </c>
      <c r="H95">
        <v>20.93</v>
      </c>
      <c r="J95">
        <v>1778118300000</v>
      </c>
      <c r="K95">
        <v>36.67</v>
      </c>
      <c r="L95" s="6"/>
      <c r="M95">
        <v>1779155100000</v>
      </c>
      <c r="N95">
        <v>19.14</v>
      </c>
      <c r="P95">
        <v>1779155100000</v>
      </c>
      <c r="Q95">
        <v>29.58</v>
      </c>
      <c r="R95" s="6"/>
      <c r="S95">
        <v>1782265500000</v>
      </c>
      <c r="T95">
        <v>15.19</v>
      </c>
      <c r="V95">
        <v>1782265500000</v>
      </c>
      <c r="W95">
        <v>32.39</v>
      </c>
      <c r="X95" s="6"/>
      <c r="Y95">
        <v>1784079900000</v>
      </c>
      <c r="Z95">
        <v>14.56</v>
      </c>
      <c r="AB95">
        <v>1784079900000</v>
      </c>
      <c r="AC95">
        <v>31.82</v>
      </c>
      <c r="AD95" s="6"/>
      <c r="AE95">
        <v>1784166300000</v>
      </c>
      <c r="AF95">
        <v>16.239999999999998</v>
      </c>
      <c r="AH95">
        <v>1784166300000</v>
      </c>
      <c r="AI95">
        <v>39.28</v>
      </c>
      <c r="AJ95" s="6"/>
    </row>
    <row r="96" spans="1:36">
      <c r="A96">
        <v>1778032800000</v>
      </c>
      <c r="B96">
        <v>22.15</v>
      </c>
      <c r="D96">
        <v>1778032800000</v>
      </c>
      <c r="E96">
        <v>35.24</v>
      </c>
      <c r="F96" s="6"/>
      <c r="G96">
        <v>1778119200000</v>
      </c>
      <c r="H96">
        <v>21.06</v>
      </c>
      <c r="J96">
        <v>1778119200000</v>
      </c>
      <c r="K96">
        <v>34.21</v>
      </c>
      <c r="L96" s="6"/>
      <c r="M96">
        <v>1779156000000</v>
      </c>
      <c r="N96">
        <v>22.51</v>
      </c>
      <c r="P96">
        <v>1779156000000</v>
      </c>
      <c r="Q96">
        <v>30.49</v>
      </c>
      <c r="R96" s="6"/>
      <c r="S96">
        <v>1782266400000</v>
      </c>
      <c r="T96">
        <v>11.78</v>
      </c>
      <c r="V96">
        <v>1782266400000</v>
      </c>
      <c r="W96">
        <v>31.74</v>
      </c>
      <c r="X96" s="6"/>
      <c r="Y96">
        <v>1784080800000</v>
      </c>
      <c r="Z96">
        <v>12.12</v>
      </c>
      <c r="AB96">
        <v>1784080800000</v>
      </c>
      <c r="AC96">
        <v>33.03</v>
      </c>
      <c r="AD96" s="6"/>
      <c r="AE96">
        <v>1784167200000</v>
      </c>
      <c r="AF96">
        <v>19.79</v>
      </c>
      <c r="AH96">
        <v>1784167200000</v>
      </c>
      <c r="AI96">
        <v>38.61</v>
      </c>
      <c r="AJ96" s="6"/>
    </row>
    <row r="97" spans="1:36">
      <c r="A97">
        <v>1778033700000</v>
      </c>
      <c r="B97">
        <v>22.34</v>
      </c>
      <c r="D97">
        <v>1778033700000</v>
      </c>
      <c r="E97">
        <v>33.6</v>
      </c>
      <c r="F97" s="6"/>
      <c r="G97">
        <v>1778120100000</v>
      </c>
      <c r="H97">
        <v>21.63</v>
      </c>
      <c r="J97">
        <v>1778120100000</v>
      </c>
      <c r="K97">
        <v>33.79</v>
      </c>
      <c r="L97" s="6"/>
      <c r="M97">
        <v>1779156900000</v>
      </c>
      <c r="N97">
        <v>24.35</v>
      </c>
      <c r="P97">
        <v>1779156900000</v>
      </c>
      <c r="Q97">
        <v>28.2</v>
      </c>
      <c r="R97" s="6"/>
      <c r="S97">
        <v>1782267300000</v>
      </c>
      <c r="T97">
        <v>14.23</v>
      </c>
      <c r="V97">
        <v>1782267300000</v>
      </c>
      <c r="W97">
        <v>30.8</v>
      </c>
      <c r="X97" s="6"/>
      <c r="Y97">
        <v>1784081700000</v>
      </c>
      <c r="Z97">
        <v>12.43</v>
      </c>
      <c r="AB97">
        <v>1784081700000</v>
      </c>
      <c r="AC97">
        <v>29.49</v>
      </c>
      <c r="AD97" s="6"/>
      <c r="AE97">
        <v>1784168100000</v>
      </c>
      <c r="AF97">
        <v>18.61</v>
      </c>
      <c r="AH97">
        <v>1784168100000</v>
      </c>
      <c r="AI97">
        <v>36.14</v>
      </c>
      <c r="AJ97" s="6"/>
    </row>
    <row r="98" spans="1:36">
      <c r="A98">
        <v>1778034600000</v>
      </c>
      <c r="B98">
        <v>20.37</v>
      </c>
      <c r="D98">
        <v>1778034600000</v>
      </c>
      <c r="E98">
        <v>32.15</v>
      </c>
      <c r="F98" s="6"/>
      <c r="G98">
        <v>1778121000000</v>
      </c>
      <c r="H98">
        <v>19</v>
      </c>
      <c r="J98">
        <v>1778121000000</v>
      </c>
      <c r="K98">
        <v>35.840000000000003</v>
      </c>
      <c r="L98" s="6"/>
      <c r="M98">
        <v>1779157800000</v>
      </c>
      <c r="N98">
        <v>20.56</v>
      </c>
      <c r="P98">
        <v>1779157800000</v>
      </c>
      <c r="Q98">
        <v>31.09</v>
      </c>
      <c r="R98" s="6"/>
      <c r="S98">
        <v>1782268200000</v>
      </c>
      <c r="T98">
        <v>15.56</v>
      </c>
      <c r="V98">
        <v>1782268200000</v>
      </c>
      <c r="W98">
        <v>34.03</v>
      </c>
      <c r="X98" s="6"/>
      <c r="Y98">
        <v>1784082600000</v>
      </c>
      <c r="Z98">
        <v>16.559999999999999</v>
      </c>
      <c r="AB98">
        <v>1784082600000</v>
      </c>
      <c r="AC98">
        <v>31.51</v>
      </c>
      <c r="AD98" s="6"/>
      <c r="AE98">
        <v>1784169000000</v>
      </c>
      <c r="AF98">
        <v>15.35</v>
      </c>
      <c r="AH98">
        <v>1784169000000</v>
      </c>
      <c r="AI98">
        <v>34.020000000000003</v>
      </c>
      <c r="AJ98" s="6"/>
    </row>
    <row r="99" spans="1:36">
      <c r="A99">
        <v>1778035500000</v>
      </c>
      <c r="B99">
        <v>18.2</v>
      </c>
      <c r="D99">
        <v>1778035500000</v>
      </c>
      <c r="E99">
        <v>31.25</v>
      </c>
      <c r="F99" s="6"/>
      <c r="G99">
        <v>1778121900000</v>
      </c>
      <c r="H99">
        <v>20.54</v>
      </c>
      <c r="J99">
        <v>1778121900000</v>
      </c>
      <c r="K99">
        <v>34.36</v>
      </c>
      <c r="L99" s="6"/>
      <c r="M99">
        <v>1779158700000</v>
      </c>
      <c r="N99">
        <v>17.62</v>
      </c>
      <c r="P99">
        <v>1779158700000</v>
      </c>
      <c r="Q99">
        <v>31</v>
      </c>
      <c r="R99" s="6"/>
      <c r="S99">
        <v>1782269100000</v>
      </c>
      <c r="T99">
        <v>18.97</v>
      </c>
      <c r="V99">
        <v>1782269100000</v>
      </c>
      <c r="W99">
        <v>38.25</v>
      </c>
      <c r="X99" s="6"/>
      <c r="Y99">
        <v>1784083500000</v>
      </c>
      <c r="Z99">
        <v>11.59</v>
      </c>
      <c r="AB99">
        <v>1784083500000</v>
      </c>
      <c r="AC99">
        <v>28.35</v>
      </c>
      <c r="AD99" s="6"/>
      <c r="AE99">
        <v>1784169900000</v>
      </c>
      <c r="AF99">
        <v>14.42</v>
      </c>
      <c r="AH99">
        <v>1784169900000</v>
      </c>
      <c r="AI99">
        <v>32.47</v>
      </c>
      <c r="AJ99" s="6"/>
    </row>
    <row r="100" spans="1:36">
      <c r="A100">
        <v>1778036400000</v>
      </c>
      <c r="B100">
        <v>22.81</v>
      </c>
      <c r="D100">
        <v>1778036400000</v>
      </c>
      <c r="E100">
        <v>29.5</v>
      </c>
      <c r="F100" s="6"/>
      <c r="G100">
        <v>1778122800000</v>
      </c>
      <c r="H100">
        <v>23.76</v>
      </c>
      <c r="J100">
        <v>1778122800000</v>
      </c>
      <c r="K100">
        <v>34.1</v>
      </c>
      <c r="L100" s="6"/>
      <c r="M100">
        <v>1779159600000</v>
      </c>
      <c r="N100">
        <v>18.52</v>
      </c>
      <c r="P100">
        <v>1779159600000</v>
      </c>
      <c r="Q100">
        <v>23.76</v>
      </c>
      <c r="R100" s="6"/>
      <c r="S100">
        <v>1782270000000</v>
      </c>
      <c r="T100">
        <v>16.46</v>
      </c>
      <c r="V100">
        <v>1782270000000</v>
      </c>
      <c r="W100">
        <v>30.69</v>
      </c>
      <c r="X100" s="6"/>
      <c r="Y100">
        <v>1784084400000</v>
      </c>
      <c r="Z100">
        <v>13.09</v>
      </c>
      <c r="AB100">
        <v>1784084400000</v>
      </c>
      <c r="AC100">
        <v>29.81</v>
      </c>
      <c r="AD100" s="6"/>
      <c r="AE100">
        <v>1784170800000</v>
      </c>
      <c r="AF100">
        <v>18.559999999999999</v>
      </c>
      <c r="AH100">
        <v>1784170800000</v>
      </c>
      <c r="AI100">
        <v>30.17</v>
      </c>
      <c r="AJ100" s="6"/>
    </row>
    <row r="101" spans="1:36">
      <c r="A101">
        <v>1778037300000</v>
      </c>
      <c r="B101">
        <v>21.72</v>
      </c>
      <c r="D101">
        <v>1778037300000</v>
      </c>
      <c r="E101">
        <v>30.48</v>
      </c>
      <c r="F101" s="6"/>
      <c r="G101">
        <v>1778123700000</v>
      </c>
      <c r="H101">
        <v>17.46</v>
      </c>
      <c r="J101">
        <v>1778123700000</v>
      </c>
      <c r="K101">
        <v>28.4</v>
      </c>
      <c r="L101" s="6"/>
      <c r="M101">
        <v>1779160500000</v>
      </c>
      <c r="N101">
        <v>16.95</v>
      </c>
      <c r="P101">
        <v>1779160500000</v>
      </c>
      <c r="Q101">
        <v>23.45</v>
      </c>
      <c r="R101" s="6"/>
      <c r="S101">
        <v>1782270900000</v>
      </c>
      <c r="T101">
        <v>15.83</v>
      </c>
      <c r="V101">
        <v>1782270900000</v>
      </c>
      <c r="W101">
        <v>28.5</v>
      </c>
      <c r="X101" s="6"/>
      <c r="Y101">
        <v>1784085300000</v>
      </c>
      <c r="Z101">
        <v>18.010000000000002</v>
      </c>
      <c r="AB101">
        <v>1784085300000</v>
      </c>
      <c r="AC101">
        <v>29.7</v>
      </c>
      <c r="AD101" s="6"/>
      <c r="AE101">
        <v>1784171700000</v>
      </c>
      <c r="AF101">
        <v>19.96</v>
      </c>
      <c r="AH101">
        <v>1784171700000</v>
      </c>
      <c r="AI101">
        <v>30.56</v>
      </c>
      <c r="AJ101" s="6"/>
    </row>
    <row r="102" spans="1:36">
      <c r="A102">
        <v>1778038200000</v>
      </c>
      <c r="B102">
        <v>16.899999999999999</v>
      </c>
      <c r="D102">
        <v>1778038200000</v>
      </c>
      <c r="E102">
        <v>23.97</v>
      </c>
      <c r="F102" s="6"/>
      <c r="G102">
        <v>1778124600000</v>
      </c>
      <c r="H102">
        <v>19.34</v>
      </c>
      <c r="J102">
        <v>1778124600000</v>
      </c>
      <c r="K102">
        <v>30.2</v>
      </c>
      <c r="L102" s="6"/>
      <c r="M102">
        <v>1779161400000</v>
      </c>
      <c r="N102">
        <v>15.97</v>
      </c>
      <c r="P102">
        <v>1779161400000</v>
      </c>
      <c r="Q102">
        <v>21.29</v>
      </c>
      <c r="R102" s="6"/>
      <c r="S102">
        <v>1782271800000</v>
      </c>
      <c r="T102">
        <v>15.95</v>
      </c>
      <c r="V102">
        <v>1782271800000</v>
      </c>
      <c r="W102">
        <v>26.78</v>
      </c>
      <c r="X102" s="6"/>
      <c r="Y102">
        <v>1784086200000</v>
      </c>
      <c r="Z102">
        <v>14.38</v>
      </c>
      <c r="AB102">
        <v>1784086200000</v>
      </c>
      <c r="AC102">
        <v>23.52</v>
      </c>
      <c r="AD102" s="6"/>
      <c r="AE102">
        <v>1784172600000</v>
      </c>
      <c r="AF102">
        <v>17.739999999999998</v>
      </c>
      <c r="AH102">
        <v>1784172600000</v>
      </c>
      <c r="AI102">
        <v>25.84</v>
      </c>
      <c r="AJ102" s="6"/>
    </row>
    <row r="103" spans="1:36">
      <c r="A103">
        <v>1778039100000</v>
      </c>
      <c r="B103">
        <v>15.14</v>
      </c>
      <c r="D103">
        <v>1778039100000</v>
      </c>
      <c r="E103">
        <v>15.88</v>
      </c>
      <c r="F103" s="6"/>
      <c r="G103">
        <v>1778125500000</v>
      </c>
      <c r="H103">
        <v>19.86</v>
      </c>
      <c r="J103">
        <v>1778125500000</v>
      </c>
      <c r="K103">
        <v>24.66</v>
      </c>
      <c r="L103" s="6"/>
      <c r="M103">
        <v>1779162300000</v>
      </c>
      <c r="N103">
        <v>21.08</v>
      </c>
      <c r="P103">
        <v>1779162300000</v>
      </c>
      <c r="Q103">
        <v>21.9</v>
      </c>
      <c r="R103" s="6"/>
      <c r="S103">
        <v>1782272700000</v>
      </c>
      <c r="T103">
        <v>19.36</v>
      </c>
      <c r="V103">
        <v>1782272700000</v>
      </c>
      <c r="W103">
        <v>24.26</v>
      </c>
      <c r="X103" s="6"/>
      <c r="Y103">
        <v>1784087100000</v>
      </c>
      <c r="Z103">
        <v>14.46</v>
      </c>
      <c r="AB103">
        <v>1784087100000</v>
      </c>
      <c r="AC103">
        <v>18.989999999999998</v>
      </c>
      <c r="AD103" s="6"/>
      <c r="AE103">
        <v>1784173500000</v>
      </c>
      <c r="AF103">
        <v>18.66</v>
      </c>
      <c r="AH103">
        <v>1784173500000</v>
      </c>
      <c r="AI103">
        <v>24.01</v>
      </c>
      <c r="AJ103" s="6"/>
    </row>
    <row r="104" spans="1:36">
      <c r="A104">
        <v>1778040000000</v>
      </c>
      <c r="B104">
        <v>23.7</v>
      </c>
      <c r="D104">
        <v>1778040000000</v>
      </c>
      <c r="E104">
        <v>25.83</v>
      </c>
      <c r="F104" s="6"/>
      <c r="G104">
        <v>1778126400000</v>
      </c>
      <c r="H104">
        <v>16.920000000000002</v>
      </c>
      <c r="J104">
        <v>1778126400000</v>
      </c>
      <c r="K104">
        <v>20.54</v>
      </c>
      <c r="L104" s="6"/>
      <c r="M104">
        <v>1779163200000</v>
      </c>
      <c r="N104">
        <v>22.28</v>
      </c>
      <c r="P104">
        <v>1779163200000</v>
      </c>
      <c r="Q104">
        <v>21.84</v>
      </c>
      <c r="R104" s="6"/>
      <c r="S104">
        <v>1782273600000</v>
      </c>
      <c r="T104">
        <v>20.47</v>
      </c>
      <c r="V104">
        <v>1782273600000</v>
      </c>
      <c r="W104">
        <v>24.18</v>
      </c>
      <c r="X104" s="6"/>
      <c r="Y104">
        <v>1784088000000</v>
      </c>
      <c r="Z104">
        <v>18.07</v>
      </c>
      <c r="AB104">
        <v>1784088000000</v>
      </c>
      <c r="AC104">
        <v>24.43</v>
      </c>
      <c r="AD104" s="6"/>
      <c r="AE104">
        <v>1784174400000</v>
      </c>
      <c r="AF104">
        <v>21.84</v>
      </c>
      <c r="AH104">
        <v>1784174400000</v>
      </c>
      <c r="AI104">
        <v>20.9</v>
      </c>
      <c r="AJ104" s="6"/>
    </row>
    <row r="105" spans="1:36">
      <c r="A105">
        <v>1778040900000</v>
      </c>
      <c r="B105">
        <v>13.46</v>
      </c>
      <c r="D105">
        <v>1778040900000</v>
      </c>
      <c r="E105">
        <v>15.48</v>
      </c>
      <c r="F105" s="6"/>
      <c r="G105">
        <v>1778127300000</v>
      </c>
      <c r="H105">
        <v>13.24</v>
      </c>
      <c r="J105">
        <v>1778127300000</v>
      </c>
      <c r="K105">
        <v>17.98</v>
      </c>
      <c r="L105" s="6"/>
      <c r="M105">
        <v>1779164100000</v>
      </c>
      <c r="N105">
        <v>15.97</v>
      </c>
      <c r="P105">
        <v>1779164100000</v>
      </c>
      <c r="Q105">
        <v>17.78</v>
      </c>
      <c r="R105" s="6"/>
      <c r="S105">
        <v>1782274500000</v>
      </c>
      <c r="T105">
        <v>15.21</v>
      </c>
      <c r="V105">
        <v>1782274500000</v>
      </c>
      <c r="W105">
        <v>24.64</v>
      </c>
      <c r="X105" s="6"/>
      <c r="Y105">
        <v>1784088900000</v>
      </c>
      <c r="Z105">
        <v>13.39</v>
      </c>
      <c r="AB105">
        <v>1784088900000</v>
      </c>
      <c r="AC105">
        <v>17.7</v>
      </c>
      <c r="AD105" s="6"/>
      <c r="AE105">
        <v>1784175300000</v>
      </c>
      <c r="AF105">
        <v>10.36</v>
      </c>
      <c r="AH105">
        <v>1784175300000</v>
      </c>
      <c r="AI105">
        <v>16.39</v>
      </c>
      <c r="AJ105" s="6"/>
    </row>
    <row r="106" spans="1:36">
      <c r="A106">
        <v>1778041800000</v>
      </c>
      <c r="B106">
        <v>15.13</v>
      </c>
      <c r="D106">
        <v>1778041800000</v>
      </c>
      <c r="E106">
        <v>15.57</v>
      </c>
      <c r="F106" s="6"/>
      <c r="G106">
        <v>1778128200000</v>
      </c>
      <c r="H106">
        <v>17.489999999999998</v>
      </c>
      <c r="J106">
        <v>1778128200000</v>
      </c>
      <c r="K106">
        <v>22.84</v>
      </c>
      <c r="L106" s="6"/>
      <c r="M106">
        <v>1779165000000</v>
      </c>
      <c r="N106">
        <v>13.32</v>
      </c>
      <c r="P106">
        <v>1779165000000</v>
      </c>
      <c r="Q106">
        <v>14.02</v>
      </c>
      <c r="R106" s="6"/>
      <c r="S106">
        <v>1782275400000</v>
      </c>
      <c r="T106">
        <v>16.39</v>
      </c>
      <c r="V106">
        <v>1782275400000</v>
      </c>
      <c r="W106">
        <v>25.08</v>
      </c>
      <c r="X106" s="6"/>
      <c r="Y106">
        <v>1784089800000</v>
      </c>
      <c r="Z106">
        <v>11.21</v>
      </c>
      <c r="AB106">
        <v>1784089800000</v>
      </c>
      <c r="AC106">
        <v>16.32</v>
      </c>
      <c r="AD106" s="6"/>
      <c r="AE106">
        <v>1784176200000</v>
      </c>
      <c r="AF106">
        <v>16.399999999999999</v>
      </c>
      <c r="AH106">
        <v>1784176200000</v>
      </c>
      <c r="AI106">
        <v>16.96</v>
      </c>
      <c r="AJ106" s="6"/>
    </row>
    <row r="107" spans="1:36">
      <c r="A107">
        <v>1778042700000</v>
      </c>
      <c r="B107">
        <v>6.04</v>
      </c>
      <c r="D107">
        <v>1778042700000</v>
      </c>
      <c r="E107">
        <v>10.6</v>
      </c>
      <c r="F107" s="6"/>
      <c r="G107">
        <v>1778129100000</v>
      </c>
      <c r="H107">
        <v>15.86</v>
      </c>
      <c r="J107">
        <v>1778129100000</v>
      </c>
      <c r="K107">
        <v>18.82</v>
      </c>
      <c r="L107" s="6"/>
      <c r="M107">
        <v>1779165900000</v>
      </c>
      <c r="N107">
        <v>11.72</v>
      </c>
      <c r="P107">
        <v>1779165900000</v>
      </c>
      <c r="Q107">
        <v>16.64</v>
      </c>
      <c r="R107" s="6"/>
      <c r="S107">
        <v>1782276300000</v>
      </c>
      <c r="T107">
        <v>12.83</v>
      </c>
      <c r="V107">
        <v>1782276300000</v>
      </c>
      <c r="W107">
        <v>12.05</v>
      </c>
      <c r="X107" s="6"/>
      <c r="Y107">
        <v>1784090700000</v>
      </c>
      <c r="Z107">
        <v>10.78</v>
      </c>
      <c r="AB107">
        <v>1784090700000</v>
      </c>
      <c r="AC107">
        <v>20.98</v>
      </c>
      <c r="AD107" s="6"/>
      <c r="AE107">
        <v>1784177100000</v>
      </c>
      <c r="AF107">
        <v>12.02</v>
      </c>
      <c r="AH107">
        <v>1784177100000</v>
      </c>
      <c r="AI107">
        <v>13.98</v>
      </c>
      <c r="AJ107" s="6"/>
    </row>
    <row r="108" spans="1:36">
      <c r="A108">
        <v>1778043600000</v>
      </c>
      <c r="B108">
        <v>10.95</v>
      </c>
      <c r="D108">
        <v>1778043600000</v>
      </c>
      <c r="E108">
        <v>11.5</v>
      </c>
      <c r="F108" s="6"/>
      <c r="G108">
        <v>1778130000000</v>
      </c>
      <c r="H108">
        <v>11.62</v>
      </c>
      <c r="J108">
        <v>1778130000000</v>
      </c>
      <c r="K108">
        <v>13.63</v>
      </c>
      <c r="L108" s="6"/>
      <c r="M108">
        <v>1779166800000</v>
      </c>
      <c r="N108">
        <v>10.15</v>
      </c>
      <c r="P108">
        <v>1779166800000</v>
      </c>
      <c r="Q108">
        <v>17.010000000000002</v>
      </c>
      <c r="R108" s="6"/>
      <c r="S108">
        <v>1782277200000</v>
      </c>
      <c r="T108">
        <v>14.56</v>
      </c>
      <c r="V108">
        <v>1782277200000</v>
      </c>
      <c r="W108">
        <v>16.86</v>
      </c>
      <c r="X108" s="6"/>
      <c r="Y108">
        <v>1784091600000</v>
      </c>
      <c r="Z108">
        <v>9.0299999999999994</v>
      </c>
      <c r="AB108">
        <v>1784091600000</v>
      </c>
      <c r="AC108">
        <v>11.75</v>
      </c>
      <c r="AD108" s="6"/>
      <c r="AE108">
        <v>1784178000000</v>
      </c>
      <c r="AF108">
        <v>11.13</v>
      </c>
      <c r="AH108">
        <v>1784178000000</v>
      </c>
      <c r="AI108">
        <v>18.82</v>
      </c>
      <c r="AJ108" s="6"/>
    </row>
    <row r="109" spans="1:36">
      <c r="A109">
        <v>1778044500000</v>
      </c>
      <c r="B109">
        <v>9.19</v>
      </c>
      <c r="D109">
        <v>1778044500000</v>
      </c>
      <c r="E109">
        <v>13.15</v>
      </c>
      <c r="F109" s="6"/>
      <c r="G109">
        <v>1778130900000</v>
      </c>
      <c r="H109">
        <v>12.68</v>
      </c>
      <c r="J109">
        <v>1778130900000</v>
      </c>
      <c r="K109">
        <v>13</v>
      </c>
      <c r="L109" s="6"/>
      <c r="M109">
        <v>1779167700000</v>
      </c>
      <c r="N109">
        <v>8.44</v>
      </c>
      <c r="P109">
        <v>1779167700000</v>
      </c>
      <c r="Q109">
        <v>12.96</v>
      </c>
      <c r="R109" s="6"/>
      <c r="S109">
        <v>1782278100000</v>
      </c>
      <c r="T109">
        <v>12.21</v>
      </c>
      <c r="V109">
        <v>1782278100000</v>
      </c>
      <c r="W109">
        <v>16.54</v>
      </c>
      <c r="X109" s="6"/>
      <c r="Y109">
        <v>1784092500000</v>
      </c>
      <c r="Z109">
        <v>12.09</v>
      </c>
      <c r="AB109">
        <v>1784092500000</v>
      </c>
      <c r="AC109">
        <v>14.21</v>
      </c>
      <c r="AD109" s="6"/>
      <c r="AE109">
        <v>1784178900000</v>
      </c>
      <c r="AF109">
        <v>13.8</v>
      </c>
      <c r="AH109">
        <v>1784178900000</v>
      </c>
      <c r="AI109">
        <v>16.940000000000001</v>
      </c>
      <c r="AJ109" s="6"/>
    </row>
    <row r="110" spans="1:36">
      <c r="A110">
        <v>1778045400000</v>
      </c>
      <c r="B110">
        <v>7.63</v>
      </c>
      <c r="D110">
        <v>1778045400000</v>
      </c>
      <c r="E110">
        <v>10.56</v>
      </c>
      <c r="F110" s="6"/>
      <c r="G110">
        <v>1778131800000</v>
      </c>
      <c r="H110">
        <v>8.66</v>
      </c>
      <c r="J110">
        <v>1778131800000</v>
      </c>
      <c r="K110">
        <v>11.8</v>
      </c>
      <c r="L110" s="6"/>
      <c r="M110">
        <v>1779168600000</v>
      </c>
      <c r="N110">
        <v>7.02</v>
      </c>
      <c r="P110">
        <v>1779168600000</v>
      </c>
      <c r="Q110">
        <v>8.9499999999999993</v>
      </c>
      <c r="R110" s="6"/>
      <c r="S110">
        <v>1782279000000</v>
      </c>
      <c r="T110">
        <v>12.4</v>
      </c>
      <c r="V110">
        <v>1782279000000</v>
      </c>
      <c r="W110">
        <v>11.49</v>
      </c>
      <c r="X110" s="6"/>
      <c r="Y110">
        <v>1784093400000</v>
      </c>
      <c r="Z110">
        <v>10.75</v>
      </c>
      <c r="AB110">
        <v>1784093400000</v>
      </c>
      <c r="AC110">
        <v>12.15</v>
      </c>
      <c r="AD110" s="6"/>
      <c r="AE110">
        <v>1784179800000</v>
      </c>
      <c r="AF110">
        <v>8.81</v>
      </c>
      <c r="AH110">
        <v>1784179800000</v>
      </c>
      <c r="AI110">
        <v>11.52</v>
      </c>
      <c r="AJ110" s="6"/>
    </row>
    <row r="111" spans="1:36">
      <c r="A111">
        <v>1778046300000</v>
      </c>
      <c r="B111">
        <v>2.56</v>
      </c>
      <c r="D111">
        <v>1778046300000</v>
      </c>
      <c r="E111">
        <v>7.11</v>
      </c>
      <c r="F111" s="6"/>
      <c r="G111">
        <v>1778132700000</v>
      </c>
      <c r="H111">
        <v>7.71</v>
      </c>
      <c r="J111">
        <v>1778132700000</v>
      </c>
      <c r="K111">
        <v>10.02</v>
      </c>
      <c r="L111" s="6"/>
      <c r="M111">
        <v>1779169500000</v>
      </c>
      <c r="N111">
        <v>2.2599999999999998</v>
      </c>
      <c r="P111">
        <v>1779169500000</v>
      </c>
      <c r="Q111">
        <v>3.77</v>
      </c>
      <c r="R111" s="6"/>
      <c r="S111">
        <v>1782279900000</v>
      </c>
      <c r="T111">
        <v>7.18</v>
      </c>
      <c r="V111">
        <v>1782279900000</v>
      </c>
      <c r="W111">
        <v>9.94</v>
      </c>
      <c r="X111" s="6"/>
      <c r="Y111">
        <v>1784094300000</v>
      </c>
      <c r="Z111">
        <v>9.39</v>
      </c>
      <c r="AB111">
        <v>1784094300000</v>
      </c>
      <c r="AC111">
        <v>9.73</v>
      </c>
      <c r="AD111" s="6"/>
      <c r="AE111">
        <v>1784180700000</v>
      </c>
      <c r="AF111">
        <v>6.08</v>
      </c>
      <c r="AH111">
        <v>1784180700000</v>
      </c>
      <c r="AI111">
        <v>8.23</v>
      </c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44" priority="8" operator="greaterThan">
      <formula>300</formula>
    </cfRule>
  </conditionalFormatting>
  <conditionalFormatting sqref="E14:E669">
    <cfRule type="cellIs" dxfId="43" priority="7" operator="greaterThan">
      <formula>300</formula>
    </cfRule>
  </conditionalFormatting>
  <conditionalFormatting sqref="H14:H1073">
    <cfRule type="cellIs" dxfId="42" priority="6" operator="greaterThan">
      <formula>300</formula>
    </cfRule>
  </conditionalFormatting>
  <conditionalFormatting sqref="K14:K669">
    <cfRule type="cellIs" dxfId="41" priority="5" operator="greaterThan">
      <formula>300</formula>
    </cfRule>
  </conditionalFormatting>
  <conditionalFormatting sqref="N14:N1081">
    <cfRule type="cellIs" dxfId="40" priority="17" operator="greaterThan">
      <formula>300</formula>
    </cfRule>
  </conditionalFormatting>
  <conditionalFormatting sqref="Q14:Q669">
    <cfRule type="cellIs" dxfId="39" priority="16" operator="greaterThan">
      <formula>300</formula>
    </cfRule>
  </conditionalFormatting>
  <conditionalFormatting sqref="S12:W12">
    <cfRule type="cellIs" dxfId="38" priority="2" operator="between">
      <formula>300</formula>
      <formula>1000000</formula>
    </cfRule>
  </conditionalFormatting>
  <conditionalFormatting sqref="X12:AJ1025">
    <cfRule type="cellIs" dxfId="37" priority="1" operator="between">
      <formula>300</formula>
      <formula>1000000</formula>
    </cfRule>
  </conditionalFormatting>
  <conditionalFormatting sqref="Z14:Z1073">
    <cfRule type="cellIs" dxfId="36" priority="4" operator="greaterThan">
      <formula>300</formula>
    </cfRule>
  </conditionalFormatting>
  <conditionalFormatting sqref="AC14:AC669">
    <cfRule type="cellIs" dxfId="35" priority="3" operator="greaterThan">
      <formula>300</formula>
    </cfRule>
  </conditionalFormatting>
  <hyperlinks>
    <hyperlink ref="M2" r:id="rId1" display="https://atspm.udot.utah.gov/performance-measures" xr:uid="{67FD1190-724F-473B-97B0-BAFBEDFD06A3}"/>
    <hyperlink ref="A2" r:id="rId2" display="https://atspm.udot.utah.gov/performance-measures" xr:uid="{406A362B-9CDB-4E36-A9E1-4FF85DA76CCE}"/>
    <hyperlink ref="G2" r:id="rId3" display="https://atspm.udot.utah.gov/performance-measures" xr:uid="{8A1816F7-E4B5-40AC-B327-FD1DB77D8B64}"/>
    <hyperlink ref="Y2" r:id="rId4" display="https://atspm.udot.utah.gov/performance-measures" xr:uid="{AEE9B700-F72B-4C0E-B1A5-0FE5A37FE69A}"/>
    <hyperlink ref="AE2" r:id="rId5" display="https://atspm.udot.utah.gov/performance-measures" xr:uid="{90DF639A-4ABF-4DF1-9E17-AF4344BBDFA2}"/>
    <hyperlink ref="S2" r:id="rId6" display="https://atspm.udot.utah.gov/performance-measures" xr:uid="{582DF41A-CAF8-4AC8-B147-B2108DC410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9C0E-C7BC-4C1A-B363-8DA37EF97961}">
  <dimension ref="A1:AJ1073"/>
  <sheetViews>
    <sheetView topLeftCell="G1" workbookViewId="0">
      <selection activeCell="A4" sqref="A4:AH5"/>
    </sheetView>
  </sheetViews>
  <sheetFormatPr defaultRowHeight="15"/>
  <cols>
    <col min="1" max="1" width="25.7109375" customWidth="1"/>
    <col min="2" max="2" width="9" bestFit="1" customWidth="1"/>
    <col min="4" max="4" width="11" bestFit="1" customWidth="1"/>
    <col min="5" max="5" width="9" bestFit="1" customWidth="1"/>
    <col min="7" max="7" width="25.140625" customWidth="1"/>
    <col min="8" max="8" width="9" bestFit="1" customWidth="1"/>
    <col min="10" max="10" width="11" bestFit="1" customWidth="1"/>
    <col min="11" max="11" width="9" bestFit="1" customWidth="1"/>
    <col min="13" max="13" width="24.28515625" customWidth="1"/>
    <col min="16" max="16" width="10" bestFit="1" customWidth="1"/>
    <col min="17" max="17" width="9" bestFit="1" customWidth="1"/>
    <col min="19" max="19" width="23.5703125" customWidth="1"/>
    <col min="25" max="25" width="24.140625" customWidth="1"/>
    <col min="28" max="28" width="12" bestFit="1" customWidth="1"/>
    <col min="29" max="29" width="9" bestFit="1" customWidth="1"/>
    <col min="31" max="31" width="23.42578125" customWidth="1"/>
    <col min="32" max="32" width="9" bestFit="1" customWidth="1"/>
    <col min="34" max="34" width="12" bestFit="1" customWidth="1"/>
    <col min="35" max="35" width="9" bestFit="1" customWidth="1"/>
  </cols>
  <sheetData>
    <row r="1" spans="1:36" ht="23.25">
      <c r="A1" s="1" t="s">
        <v>73</v>
      </c>
      <c r="F1" s="6"/>
      <c r="G1" s="1" t="s">
        <v>74</v>
      </c>
      <c r="L1" s="6"/>
      <c r="M1" s="1" t="s">
        <v>75</v>
      </c>
      <c r="R1" s="6"/>
      <c r="S1" s="1" t="s">
        <v>76</v>
      </c>
      <c r="X1" s="6"/>
      <c r="Y1" s="1" t="s">
        <v>77</v>
      </c>
      <c r="AD1" s="6"/>
      <c r="AE1" s="1" t="s">
        <v>78</v>
      </c>
      <c r="AJ1" s="6"/>
    </row>
    <row r="2" spans="1:36">
      <c r="A2" s="2" t="s">
        <v>79</v>
      </c>
      <c r="F2" s="6"/>
      <c r="G2" s="2" t="s">
        <v>79</v>
      </c>
      <c r="L2" s="6"/>
      <c r="M2" s="2" t="s">
        <v>79</v>
      </c>
      <c r="R2" s="6"/>
      <c r="S2" s="2" t="s">
        <v>79</v>
      </c>
      <c r="X2" s="6"/>
      <c r="Y2" s="2" t="s">
        <v>79</v>
      </c>
      <c r="AD2" s="6"/>
      <c r="AE2" s="2" t="s">
        <v>79</v>
      </c>
      <c r="AJ2" s="6"/>
    </row>
    <row r="3" spans="1:36">
      <c r="A3" t="s">
        <v>94</v>
      </c>
      <c r="F3" s="6"/>
      <c r="G3" t="s">
        <v>94</v>
      </c>
      <c r="L3" s="6"/>
      <c r="M3" t="s">
        <v>94</v>
      </c>
      <c r="R3" s="6"/>
      <c r="S3" t="s">
        <v>94</v>
      </c>
      <c r="X3" s="6"/>
      <c r="Y3" t="s">
        <v>94</v>
      </c>
      <c r="AD3" s="6"/>
      <c r="AE3" t="s">
        <v>94</v>
      </c>
      <c r="AJ3" s="6"/>
    </row>
    <row r="4" spans="1:36">
      <c r="A4" t="s">
        <v>81</v>
      </c>
      <c r="F4" s="6"/>
      <c r="G4" t="s">
        <v>81</v>
      </c>
      <c r="L4" s="6"/>
      <c r="M4" t="s">
        <v>81</v>
      </c>
      <c r="R4" s="6"/>
      <c r="S4" t="s">
        <v>81</v>
      </c>
      <c r="X4" s="6"/>
      <c r="Y4" t="s">
        <v>81</v>
      </c>
      <c r="AD4" s="6"/>
      <c r="AE4" t="s">
        <v>81</v>
      </c>
      <c r="AJ4" s="6"/>
    </row>
    <row r="5" spans="1:36">
      <c r="A5" t="s">
        <v>82</v>
      </c>
      <c r="F5" s="6"/>
      <c r="G5" t="s">
        <v>83</v>
      </c>
      <c r="L5" s="6"/>
      <c r="M5" t="s">
        <v>84</v>
      </c>
      <c r="R5" s="6"/>
      <c r="S5" t="s">
        <v>85</v>
      </c>
      <c r="X5" s="6"/>
      <c r="Y5" t="s">
        <v>86</v>
      </c>
      <c r="AD5" s="6"/>
      <c r="AE5" t="s">
        <v>87</v>
      </c>
      <c r="AJ5" s="6"/>
    </row>
    <row r="6" spans="1:36">
      <c r="F6" s="6"/>
      <c r="L6" s="6"/>
      <c r="R6" s="6"/>
      <c r="X6" s="6"/>
      <c r="AD6" s="6"/>
      <c r="AJ6" s="6"/>
    </row>
    <row r="7" spans="1:36">
      <c r="A7" s="3" t="s">
        <v>95</v>
      </c>
      <c r="F7" s="6"/>
      <c r="G7" s="3" t="s">
        <v>95</v>
      </c>
      <c r="L7" s="6"/>
      <c r="M7" s="3" t="s">
        <v>95</v>
      </c>
      <c r="R7" s="6"/>
      <c r="S7" s="3" t="s">
        <v>95</v>
      </c>
      <c r="X7" s="6"/>
      <c r="Y7" s="3" t="s">
        <v>95</v>
      </c>
      <c r="AD7" s="6"/>
      <c r="AE7" s="3" t="s">
        <v>95</v>
      </c>
      <c r="AJ7" s="6"/>
    </row>
    <row r="8" spans="1:36">
      <c r="A8" t="s">
        <v>35</v>
      </c>
      <c r="B8" s="9">
        <f>AVERAGE(B14:B109,E14:E109)</f>
        <v>51.80203124999997</v>
      </c>
      <c r="C8" t="s">
        <v>36</v>
      </c>
      <c r="F8" s="6"/>
      <c r="G8" t="s">
        <v>35</v>
      </c>
      <c r="H8" s="9">
        <f>AVERAGE(H14:H109,K14:K109)</f>
        <v>54.506979166666675</v>
      </c>
      <c r="I8" t="s">
        <v>36</v>
      </c>
      <c r="L8" s="6"/>
      <c r="M8" t="s">
        <v>35</v>
      </c>
      <c r="N8" s="9">
        <f>AVERAGE(N14:N109,Q14:Q109)</f>
        <v>50.461927083333329</v>
      </c>
      <c r="O8" t="s">
        <v>36</v>
      </c>
      <c r="R8" s="6"/>
      <c r="S8" t="s">
        <v>35</v>
      </c>
      <c r="T8" s="9">
        <f>AVERAGE(T14:T109,W14:W109)</f>
        <v>52.198124999999997</v>
      </c>
      <c r="U8" t="s">
        <v>36</v>
      </c>
      <c r="X8" s="6"/>
      <c r="Y8" t="s">
        <v>35</v>
      </c>
      <c r="Z8" s="9">
        <f>AVERAGE(Z14:Z109,AC14:AC109)</f>
        <v>51.717604166666625</v>
      </c>
      <c r="AA8" t="s">
        <v>36</v>
      </c>
      <c r="AD8" s="6"/>
      <c r="AE8" t="s">
        <v>35</v>
      </c>
      <c r="AF8" s="9">
        <f>AVERAGE(AF14:AF109,AI14:AI109)</f>
        <v>52.046354166666653</v>
      </c>
      <c r="AG8" t="s">
        <v>36</v>
      </c>
      <c r="AJ8" s="6"/>
    </row>
    <row r="9" spans="1:36">
      <c r="A9" t="s">
        <v>4</v>
      </c>
      <c r="B9" s="9">
        <f>AVERAGE(B14:B109)</f>
        <v>46.609375</v>
      </c>
      <c r="C9" t="s">
        <v>36</v>
      </c>
      <c r="F9" s="6"/>
      <c r="G9" t="s">
        <v>4</v>
      </c>
      <c r="H9" s="9">
        <f>AVERAGE(H14:H109)</f>
        <v>50.032499999999999</v>
      </c>
      <c r="I9" t="s">
        <v>36</v>
      </c>
      <c r="L9" s="6"/>
      <c r="M9" t="s">
        <v>4</v>
      </c>
      <c r="N9" s="9">
        <f>AVERAGE(N14:N109)</f>
        <v>46.075833333333328</v>
      </c>
      <c r="O9" t="s">
        <v>36</v>
      </c>
      <c r="R9" s="6"/>
      <c r="S9" t="s">
        <v>4</v>
      </c>
      <c r="T9" s="9">
        <f>AVERAGE(T14:T109)</f>
        <v>46.430312499999964</v>
      </c>
      <c r="U9" t="s">
        <v>36</v>
      </c>
      <c r="X9" s="6"/>
      <c r="Y9" t="s">
        <v>4</v>
      </c>
      <c r="Z9" s="9">
        <f>AVERAGE(Z14:Z109)</f>
        <v>45.021249999999981</v>
      </c>
      <c r="AA9" t="s">
        <v>36</v>
      </c>
      <c r="AD9" s="6"/>
      <c r="AE9" t="s">
        <v>4</v>
      </c>
      <c r="AF9" s="9">
        <f>AVERAGE(AF14:AF109)</f>
        <v>45.876562500000006</v>
      </c>
      <c r="AG9" t="s">
        <v>36</v>
      </c>
      <c r="AJ9" s="6"/>
    </row>
    <row r="10" spans="1:36">
      <c r="A10" t="s">
        <v>5</v>
      </c>
      <c r="B10" s="9">
        <f>AVERAGE(E14:E109)</f>
        <v>56.994687499999998</v>
      </c>
      <c r="C10" t="s">
        <v>36</v>
      </c>
      <c r="F10" s="6"/>
      <c r="G10" t="s">
        <v>5</v>
      </c>
      <c r="H10" s="9">
        <f>AVERAGE(K14:K109)</f>
        <v>58.981458333333343</v>
      </c>
      <c r="I10" t="s">
        <v>36</v>
      </c>
      <c r="L10" s="6"/>
      <c r="M10" t="s">
        <v>5</v>
      </c>
      <c r="N10" s="9">
        <f>AVERAGE(Q14:Q109)</f>
        <v>54.848020833333329</v>
      </c>
      <c r="O10" t="s">
        <v>36</v>
      </c>
      <c r="R10" s="6"/>
      <c r="S10" t="s">
        <v>5</v>
      </c>
      <c r="T10" s="9">
        <f>AVERAGE(W14:W109)</f>
        <v>57.965937500000017</v>
      </c>
      <c r="U10" t="s">
        <v>36</v>
      </c>
      <c r="X10" s="6"/>
      <c r="Y10" t="s">
        <v>5</v>
      </c>
      <c r="Z10" s="9">
        <f>AVERAGE(AC14:AC109)</f>
        <v>58.413958333333333</v>
      </c>
      <c r="AA10" t="s">
        <v>36</v>
      </c>
      <c r="AD10" s="6"/>
      <c r="AE10" t="s">
        <v>5</v>
      </c>
      <c r="AF10" s="9">
        <f>AVERAGE(AI14:AI109)</f>
        <v>58.216145833333343</v>
      </c>
      <c r="AG10" t="s">
        <v>36</v>
      </c>
      <c r="AJ10" s="6"/>
    </row>
    <row r="11" spans="1:36">
      <c r="B11" s="4"/>
      <c r="F11" s="6"/>
      <c r="H11" s="4"/>
      <c r="L11" s="6"/>
      <c r="N11" s="4"/>
      <c r="R11" s="6"/>
      <c r="T11" s="4"/>
      <c r="X11" s="6"/>
      <c r="Z11" s="4"/>
      <c r="AD11" s="6"/>
      <c r="AF11" s="4"/>
      <c r="AJ11" s="6"/>
    </row>
    <row r="12" spans="1:36">
      <c r="A12" s="3" t="s">
        <v>4</v>
      </c>
      <c r="B12" s="3"/>
      <c r="C12" s="3"/>
      <c r="D12" s="3" t="s">
        <v>5</v>
      </c>
      <c r="E12" s="3"/>
      <c r="F12" s="8"/>
      <c r="G12" s="3" t="s">
        <v>4</v>
      </c>
      <c r="H12" s="3"/>
      <c r="I12" s="3"/>
      <c r="J12" s="3" t="s">
        <v>5</v>
      </c>
      <c r="K12" s="3"/>
      <c r="L12" s="6"/>
      <c r="M12" s="3" t="s">
        <v>4</v>
      </c>
      <c r="N12" s="3"/>
      <c r="O12" s="3"/>
      <c r="P12" s="3" t="s">
        <v>5</v>
      </c>
      <c r="R12" s="6"/>
      <c r="S12" s="3" t="s">
        <v>4</v>
      </c>
      <c r="T12" s="3"/>
      <c r="U12" s="3"/>
      <c r="V12" s="3" t="s">
        <v>5</v>
      </c>
      <c r="X12" s="6"/>
      <c r="Y12" s="3" t="s">
        <v>4</v>
      </c>
      <c r="Z12" s="3"/>
      <c r="AA12" s="3"/>
      <c r="AB12" s="3" t="s">
        <v>5</v>
      </c>
      <c r="AD12" s="6"/>
      <c r="AE12" s="3" t="s">
        <v>4</v>
      </c>
      <c r="AF12" s="3"/>
      <c r="AG12" s="3"/>
      <c r="AH12" s="3" t="s">
        <v>5</v>
      </c>
      <c r="AJ12" s="6"/>
    </row>
    <row r="13" spans="1:36">
      <c r="A13" t="s">
        <v>35</v>
      </c>
      <c r="D13" t="s">
        <v>35</v>
      </c>
      <c r="F13" s="6"/>
      <c r="G13" t="s">
        <v>35</v>
      </c>
      <c r="J13" t="s">
        <v>35</v>
      </c>
      <c r="L13" s="6"/>
      <c r="M13" t="s">
        <v>35</v>
      </c>
      <c r="P13" t="s">
        <v>35</v>
      </c>
      <c r="R13" s="6"/>
      <c r="S13" t="s">
        <v>35</v>
      </c>
      <c r="V13" t="s">
        <v>35</v>
      </c>
      <c r="X13" s="6"/>
      <c r="Y13" t="s">
        <v>35</v>
      </c>
      <c r="AB13" t="s">
        <v>35</v>
      </c>
      <c r="AD13" s="6"/>
      <c r="AE13" t="s">
        <v>35</v>
      </c>
      <c r="AH13" t="s">
        <v>35</v>
      </c>
      <c r="AJ13" s="6"/>
    </row>
    <row r="14" spans="1:36">
      <c r="A14">
        <v>1777960800000</v>
      </c>
      <c r="B14">
        <v>44.12</v>
      </c>
      <c r="D14">
        <v>1777960800000</v>
      </c>
      <c r="E14">
        <v>46.26</v>
      </c>
      <c r="F14" s="6"/>
      <c r="G14">
        <v>1778047200000</v>
      </c>
      <c r="H14">
        <v>40.909999999999997</v>
      </c>
      <c r="J14">
        <v>1778047200000</v>
      </c>
      <c r="K14">
        <v>51.83</v>
      </c>
      <c r="L14" s="6"/>
      <c r="M14">
        <v>1779084000000</v>
      </c>
      <c r="N14">
        <v>26.48</v>
      </c>
      <c r="P14">
        <v>1779084000000</v>
      </c>
      <c r="Q14">
        <v>43.96</v>
      </c>
      <c r="R14" s="6"/>
      <c r="S14">
        <v>1782194400000</v>
      </c>
      <c r="T14">
        <v>50.7</v>
      </c>
      <c r="V14">
        <v>1782194400000</v>
      </c>
      <c r="W14">
        <v>51.74</v>
      </c>
      <c r="X14" s="6"/>
      <c r="Y14">
        <v>1784008800000</v>
      </c>
      <c r="Z14">
        <v>43.48</v>
      </c>
      <c r="AB14">
        <v>1784008800000</v>
      </c>
      <c r="AC14">
        <v>50.98</v>
      </c>
      <c r="AD14" s="6"/>
      <c r="AE14">
        <v>1784095200000</v>
      </c>
      <c r="AF14">
        <v>27.14</v>
      </c>
      <c r="AH14">
        <v>1784095200000</v>
      </c>
      <c r="AI14">
        <v>42.45</v>
      </c>
      <c r="AJ14" s="6"/>
    </row>
    <row r="15" spans="1:36">
      <c r="A15">
        <v>1777961700000</v>
      </c>
      <c r="B15">
        <v>43.4</v>
      </c>
      <c r="D15">
        <v>1777961700000</v>
      </c>
      <c r="E15">
        <v>44.83</v>
      </c>
      <c r="F15" s="6"/>
      <c r="G15">
        <v>1778048100000</v>
      </c>
      <c r="H15">
        <v>20.74</v>
      </c>
      <c r="J15">
        <v>1778048100000</v>
      </c>
      <c r="K15">
        <v>42.12</v>
      </c>
      <c r="L15" s="6"/>
      <c r="M15">
        <v>1779084900000</v>
      </c>
      <c r="N15">
        <v>29.78</v>
      </c>
      <c r="P15">
        <v>1779084900000</v>
      </c>
      <c r="Q15">
        <v>38.5</v>
      </c>
      <c r="R15" s="6"/>
      <c r="S15">
        <v>1782195300000</v>
      </c>
      <c r="T15">
        <v>39.450000000000003</v>
      </c>
      <c r="V15">
        <v>1782195300000</v>
      </c>
      <c r="W15">
        <v>49.5</v>
      </c>
      <c r="X15" s="6"/>
      <c r="Y15">
        <v>1784009700000</v>
      </c>
      <c r="Z15">
        <v>33.33</v>
      </c>
      <c r="AB15">
        <v>1784009700000</v>
      </c>
      <c r="AC15">
        <v>54.03</v>
      </c>
      <c r="AD15" s="6"/>
      <c r="AE15">
        <v>1784096100000</v>
      </c>
      <c r="AF15">
        <v>30.56</v>
      </c>
      <c r="AH15">
        <v>1784096100000</v>
      </c>
      <c r="AI15">
        <v>53.51</v>
      </c>
      <c r="AJ15" s="6"/>
    </row>
    <row r="16" spans="1:36">
      <c r="A16">
        <v>1777962600000</v>
      </c>
      <c r="B16">
        <v>11.27</v>
      </c>
      <c r="D16">
        <v>1777962600000</v>
      </c>
      <c r="E16">
        <v>33.85</v>
      </c>
      <c r="F16" s="6"/>
      <c r="G16">
        <v>1778049000000</v>
      </c>
      <c r="H16">
        <v>39.44</v>
      </c>
      <c r="J16">
        <v>1778049000000</v>
      </c>
      <c r="K16">
        <v>50.43</v>
      </c>
      <c r="L16" s="6"/>
      <c r="M16">
        <v>1779085800000</v>
      </c>
      <c r="N16">
        <v>25.88</v>
      </c>
      <c r="P16">
        <v>1779085800000</v>
      </c>
      <c r="Q16">
        <v>33.68</v>
      </c>
      <c r="R16" s="6"/>
      <c r="S16">
        <v>1782196200000</v>
      </c>
      <c r="T16">
        <v>42.54</v>
      </c>
      <c r="V16">
        <v>1782196200000</v>
      </c>
      <c r="W16">
        <v>43.15</v>
      </c>
      <c r="X16" s="6"/>
      <c r="Y16">
        <v>1784010600000</v>
      </c>
      <c r="Z16">
        <v>23.94</v>
      </c>
      <c r="AB16">
        <v>1784010600000</v>
      </c>
      <c r="AC16">
        <v>44.52</v>
      </c>
      <c r="AD16" s="6"/>
      <c r="AE16">
        <v>1784097000000</v>
      </c>
      <c r="AF16">
        <v>38.1</v>
      </c>
      <c r="AH16">
        <v>1784097000000</v>
      </c>
      <c r="AI16">
        <v>35.54</v>
      </c>
      <c r="AJ16" s="6"/>
    </row>
    <row r="17" spans="1:36">
      <c r="A17">
        <v>1777963500000</v>
      </c>
      <c r="B17">
        <v>26.83</v>
      </c>
      <c r="D17">
        <v>1777963500000</v>
      </c>
      <c r="E17">
        <v>31.94</v>
      </c>
      <c r="F17" s="6"/>
      <c r="G17">
        <v>1778049900000</v>
      </c>
      <c r="H17">
        <v>26.64</v>
      </c>
      <c r="J17">
        <v>1778049900000</v>
      </c>
      <c r="K17">
        <v>37.01</v>
      </c>
      <c r="L17" s="6"/>
      <c r="M17">
        <v>1779086700000</v>
      </c>
      <c r="N17">
        <v>25.27</v>
      </c>
      <c r="P17">
        <v>1779086700000</v>
      </c>
      <c r="Q17">
        <v>31.16</v>
      </c>
      <c r="R17" s="6"/>
      <c r="S17">
        <v>1782197100000</v>
      </c>
      <c r="T17">
        <v>27.1</v>
      </c>
      <c r="V17">
        <v>1782197100000</v>
      </c>
      <c r="W17">
        <v>38.54</v>
      </c>
      <c r="X17" s="6"/>
      <c r="Y17">
        <v>1784011500000</v>
      </c>
      <c r="Z17">
        <v>27.42</v>
      </c>
      <c r="AB17">
        <v>1784011500000</v>
      </c>
      <c r="AC17">
        <v>41.22</v>
      </c>
      <c r="AD17" s="6"/>
      <c r="AE17">
        <v>1784097900000</v>
      </c>
      <c r="AF17">
        <v>32.729999999999997</v>
      </c>
      <c r="AH17">
        <v>1784097900000</v>
      </c>
      <c r="AI17">
        <v>45.95</v>
      </c>
      <c r="AJ17" s="6"/>
    </row>
    <row r="18" spans="1:36">
      <c r="A18">
        <v>1777964400000</v>
      </c>
      <c r="B18">
        <v>23.94</v>
      </c>
      <c r="D18">
        <v>1777964400000</v>
      </c>
      <c r="E18">
        <v>34.67</v>
      </c>
      <c r="F18" s="6"/>
      <c r="G18">
        <v>1778050800000</v>
      </c>
      <c r="H18">
        <v>35.19</v>
      </c>
      <c r="J18">
        <v>1778050800000</v>
      </c>
      <c r="K18">
        <v>37.93</v>
      </c>
      <c r="L18" s="6"/>
      <c r="M18">
        <v>1779087600000</v>
      </c>
      <c r="N18">
        <v>18.940000000000001</v>
      </c>
      <c r="P18">
        <v>1779087600000</v>
      </c>
      <c r="Q18">
        <v>33.11</v>
      </c>
      <c r="R18" s="6"/>
      <c r="S18">
        <v>1782198000000</v>
      </c>
      <c r="T18">
        <v>19.23</v>
      </c>
      <c r="V18">
        <v>1782198000000</v>
      </c>
      <c r="W18">
        <v>22.16</v>
      </c>
      <c r="X18" s="6"/>
      <c r="Y18">
        <v>1784012400000</v>
      </c>
      <c r="Z18">
        <v>25</v>
      </c>
      <c r="AB18">
        <v>1784012400000</v>
      </c>
      <c r="AC18">
        <v>43.7</v>
      </c>
      <c r="AD18" s="6"/>
      <c r="AE18">
        <v>1784098800000</v>
      </c>
      <c r="AF18">
        <v>23.53</v>
      </c>
      <c r="AH18">
        <v>1784098800000</v>
      </c>
      <c r="AI18">
        <v>46.81</v>
      </c>
      <c r="AJ18" s="6"/>
    </row>
    <row r="19" spans="1:36">
      <c r="A19">
        <v>1777965300000</v>
      </c>
      <c r="B19">
        <v>24.52</v>
      </c>
      <c r="D19">
        <v>1777965300000</v>
      </c>
      <c r="E19">
        <v>27.86</v>
      </c>
      <c r="F19" s="6"/>
      <c r="G19">
        <v>1778051700000</v>
      </c>
      <c r="H19">
        <v>22.75</v>
      </c>
      <c r="J19">
        <v>1778051700000</v>
      </c>
      <c r="K19">
        <v>28.79</v>
      </c>
      <c r="L19" s="6"/>
      <c r="M19">
        <v>1779088500000</v>
      </c>
      <c r="N19">
        <v>12.36</v>
      </c>
      <c r="P19">
        <v>1779088500000</v>
      </c>
      <c r="Q19">
        <v>27.94</v>
      </c>
      <c r="R19" s="6"/>
      <c r="S19">
        <v>1782198900000</v>
      </c>
      <c r="T19">
        <v>34.04</v>
      </c>
      <c r="V19">
        <v>1782198900000</v>
      </c>
      <c r="W19">
        <v>54.15</v>
      </c>
      <c r="X19" s="6"/>
      <c r="Y19">
        <v>1784013300000</v>
      </c>
      <c r="Z19">
        <v>30.77</v>
      </c>
      <c r="AB19">
        <v>1784013300000</v>
      </c>
      <c r="AC19">
        <v>38.57</v>
      </c>
      <c r="AD19" s="6"/>
      <c r="AE19">
        <v>1784099700000</v>
      </c>
      <c r="AF19">
        <v>18.18</v>
      </c>
      <c r="AH19">
        <v>1784099700000</v>
      </c>
      <c r="AI19">
        <v>33.619999999999997</v>
      </c>
      <c r="AJ19" s="6"/>
    </row>
    <row r="20" spans="1:36">
      <c r="A20">
        <v>1777966200000</v>
      </c>
      <c r="B20">
        <v>15.83</v>
      </c>
      <c r="D20">
        <v>1777966200000</v>
      </c>
      <c r="E20">
        <v>23.96</v>
      </c>
      <c r="F20" s="6"/>
      <c r="G20">
        <v>1778052600000</v>
      </c>
      <c r="H20">
        <v>17.03</v>
      </c>
      <c r="J20">
        <v>1778052600000</v>
      </c>
      <c r="K20">
        <v>22.65</v>
      </c>
      <c r="L20" s="6"/>
      <c r="M20">
        <v>1779089400000</v>
      </c>
      <c r="N20">
        <v>28.34</v>
      </c>
      <c r="P20">
        <v>1779089400000</v>
      </c>
      <c r="Q20">
        <v>30.39</v>
      </c>
      <c r="R20" s="6"/>
      <c r="S20">
        <v>1782199800000</v>
      </c>
      <c r="T20">
        <v>39.33</v>
      </c>
      <c r="V20">
        <v>1782199800000</v>
      </c>
      <c r="W20">
        <v>46.78</v>
      </c>
      <c r="X20" s="6"/>
      <c r="Y20">
        <v>1784014200000</v>
      </c>
      <c r="Z20">
        <v>23.26</v>
      </c>
      <c r="AB20">
        <v>1784014200000</v>
      </c>
      <c r="AC20">
        <v>21.74</v>
      </c>
      <c r="AD20" s="6"/>
      <c r="AE20">
        <v>1784100600000</v>
      </c>
      <c r="AF20">
        <v>29.17</v>
      </c>
      <c r="AH20">
        <v>1784100600000</v>
      </c>
      <c r="AI20">
        <v>29.03</v>
      </c>
      <c r="AJ20" s="6"/>
    </row>
    <row r="21" spans="1:36">
      <c r="A21">
        <v>1777967100000</v>
      </c>
      <c r="B21">
        <v>11.04</v>
      </c>
      <c r="D21">
        <v>1777967100000</v>
      </c>
      <c r="E21">
        <v>13.42</v>
      </c>
      <c r="F21" s="6"/>
      <c r="G21">
        <v>1778053500000</v>
      </c>
      <c r="H21">
        <v>29.06</v>
      </c>
      <c r="J21">
        <v>1778053500000</v>
      </c>
      <c r="K21">
        <v>28.95</v>
      </c>
      <c r="L21" s="6"/>
      <c r="M21">
        <v>1779090300000</v>
      </c>
      <c r="N21">
        <v>18.11</v>
      </c>
      <c r="P21">
        <v>1779090300000</v>
      </c>
      <c r="Q21">
        <v>11.94</v>
      </c>
      <c r="R21" s="6"/>
      <c r="S21">
        <v>1782200700000</v>
      </c>
      <c r="T21">
        <v>12.77</v>
      </c>
      <c r="V21">
        <v>1782200700000</v>
      </c>
      <c r="W21">
        <v>15.6</v>
      </c>
      <c r="X21" s="6"/>
      <c r="Y21">
        <v>1784015100000</v>
      </c>
      <c r="Z21">
        <v>18.18</v>
      </c>
      <c r="AB21">
        <v>1784015100000</v>
      </c>
      <c r="AC21">
        <v>17.239999999999998</v>
      </c>
      <c r="AD21" s="6"/>
      <c r="AE21">
        <v>1784101500000</v>
      </c>
      <c r="AF21">
        <v>29.63</v>
      </c>
      <c r="AH21">
        <v>1784101500000</v>
      </c>
      <c r="AI21">
        <v>47.69</v>
      </c>
      <c r="AJ21" s="6"/>
    </row>
    <row r="22" spans="1:36">
      <c r="A22">
        <v>1777968000000</v>
      </c>
      <c r="B22">
        <v>22.73</v>
      </c>
      <c r="D22">
        <v>1777968000000</v>
      </c>
      <c r="E22">
        <v>29.53</v>
      </c>
      <c r="F22" s="6"/>
      <c r="G22">
        <v>1778054400000</v>
      </c>
      <c r="H22">
        <v>12.9</v>
      </c>
      <c r="J22">
        <v>1778054400000</v>
      </c>
      <c r="K22">
        <v>15.84</v>
      </c>
      <c r="L22" s="6"/>
      <c r="M22">
        <v>1779091200000</v>
      </c>
      <c r="N22">
        <v>12.61</v>
      </c>
      <c r="P22">
        <v>1779091200000</v>
      </c>
      <c r="Q22">
        <v>20.58</v>
      </c>
      <c r="R22" s="6"/>
      <c r="S22">
        <v>1782201600000</v>
      </c>
      <c r="T22">
        <v>11.2</v>
      </c>
      <c r="V22">
        <v>1782201600000</v>
      </c>
      <c r="W22">
        <v>18.38</v>
      </c>
      <c r="X22" s="6"/>
      <c r="Y22">
        <v>1784016000000</v>
      </c>
      <c r="Z22">
        <v>8</v>
      </c>
      <c r="AB22">
        <v>1784016000000</v>
      </c>
      <c r="AC22">
        <v>21.26</v>
      </c>
      <c r="AD22" s="6"/>
      <c r="AE22">
        <v>1784102400000</v>
      </c>
      <c r="AF22">
        <v>13.79</v>
      </c>
      <c r="AH22">
        <v>1784102400000</v>
      </c>
      <c r="AI22">
        <v>24.37</v>
      </c>
      <c r="AJ22" s="6"/>
    </row>
    <row r="23" spans="1:36">
      <c r="A23">
        <v>1777968900000</v>
      </c>
      <c r="B23">
        <v>17.39</v>
      </c>
      <c r="D23">
        <v>1777968900000</v>
      </c>
      <c r="E23">
        <v>17.600000000000001</v>
      </c>
      <c r="F23" s="6"/>
      <c r="G23">
        <v>1778055300000</v>
      </c>
      <c r="H23">
        <v>6.96</v>
      </c>
      <c r="J23">
        <v>1778055300000</v>
      </c>
      <c r="K23">
        <v>12.62</v>
      </c>
      <c r="L23" s="6"/>
      <c r="M23">
        <v>1779092100000</v>
      </c>
      <c r="N23">
        <v>8.58</v>
      </c>
      <c r="P23">
        <v>1779092100000</v>
      </c>
      <c r="Q23">
        <v>10.85</v>
      </c>
      <c r="R23" s="6"/>
      <c r="S23">
        <v>1782202500000</v>
      </c>
      <c r="T23">
        <v>18.52</v>
      </c>
      <c r="V23">
        <v>1782202500000</v>
      </c>
      <c r="W23">
        <v>24</v>
      </c>
      <c r="X23" s="6"/>
      <c r="Y23">
        <v>1784016900000</v>
      </c>
      <c r="Z23">
        <v>7.69</v>
      </c>
      <c r="AB23">
        <v>1784016900000</v>
      </c>
      <c r="AC23">
        <v>21.23</v>
      </c>
      <c r="AD23" s="6"/>
      <c r="AE23">
        <v>1784103300000</v>
      </c>
      <c r="AF23">
        <v>19.64</v>
      </c>
      <c r="AH23">
        <v>1784103300000</v>
      </c>
      <c r="AI23">
        <v>18.600000000000001</v>
      </c>
      <c r="AJ23" s="6"/>
    </row>
    <row r="24" spans="1:36">
      <c r="A24">
        <v>1777969800000</v>
      </c>
      <c r="B24">
        <v>10.46</v>
      </c>
      <c r="D24">
        <v>1777969800000</v>
      </c>
      <c r="E24">
        <v>13.03</v>
      </c>
      <c r="F24" s="6"/>
      <c r="G24">
        <v>1778056200000</v>
      </c>
      <c r="H24">
        <v>12.89</v>
      </c>
      <c r="J24">
        <v>1778056200000</v>
      </c>
      <c r="K24">
        <v>15.28</v>
      </c>
      <c r="L24" s="6"/>
      <c r="M24">
        <v>1779093000000</v>
      </c>
      <c r="N24">
        <v>12.93</v>
      </c>
      <c r="P24">
        <v>1779093000000</v>
      </c>
      <c r="Q24">
        <v>11.21</v>
      </c>
      <c r="R24" s="6"/>
      <c r="S24">
        <v>1782203400000</v>
      </c>
      <c r="T24">
        <v>7.87</v>
      </c>
      <c r="V24">
        <v>1782203400000</v>
      </c>
      <c r="W24">
        <v>11.43</v>
      </c>
      <c r="X24" s="6"/>
      <c r="Y24">
        <v>1784017800000</v>
      </c>
      <c r="Z24">
        <v>12.9</v>
      </c>
      <c r="AB24">
        <v>1784017800000</v>
      </c>
      <c r="AC24">
        <v>13.64</v>
      </c>
      <c r="AD24" s="6"/>
      <c r="AE24">
        <v>1784104200000</v>
      </c>
      <c r="AF24">
        <v>11.48</v>
      </c>
      <c r="AH24">
        <v>1784104200000</v>
      </c>
      <c r="AI24">
        <v>33.08</v>
      </c>
      <c r="AJ24" s="6"/>
    </row>
    <row r="25" spans="1:36">
      <c r="A25">
        <v>1777970700000</v>
      </c>
      <c r="B25">
        <v>10.31</v>
      </c>
      <c r="D25">
        <v>1777970700000</v>
      </c>
      <c r="E25">
        <v>14.78</v>
      </c>
      <c r="F25" s="6"/>
      <c r="G25">
        <v>1778057100000</v>
      </c>
      <c r="H25">
        <v>15.98</v>
      </c>
      <c r="J25">
        <v>1778057100000</v>
      </c>
      <c r="K25">
        <v>16.78</v>
      </c>
      <c r="L25" s="6"/>
      <c r="M25">
        <v>1779093900000</v>
      </c>
      <c r="N25">
        <v>17.350000000000001</v>
      </c>
      <c r="P25">
        <v>1779093900000</v>
      </c>
      <c r="Q25">
        <v>12.74</v>
      </c>
      <c r="R25" s="6"/>
      <c r="S25">
        <v>1782204300000</v>
      </c>
      <c r="T25">
        <v>7.19</v>
      </c>
      <c r="V25">
        <v>1782204300000</v>
      </c>
      <c r="W25">
        <v>17.32</v>
      </c>
      <c r="X25" s="6"/>
      <c r="Y25">
        <v>1784018700000</v>
      </c>
      <c r="Z25">
        <v>24.44</v>
      </c>
      <c r="AB25">
        <v>1784018700000</v>
      </c>
      <c r="AC25">
        <v>16.23</v>
      </c>
      <c r="AD25" s="6"/>
      <c r="AE25">
        <v>1784105100000</v>
      </c>
      <c r="AF25">
        <v>27.27</v>
      </c>
      <c r="AH25">
        <v>1784105100000</v>
      </c>
      <c r="AI25">
        <v>14.41</v>
      </c>
      <c r="AJ25" s="6"/>
    </row>
    <row r="26" spans="1:36">
      <c r="A26">
        <v>1777971600000</v>
      </c>
      <c r="B26">
        <v>8.11</v>
      </c>
      <c r="D26">
        <v>1777971600000</v>
      </c>
      <c r="E26">
        <v>14.75</v>
      </c>
      <c r="F26" s="6"/>
      <c r="G26">
        <v>1778058000000</v>
      </c>
      <c r="H26">
        <v>10.44</v>
      </c>
      <c r="J26">
        <v>1778058000000</v>
      </c>
      <c r="K26">
        <v>16.59</v>
      </c>
      <c r="L26" s="6"/>
      <c r="M26">
        <v>1779094800000</v>
      </c>
      <c r="N26">
        <v>12.96</v>
      </c>
      <c r="P26">
        <v>1779094800000</v>
      </c>
      <c r="Q26">
        <v>18.23</v>
      </c>
      <c r="R26" s="6"/>
      <c r="S26">
        <v>1782205200000</v>
      </c>
      <c r="T26">
        <v>8.25</v>
      </c>
      <c r="V26">
        <v>1782205200000</v>
      </c>
      <c r="W26">
        <v>17.940000000000001</v>
      </c>
      <c r="X26" s="6"/>
      <c r="Y26">
        <v>1784019600000</v>
      </c>
      <c r="Z26">
        <v>9.3800000000000008</v>
      </c>
      <c r="AB26">
        <v>1784019600000</v>
      </c>
      <c r="AC26">
        <v>14.21</v>
      </c>
      <c r="AD26" s="6"/>
      <c r="AE26">
        <v>1784106000000</v>
      </c>
      <c r="AF26">
        <v>0</v>
      </c>
      <c r="AH26">
        <v>1784106000000</v>
      </c>
      <c r="AI26">
        <v>13.04</v>
      </c>
      <c r="AJ26" s="6"/>
    </row>
    <row r="27" spans="1:36">
      <c r="A27">
        <v>1777972500000</v>
      </c>
      <c r="B27">
        <v>10.96</v>
      </c>
      <c r="D27">
        <v>1777972500000</v>
      </c>
      <c r="E27">
        <v>20.41</v>
      </c>
      <c r="F27" s="6"/>
      <c r="G27">
        <v>1778058900000</v>
      </c>
      <c r="H27">
        <v>69.28</v>
      </c>
      <c r="J27">
        <v>1778058900000</v>
      </c>
      <c r="K27">
        <v>43.59</v>
      </c>
      <c r="L27" s="6"/>
      <c r="M27">
        <v>1779095700000</v>
      </c>
      <c r="N27">
        <v>12.93</v>
      </c>
      <c r="P27">
        <v>1779095700000</v>
      </c>
      <c r="Q27">
        <v>17.760000000000002</v>
      </c>
      <c r="R27" s="6"/>
      <c r="S27">
        <v>1782206100000</v>
      </c>
      <c r="T27">
        <v>18.25</v>
      </c>
      <c r="V27">
        <v>1782206100000</v>
      </c>
      <c r="W27">
        <v>13.31</v>
      </c>
      <c r="X27" s="6"/>
      <c r="Y27">
        <v>1784020500000</v>
      </c>
      <c r="Z27">
        <v>12.5</v>
      </c>
      <c r="AB27">
        <v>1784020500000</v>
      </c>
      <c r="AC27">
        <v>20.69</v>
      </c>
      <c r="AD27" s="6"/>
      <c r="AE27">
        <v>1784106900000</v>
      </c>
      <c r="AF27">
        <v>23.53</v>
      </c>
      <c r="AH27">
        <v>1784106900000</v>
      </c>
      <c r="AI27">
        <v>18.82</v>
      </c>
      <c r="AJ27" s="6"/>
    </row>
    <row r="28" spans="1:36">
      <c r="A28">
        <v>1777973400000</v>
      </c>
      <c r="B28">
        <v>22.22</v>
      </c>
      <c r="D28">
        <v>1777973400000</v>
      </c>
      <c r="E28">
        <v>36.56</v>
      </c>
      <c r="F28" s="6"/>
      <c r="G28">
        <v>1778059800000</v>
      </c>
      <c r="H28">
        <v>73.680000000000007</v>
      </c>
      <c r="J28">
        <v>1778059800000</v>
      </c>
      <c r="K28">
        <v>59.33</v>
      </c>
      <c r="L28" s="6"/>
      <c r="M28">
        <v>1779096600000</v>
      </c>
      <c r="N28">
        <v>10.63</v>
      </c>
      <c r="P28">
        <v>1779096600000</v>
      </c>
      <c r="Q28">
        <v>17.690000000000001</v>
      </c>
      <c r="R28" s="6"/>
      <c r="S28">
        <v>1782207000000</v>
      </c>
      <c r="T28">
        <v>11.11</v>
      </c>
      <c r="V28">
        <v>1782207000000</v>
      </c>
      <c r="W28">
        <v>16</v>
      </c>
      <c r="X28" s="6"/>
      <c r="Y28">
        <v>1784021400000</v>
      </c>
      <c r="Z28">
        <v>23.08</v>
      </c>
      <c r="AB28">
        <v>1784021400000</v>
      </c>
      <c r="AC28">
        <v>22.41</v>
      </c>
      <c r="AD28" s="6"/>
      <c r="AE28">
        <v>1784107800000</v>
      </c>
      <c r="AF28">
        <v>15</v>
      </c>
      <c r="AH28">
        <v>1784107800000</v>
      </c>
      <c r="AI28">
        <v>21.64</v>
      </c>
      <c r="AJ28" s="6"/>
    </row>
    <row r="29" spans="1:36">
      <c r="A29">
        <v>1777974300000</v>
      </c>
      <c r="B29">
        <v>17.809999999999999</v>
      </c>
      <c r="D29">
        <v>1777974300000</v>
      </c>
      <c r="E29">
        <v>16.72</v>
      </c>
      <c r="F29" s="6"/>
      <c r="G29">
        <v>1778060700000</v>
      </c>
      <c r="H29">
        <v>65.63</v>
      </c>
      <c r="J29">
        <v>1778060700000</v>
      </c>
      <c r="K29">
        <v>42.41</v>
      </c>
      <c r="L29" s="6"/>
      <c r="M29">
        <v>1779097500000</v>
      </c>
      <c r="N29">
        <v>19.02</v>
      </c>
      <c r="P29">
        <v>1779097500000</v>
      </c>
      <c r="Q29">
        <v>22.91</v>
      </c>
      <c r="R29" s="6"/>
      <c r="S29">
        <v>1782207900000</v>
      </c>
      <c r="T29">
        <v>16.3</v>
      </c>
      <c r="V29">
        <v>1782207900000</v>
      </c>
      <c r="W29">
        <v>26.09</v>
      </c>
      <c r="X29" s="6"/>
      <c r="Y29">
        <v>1784022300000</v>
      </c>
      <c r="Z29">
        <v>33.85</v>
      </c>
      <c r="AB29">
        <v>1784022300000</v>
      </c>
      <c r="AC29">
        <v>27.68</v>
      </c>
      <c r="AD29" s="6"/>
      <c r="AE29">
        <v>1784108700000</v>
      </c>
      <c r="AF29">
        <v>14.29</v>
      </c>
      <c r="AH29">
        <v>1784108700000</v>
      </c>
      <c r="AI29">
        <v>15.83</v>
      </c>
      <c r="AJ29" s="6"/>
    </row>
    <row r="30" spans="1:36">
      <c r="A30">
        <v>1777975200000</v>
      </c>
      <c r="B30">
        <v>58.92</v>
      </c>
      <c r="D30">
        <v>1777975200000</v>
      </c>
      <c r="E30">
        <v>35.56</v>
      </c>
      <c r="F30" s="6"/>
      <c r="G30">
        <v>1778061600000</v>
      </c>
      <c r="H30">
        <v>62.35</v>
      </c>
      <c r="J30">
        <v>1778061600000</v>
      </c>
      <c r="K30">
        <v>55.56</v>
      </c>
      <c r="L30" s="6"/>
      <c r="M30">
        <v>1779098400000</v>
      </c>
      <c r="N30">
        <v>11.59</v>
      </c>
      <c r="P30">
        <v>1779098400000</v>
      </c>
      <c r="Q30">
        <v>11.62</v>
      </c>
      <c r="R30" s="6"/>
      <c r="S30">
        <v>1782208800000</v>
      </c>
      <c r="T30">
        <v>28.57</v>
      </c>
      <c r="V30">
        <v>1782208800000</v>
      </c>
      <c r="W30">
        <v>21.51</v>
      </c>
      <c r="X30" s="6"/>
      <c r="Y30">
        <v>1784023200000</v>
      </c>
      <c r="Z30">
        <v>12.24</v>
      </c>
      <c r="AB30">
        <v>1784023200000</v>
      </c>
      <c r="AC30">
        <v>25</v>
      </c>
      <c r="AD30" s="6"/>
      <c r="AE30">
        <v>1784109600000</v>
      </c>
      <c r="AF30">
        <v>17.809999999999999</v>
      </c>
      <c r="AH30">
        <v>1784109600000</v>
      </c>
      <c r="AI30">
        <v>25</v>
      </c>
      <c r="AJ30" s="6"/>
    </row>
    <row r="31" spans="1:36">
      <c r="A31">
        <v>1777976100000</v>
      </c>
      <c r="B31">
        <v>17.11</v>
      </c>
      <c r="D31">
        <v>1777976100000</v>
      </c>
      <c r="E31">
        <v>17.63</v>
      </c>
      <c r="F31" s="6"/>
      <c r="G31">
        <v>1778062500000</v>
      </c>
      <c r="H31">
        <v>29.38</v>
      </c>
      <c r="J31">
        <v>1778062500000</v>
      </c>
      <c r="K31">
        <v>40.21</v>
      </c>
      <c r="L31" s="6"/>
      <c r="M31">
        <v>1779099300000</v>
      </c>
      <c r="N31">
        <v>19.579999999999998</v>
      </c>
      <c r="P31">
        <v>1779099300000</v>
      </c>
      <c r="Q31">
        <v>29.57</v>
      </c>
      <c r="R31" s="6"/>
      <c r="S31">
        <v>1782209700000</v>
      </c>
      <c r="T31">
        <v>17.7</v>
      </c>
      <c r="V31">
        <v>1782209700000</v>
      </c>
      <c r="W31">
        <v>17.559999999999999</v>
      </c>
      <c r="X31" s="6"/>
      <c r="Y31">
        <v>1784024100000</v>
      </c>
      <c r="Z31">
        <v>17.190000000000001</v>
      </c>
      <c r="AB31">
        <v>1784024100000</v>
      </c>
      <c r="AC31">
        <v>21.95</v>
      </c>
      <c r="AD31" s="6"/>
      <c r="AE31">
        <v>1784110500000</v>
      </c>
      <c r="AF31">
        <v>21.43</v>
      </c>
      <c r="AH31">
        <v>1784110500000</v>
      </c>
      <c r="AI31">
        <v>19.079999999999998</v>
      </c>
      <c r="AJ31" s="6"/>
    </row>
    <row r="32" spans="1:36">
      <c r="A32">
        <v>1777977000000</v>
      </c>
      <c r="B32">
        <v>27.29</v>
      </c>
      <c r="D32">
        <v>1777977000000</v>
      </c>
      <c r="E32">
        <v>32.44</v>
      </c>
      <c r="F32" s="6"/>
      <c r="G32">
        <v>1778063400000</v>
      </c>
      <c r="H32">
        <v>25.59</v>
      </c>
      <c r="J32">
        <v>1778063400000</v>
      </c>
      <c r="K32">
        <v>40.549999999999997</v>
      </c>
      <c r="L32" s="6"/>
      <c r="M32">
        <v>1779100200000</v>
      </c>
      <c r="N32">
        <v>16.2</v>
      </c>
      <c r="P32">
        <v>1779100200000</v>
      </c>
      <c r="Q32">
        <v>33.43</v>
      </c>
      <c r="R32" s="6"/>
      <c r="S32">
        <v>1782210600000</v>
      </c>
      <c r="T32">
        <v>26.72</v>
      </c>
      <c r="V32">
        <v>1782210600000</v>
      </c>
      <c r="W32">
        <v>39.47</v>
      </c>
      <c r="X32" s="6"/>
      <c r="Y32">
        <v>1784025000000</v>
      </c>
      <c r="Z32">
        <v>26.39</v>
      </c>
      <c r="AB32">
        <v>1784025000000</v>
      </c>
      <c r="AC32">
        <v>33.49</v>
      </c>
      <c r="AD32" s="6"/>
      <c r="AE32">
        <v>1784111400000</v>
      </c>
      <c r="AF32">
        <v>23.33</v>
      </c>
      <c r="AH32">
        <v>1784111400000</v>
      </c>
      <c r="AI32">
        <v>28.57</v>
      </c>
      <c r="AJ32" s="6"/>
    </row>
    <row r="33" spans="1:36">
      <c r="A33">
        <v>1777977900000</v>
      </c>
      <c r="B33">
        <v>38.86</v>
      </c>
      <c r="D33">
        <v>1777977900000</v>
      </c>
      <c r="E33">
        <v>45.78</v>
      </c>
      <c r="F33" s="6"/>
      <c r="G33">
        <v>1778064300000</v>
      </c>
      <c r="H33">
        <v>34.51</v>
      </c>
      <c r="J33">
        <v>1778064300000</v>
      </c>
      <c r="K33">
        <v>44.95</v>
      </c>
      <c r="L33" s="6"/>
      <c r="M33">
        <v>1779101100000</v>
      </c>
      <c r="N33">
        <v>28.93</v>
      </c>
      <c r="P33">
        <v>1779101100000</v>
      </c>
      <c r="Q33">
        <v>45.15</v>
      </c>
      <c r="R33" s="6"/>
      <c r="S33">
        <v>1782211500000</v>
      </c>
      <c r="T33">
        <v>35.659999999999997</v>
      </c>
      <c r="V33">
        <v>1782211500000</v>
      </c>
      <c r="W33">
        <v>45.83</v>
      </c>
      <c r="X33" s="6"/>
      <c r="Y33">
        <v>1784025900000</v>
      </c>
      <c r="Z33">
        <v>37.04</v>
      </c>
      <c r="AB33">
        <v>1784025900000</v>
      </c>
      <c r="AC33">
        <v>45.71</v>
      </c>
      <c r="AD33" s="6"/>
      <c r="AE33">
        <v>1784112300000</v>
      </c>
      <c r="AF33">
        <v>41.67</v>
      </c>
      <c r="AH33">
        <v>1784112300000</v>
      </c>
      <c r="AI33">
        <v>41.1</v>
      </c>
      <c r="AJ33" s="6"/>
    </row>
    <row r="34" spans="1:36">
      <c r="A34">
        <v>1777978800000</v>
      </c>
      <c r="B34">
        <v>25.95</v>
      </c>
      <c r="D34">
        <v>1777978800000</v>
      </c>
      <c r="E34">
        <v>38.57</v>
      </c>
      <c r="F34" s="6"/>
      <c r="G34">
        <v>1778065200000</v>
      </c>
      <c r="H34">
        <v>33.75</v>
      </c>
      <c r="J34">
        <v>1778065200000</v>
      </c>
      <c r="K34">
        <v>39.130000000000003</v>
      </c>
      <c r="L34" s="6"/>
      <c r="M34">
        <v>1779102000000</v>
      </c>
      <c r="N34">
        <v>39.15</v>
      </c>
      <c r="P34">
        <v>1779102000000</v>
      </c>
      <c r="Q34">
        <v>48.26</v>
      </c>
      <c r="R34" s="6"/>
      <c r="S34">
        <v>1782212400000</v>
      </c>
      <c r="T34">
        <v>27.68</v>
      </c>
      <c r="V34">
        <v>1782212400000</v>
      </c>
      <c r="W34">
        <v>50.93</v>
      </c>
      <c r="X34" s="6"/>
      <c r="Y34">
        <v>1784026800000</v>
      </c>
      <c r="Z34">
        <v>26.58</v>
      </c>
      <c r="AB34">
        <v>1784026800000</v>
      </c>
      <c r="AC34">
        <v>39.409999999999997</v>
      </c>
      <c r="AD34" s="6"/>
      <c r="AE34">
        <v>1784113200000</v>
      </c>
      <c r="AF34">
        <v>31.58</v>
      </c>
      <c r="AH34">
        <v>1784113200000</v>
      </c>
      <c r="AI34">
        <v>51.06</v>
      </c>
      <c r="AJ34" s="6"/>
    </row>
    <row r="35" spans="1:36">
      <c r="A35">
        <v>1777979700000</v>
      </c>
      <c r="B35">
        <v>41.4</v>
      </c>
      <c r="D35">
        <v>1777979700000</v>
      </c>
      <c r="E35">
        <v>46.37</v>
      </c>
      <c r="F35" s="6"/>
      <c r="G35">
        <v>1778066100000</v>
      </c>
      <c r="H35">
        <v>34.1</v>
      </c>
      <c r="J35">
        <v>1778066100000</v>
      </c>
      <c r="K35">
        <v>46.48</v>
      </c>
      <c r="L35" s="6"/>
      <c r="M35">
        <v>1779102900000</v>
      </c>
      <c r="N35">
        <v>53.68</v>
      </c>
      <c r="P35">
        <v>1779102900000</v>
      </c>
      <c r="Q35">
        <v>42.03</v>
      </c>
      <c r="R35" s="6"/>
      <c r="S35">
        <v>1782213300000</v>
      </c>
      <c r="T35">
        <v>40.93</v>
      </c>
      <c r="V35">
        <v>1782213300000</v>
      </c>
      <c r="W35">
        <v>47.96</v>
      </c>
      <c r="X35" s="6"/>
      <c r="Y35">
        <v>1784027700000</v>
      </c>
      <c r="Z35">
        <v>34.58</v>
      </c>
      <c r="AB35">
        <v>1784027700000</v>
      </c>
      <c r="AC35">
        <v>52.05</v>
      </c>
      <c r="AD35" s="6"/>
      <c r="AE35">
        <v>1784114100000</v>
      </c>
      <c r="AF35">
        <v>46.73</v>
      </c>
      <c r="AH35">
        <v>1784114100000</v>
      </c>
      <c r="AI35">
        <v>46.34</v>
      </c>
      <c r="AJ35" s="6"/>
    </row>
    <row r="36" spans="1:36">
      <c r="A36">
        <v>1777980600000</v>
      </c>
      <c r="B36">
        <v>44.18</v>
      </c>
      <c r="D36">
        <v>1777980600000</v>
      </c>
      <c r="E36">
        <v>55.8</v>
      </c>
      <c r="F36" s="6"/>
      <c r="G36">
        <v>1778067000000</v>
      </c>
      <c r="H36">
        <v>45.77</v>
      </c>
      <c r="J36">
        <v>1778067000000</v>
      </c>
      <c r="K36">
        <v>57.93</v>
      </c>
      <c r="L36" s="6"/>
      <c r="M36">
        <v>1779103800000</v>
      </c>
      <c r="N36">
        <v>54.89</v>
      </c>
      <c r="P36">
        <v>1779103800000</v>
      </c>
      <c r="Q36">
        <v>56.7</v>
      </c>
      <c r="R36" s="6"/>
      <c r="S36">
        <v>1782214200000</v>
      </c>
      <c r="T36">
        <v>39.43</v>
      </c>
      <c r="V36">
        <v>1782214200000</v>
      </c>
      <c r="W36">
        <v>54.83</v>
      </c>
      <c r="X36" s="6"/>
      <c r="Y36">
        <v>1784028600000</v>
      </c>
      <c r="Z36">
        <v>47.4</v>
      </c>
      <c r="AB36">
        <v>1784028600000</v>
      </c>
      <c r="AC36">
        <v>59.75</v>
      </c>
      <c r="AD36" s="6"/>
      <c r="AE36">
        <v>1784115000000</v>
      </c>
      <c r="AF36">
        <v>46.97</v>
      </c>
      <c r="AH36">
        <v>1784115000000</v>
      </c>
      <c r="AI36">
        <v>59.73</v>
      </c>
      <c r="AJ36" s="6"/>
    </row>
    <row r="37" spans="1:36">
      <c r="A37">
        <v>1777981500000</v>
      </c>
      <c r="B37">
        <v>58.88</v>
      </c>
      <c r="D37">
        <v>1777981500000</v>
      </c>
      <c r="E37">
        <v>61.77</v>
      </c>
      <c r="F37" s="6"/>
      <c r="G37">
        <v>1778067900000</v>
      </c>
      <c r="H37">
        <v>48.89</v>
      </c>
      <c r="J37">
        <v>1778067900000</v>
      </c>
      <c r="K37">
        <v>59.1</v>
      </c>
      <c r="L37" s="6"/>
      <c r="M37">
        <v>1779104700000</v>
      </c>
      <c r="N37">
        <v>0</v>
      </c>
      <c r="P37">
        <v>1779104700000</v>
      </c>
      <c r="Q37">
        <v>0</v>
      </c>
      <c r="R37" s="6"/>
      <c r="S37">
        <v>1782215100000</v>
      </c>
      <c r="T37">
        <v>52.54</v>
      </c>
      <c r="V37">
        <v>1782215100000</v>
      </c>
      <c r="W37">
        <v>67.09</v>
      </c>
      <c r="X37" s="6"/>
      <c r="Y37">
        <v>1784029500000</v>
      </c>
      <c r="Z37">
        <v>52.87</v>
      </c>
      <c r="AB37">
        <v>1784029500000</v>
      </c>
      <c r="AC37">
        <v>60.24</v>
      </c>
      <c r="AD37" s="6"/>
      <c r="AE37">
        <v>1784115900000</v>
      </c>
      <c r="AF37">
        <v>57.95</v>
      </c>
      <c r="AH37">
        <v>1784115900000</v>
      </c>
      <c r="AI37">
        <v>61.05</v>
      </c>
      <c r="AJ37" s="6"/>
    </row>
    <row r="38" spans="1:36">
      <c r="A38">
        <v>1777982400000</v>
      </c>
      <c r="B38">
        <v>45.25</v>
      </c>
      <c r="D38">
        <v>1777982400000</v>
      </c>
      <c r="E38">
        <v>62.43</v>
      </c>
      <c r="F38" s="6"/>
      <c r="G38">
        <v>1778068800000</v>
      </c>
      <c r="H38">
        <v>60.62</v>
      </c>
      <c r="J38">
        <v>1778068800000</v>
      </c>
      <c r="K38">
        <v>57.89</v>
      </c>
      <c r="L38" s="6"/>
      <c r="M38">
        <v>1779105600000</v>
      </c>
      <c r="N38">
        <v>72.22</v>
      </c>
      <c r="P38">
        <v>1779105600000</v>
      </c>
      <c r="Q38">
        <v>55.74</v>
      </c>
      <c r="R38" s="6"/>
      <c r="S38">
        <v>1782216000000</v>
      </c>
      <c r="T38">
        <v>45.21</v>
      </c>
      <c r="V38">
        <v>1782216000000</v>
      </c>
      <c r="W38">
        <v>67.73</v>
      </c>
      <c r="X38" s="6"/>
      <c r="Y38">
        <v>1784030400000</v>
      </c>
      <c r="Z38">
        <v>64.16</v>
      </c>
      <c r="AB38">
        <v>1784030400000</v>
      </c>
      <c r="AC38">
        <v>60.71</v>
      </c>
      <c r="AD38" s="6"/>
      <c r="AE38">
        <v>1784116800000</v>
      </c>
      <c r="AF38">
        <v>52.41</v>
      </c>
      <c r="AH38">
        <v>1784116800000</v>
      </c>
      <c r="AI38">
        <v>61.61</v>
      </c>
      <c r="AJ38" s="6"/>
    </row>
    <row r="39" spans="1:36">
      <c r="A39">
        <v>1777983300000</v>
      </c>
      <c r="B39">
        <v>46.79</v>
      </c>
      <c r="D39">
        <v>1777983300000</v>
      </c>
      <c r="E39">
        <v>63.37</v>
      </c>
      <c r="F39" s="6"/>
      <c r="G39">
        <v>1778069700000</v>
      </c>
      <c r="H39">
        <v>49.78</v>
      </c>
      <c r="J39">
        <v>1778069700000</v>
      </c>
      <c r="K39">
        <v>64.430000000000007</v>
      </c>
      <c r="L39" s="6"/>
      <c r="M39">
        <v>1779106500000</v>
      </c>
      <c r="N39">
        <v>54.82</v>
      </c>
      <c r="P39">
        <v>1779106500000</v>
      </c>
      <c r="Q39">
        <v>65.63</v>
      </c>
      <c r="R39" s="6"/>
      <c r="S39">
        <v>1782216900000</v>
      </c>
      <c r="T39">
        <v>58.57</v>
      </c>
      <c r="V39">
        <v>1782216900000</v>
      </c>
      <c r="W39">
        <v>63.46</v>
      </c>
      <c r="X39" s="6"/>
      <c r="Y39">
        <v>1784031300000</v>
      </c>
      <c r="Z39">
        <v>52.57</v>
      </c>
      <c r="AB39">
        <v>1784031300000</v>
      </c>
      <c r="AC39">
        <v>60.56</v>
      </c>
      <c r="AD39" s="6"/>
      <c r="AE39">
        <v>1784117700000</v>
      </c>
      <c r="AF39">
        <v>55.1</v>
      </c>
      <c r="AH39">
        <v>1784117700000</v>
      </c>
      <c r="AI39">
        <v>69.89</v>
      </c>
      <c r="AJ39" s="6"/>
    </row>
    <row r="40" spans="1:36">
      <c r="A40">
        <v>1777984200000</v>
      </c>
      <c r="B40">
        <v>44.95</v>
      </c>
      <c r="D40">
        <v>1777984200000</v>
      </c>
      <c r="E40">
        <v>48.88</v>
      </c>
      <c r="F40" s="6"/>
      <c r="G40">
        <v>1778070600000</v>
      </c>
      <c r="H40">
        <v>43.11</v>
      </c>
      <c r="J40">
        <v>1778070600000</v>
      </c>
      <c r="K40">
        <v>54.48</v>
      </c>
      <c r="L40" s="6"/>
      <c r="M40">
        <v>1779107400000</v>
      </c>
      <c r="N40">
        <v>34.840000000000003</v>
      </c>
      <c r="P40">
        <v>1779107400000</v>
      </c>
      <c r="Q40">
        <v>46.28</v>
      </c>
      <c r="R40" s="6"/>
      <c r="S40">
        <v>1782217800000</v>
      </c>
      <c r="T40">
        <v>44.2</v>
      </c>
      <c r="V40">
        <v>1782217800000</v>
      </c>
      <c r="W40">
        <v>48.23</v>
      </c>
      <c r="X40" s="6"/>
      <c r="Y40">
        <v>1784032200000</v>
      </c>
      <c r="Z40">
        <v>46.94</v>
      </c>
      <c r="AB40">
        <v>1784032200000</v>
      </c>
      <c r="AC40">
        <v>46.91</v>
      </c>
      <c r="AD40" s="6"/>
      <c r="AE40">
        <v>1784118600000</v>
      </c>
      <c r="AF40">
        <v>38.659999999999997</v>
      </c>
      <c r="AH40">
        <v>1784118600000</v>
      </c>
      <c r="AI40">
        <v>47.37</v>
      </c>
      <c r="AJ40" s="6"/>
    </row>
    <row r="41" spans="1:36">
      <c r="A41">
        <v>1777985100000</v>
      </c>
      <c r="B41">
        <v>47.53</v>
      </c>
      <c r="D41">
        <v>1777985100000</v>
      </c>
      <c r="E41">
        <v>58.01</v>
      </c>
      <c r="F41" s="6"/>
      <c r="G41">
        <v>1778071500000</v>
      </c>
      <c r="H41">
        <v>45.43</v>
      </c>
      <c r="J41">
        <v>1778071500000</v>
      </c>
      <c r="K41">
        <v>49.13</v>
      </c>
      <c r="L41" s="6"/>
      <c r="M41">
        <v>1779108300000</v>
      </c>
      <c r="N41">
        <v>40.42</v>
      </c>
      <c r="P41">
        <v>1779108300000</v>
      </c>
      <c r="Q41">
        <v>54.29</v>
      </c>
      <c r="R41" s="6"/>
      <c r="S41">
        <v>1782218700000</v>
      </c>
      <c r="T41">
        <v>46.04</v>
      </c>
      <c r="V41">
        <v>1782218700000</v>
      </c>
      <c r="W41">
        <v>52.89</v>
      </c>
      <c r="X41" s="6"/>
      <c r="Y41">
        <v>1784033100000</v>
      </c>
      <c r="Z41">
        <v>41.92</v>
      </c>
      <c r="AB41">
        <v>1784033100000</v>
      </c>
      <c r="AC41">
        <v>57.25</v>
      </c>
      <c r="AD41" s="6"/>
      <c r="AE41">
        <v>1784119500000</v>
      </c>
      <c r="AF41">
        <v>48.94</v>
      </c>
      <c r="AH41">
        <v>1784119500000</v>
      </c>
      <c r="AI41">
        <v>52.49</v>
      </c>
      <c r="AJ41" s="6"/>
    </row>
    <row r="42" spans="1:36">
      <c r="A42">
        <v>1777986000000</v>
      </c>
      <c r="B42">
        <v>48.94</v>
      </c>
      <c r="D42">
        <v>1777986000000</v>
      </c>
      <c r="E42">
        <v>50.56</v>
      </c>
      <c r="F42" s="6"/>
      <c r="G42">
        <v>1778072400000</v>
      </c>
      <c r="H42">
        <v>49.4</v>
      </c>
      <c r="J42">
        <v>1778072400000</v>
      </c>
      <c r="K42">
        <v>56.92</v>
      </c>
      <c r="L42" s="6"/>
      <c r="M42">
        <v>1779109200000</v>
      </c>
      <c r="N42">
        <v>40.67</v>
      </c>
      <c r="P42">
        <v>1779109200000</v>
      </c>
      <c r="Q42">
        <v>56.47</v>
      </c>
      <c r="R42" s="6"/>
      <c r="S42">
        <v>1782219600000</v>
      </c>
      <c r="T42">
        <v>37.020000000000003</v>
      </c>
      <c r="V42">
        <v>1782219600000</v>
      </c>
      <c r="W42">
        <v>46.63</v>
      </c>
      <c r="X42" s="6"/>
      <c r="Y42">
        <v>1784034000000</v>
      </c>
      <c r="Z42">
        <v>41.21</v>
      </c>
      <c r="AB42">
        <v>1784034000000</v>
      </c>
      <c r="AC42">
        <v>49.3</v>
      </c>
      <c r="AD42" s="6"/>
      <c r="AE42">
        <v>1784120400000</v>
      </c>
      <c r="AF42">
        <v>38.75</v>
      </c>
      <c r="AH42">
        <v>1784120400000</v>
      </c>
      <c r="AI42">
        <v>51.61</v>
      </c>
      <c r="AJ42" s="6"/>
    </row>
    <row r="43" spans="1:36">
      <c r="A43">
        <v>1777986900000</v>
      </c>
      <c r="B43">
        <v>54.18</v>
      </c>
      <c r="D43">
        <v>1777986900000</v>
      </c>
      <c r="E43">
        <v>67.17</v>
      </c>
      <c r="F43" s="6"/>
      <c r="G43">
        <v>1778073300000</v>
      </c>
      <c r="H43">
        <v>51.79</v>
      </c>
      <c r="J43">
        <v>1778073300000</v>
      </c>
      <c r="K43">
        <v>57.26</v>
      </c>
      <c r="L43" s="6"/>
      <c r="M43">
        <v>1779110100000</v>
      </c>
      <c r="N43">
        <v>62.58</v>
      </c>
      <c r="P43">
        <v>1779110100000</v>
      </c>
      <c r="Q43">
        <v>60</v>
      </c>
      <c r="R43" s="6"/>
      <c r="S43">
        <v>1782220500000</v>
      </c>
      <c r="T43">
        <v>48.21</v>
      </c>
      <c r="V43">
        <v>1782220500000</v>
      </c>
      <c r="W43">
        <v>56.05</v>
      </c>
      <c r="X43" s="6"/>
      <c r="Y43">
        <v>1784034900000</v>
      </c>
      <c r="Z43">
        <v>46.37</v>
      </c>
      <c r="AB43">
        <v>1784034900000</v>
      </c>
      <c r="AC43">
        <v>69.290000000000006</v>
      </c>
      <c r="AD43" s="6"/>
      <c r="AE43">
        <v>1784121300000</v>
      </c>
      <c r="AF43">
        <v>43.05</v>
      </c>
      <c r="AH43">
        <v>1784121300000</v>
      </c>
      <c r="AI43">
        <v>56.99</v>
      </c>
      <c r="AJ43" s="6"/>
    </row>
    <row r="44" spans="1:36">
      <c r="A44">
        <v>1777987800000</v>
      </c>
      <c r="B44">
        <v>60.86</v>
      </c>
      <c r="D44">
        <v>1777987800000</v>
      </c>
      <c r="E44">
        <v>65.61</v>
      </c>
      <c r="F44" s="6"/>
      <c r="G44">
        <v>1778074200000</v>
      </c>
      <c r="H44">
        <v>53.77</v>
      </c>
      <c r="J44">
        <v>1778074200000</v>
      </c>
      <c r="K44">
        <v>63.95</v>
      </c>
      <c r="L44" s="6"/>
      <c r="M44">
        <v>1779111000000</v>
      </c>
      <c r="N44">
        <v>49.01</v>
      </c>
      <c r="P44">
        <v>1779111000000</v>
      </c>
      <c r="Q44">
        <v>68.11</v>
      </c>
      <c r="R44" s="6"/>
      <c r="S44">
        <v>1782221400000</v>
      </c>
      <c r="T44">
        <v>54.87</v>
      </c>
      <c r="V44">
        <v>1782221400000</v>
      </c>
      <c r="W44">
        <v>59.66</v>
      </c>
      <c r="X44" s="6"/>
      <c r="Y44">
        <v>1784035800000</v>
      </c>
      <c r="Z44">
        <v>42.95</v>
      </c>
      <c r="AB44">
        <v>1784035800000</v>
      </c>
      <c r="AC44">
        <v>56.81</v>
      </c>
      <c r="AD44" s="6"/>
      <c r="AE44">
        <v>1784122200000</v>
      </c>
      <c r="AF44">
        <v>51.24</v>
      </c>
      <c r="AH44">
        <v>1784122200000</v>
      </c>
      <c r="AI44">
        <v>62.41</v>
      </c>
      <c r="AJ44" s="6"/>
    </row>
    <row r="45" spans="1:36">
      <c r="A45">
        <v>1777988700000</v>
      </c>
      <c r="B45">
        <v>52.23</v>
      </c>
      <c r="D45">
        <v>1777988700000</v>
      </c>
      <c r="E45">
        <v>62.1</v>
      </c>
      <c r="F45" s="6"/>
      <c r="G45">
        <v>1778075100000</v>
      </c>
      <c r="H45">
        <v>50.32</v>
      </c>
      <c r="J45">
        <v>1778075100000</v>
      </c>
      <c r="K45">
        <v>63.07</v>
      </c>
      <c r="L45" s="6"/>
      <c r="M45">
        <v>1779111900000</v>
      </c>
      <c r="N45">
        <v>56.43</v>
      </c>
      <c r="P45">
        <v>1779111900000</v>
      </c>
      <c r="Q45">
        <v>67.47</v>
      </c>
      <c r="R45" s="6"/>
      <c r="S45">
        <v>1782222300000</v>
      </c>
      <c r="T45">
        <v>54.66</v>
      </c>
      <c r="V45">
        <v>1782222300000</v>
      </c>
      <c r="W45">
        <v>71.62</v>
      </c>
      <c r="X45" s="6"/>
      <c r="Y45">
        <v>1784036700000</v>
      </c>
      <c r="Z45">
        <v>39.409999999999997</v>
      </c>
      <c r="AB45">
        <v>1784036700000</v>
      </c>
      <c r="AC45">
        <v>67.05</v>
      </c>
      <c r="AD45" s="6"/>
      <c r="AE45">
        <v>1784123100000</v>
      </c>
      <c r="AF45">
        <v>44</v>
      </c>
      <c r="AH45">
        <v>1784123100000</v>
      </c>
      <c r="AI45">
        <v>65.58</v>
      </c>
      <c r="AJ45" s="6"/>
    </row>
    <row r="46" spans="1:36">
      <c r="A46">
        <v>1777989600000</v>
      </c>
      <c r="B46">
        <v>42.67</v>
      </c>
      <c r="D46">
        <v>1777989600000</v>
      </c>
      <c r="E46">
        <v>62.87</v>
      </c>
      <c r="F46" s="6"/>
      <c r="G46">
        <v>1778076000000</v>
      </c>
      <c r="H46">
        <v>51.89</v>
      </c>
      <c r="J46">
        <v>1778076000000</v>
      </c>
      <c r="K46">
        <v>66.489999999999995</v>
      </c>
      <c r="L46" s="6"/>
      <c r="M46">
        <v>1779112800000</v>
      </c>
      <c r="N46">
        <v>50.29</v>
      </c>
      <c r="P46">
        <v>1779112800000</v>
      </c>
      <c r="Q46">
        <v>62.16</v>
      </c>
      <c r="R46" s="6"/>
      <c r="S46">
        <v>1782223200000</v>
      </c>
      <c r="T46">
        <v>56.19</v>
      </c>
      <c r="V46">
        <v>1782223200000</v>
      </c>
      <c r="W46">
        <v>60.22</v>
      </c>
      <c r="X46" s="6"/>
      <c r="Y46">
        <v>1784037600000</v>
      </c>
      <c r="Z46">
        <v>57.89</v>
      </c>
      <c r="AB46">
        <v>1784037600000</v>
      </c>
      <c r="AC46">
        <v>68.77</v>
      </c>
      <c r="AD46" s="6"/>
      <c r="AE46">
        <v>1784124000000</v>
      </c>
      <c r="AF46">
        <v>51.75</v>
      </c>
      <c r="AH46">
        <v>1784124000000</v>
      </c>
      <c r="AI46">
        <v>66.819999999999993</v>
      </c>
      <c r="AJ46" s="6"/>
    </row>
    <row r="47" spans="1:36">
      <c r="A47">
        <v>1777990500000</v>
      </c>
      <c r="B47">
        <v>47.9</v>
      </c>
      <c r="D47">
        <v>1777990500000</v>
      </c>
      <c r="E47">
        <v>68.63</v>
      </c>
      <c r="F47" s="6"/>
      <c r="G47">
        <v>1778076900000</v>
      </c>
      <c r="H47">
        <v>50.55</v>
      </c>
      <c r="J47">
        <v>1778076900000</v>
      </c>
      <c r="K47">
        <v>66.98</v>
      </c>
      <c r="L47" s="6"/>
      <c r="M47">
        <v>1779113700000</v>
      </c>
      <c r="N47">
        <v>45.59</v>
      </c>
      <c r="P47">
        <v>1779113700000</v>
      </c>
      <c r="Q47">
        <v>61.84</v>
      </c>
      <c r="R47" s="6"/>
      <c r="S47">
        <v>1782224100000</v>
      </c>
      <c r="T47">
        <v>50.71</v>
      </c>
      <c r="V47">
        <v>1782224100000</v>
      </c>
      <c r="W47">
        <v>66.510000000000005</v>
      </c>
      <c r="X47" s="6"/>
      <c r="Y47">
        <v>1784038500000</v>
      </c>
      <c r="Z47">
        <v>64.25</v>
      </c>
      <c r="AB47">
        <v>1784038500000</v>
      </c>
      <c r="AC47">
        <v>68.900000000000006</v>
      </c>
      <c r="AD47" s="6"/>
      <c r="AE47">
        <v>1784124900000</v>
      </c>
      <c r="AF47">
        <v>43.59</v>
      </c>
      <c r="AH47">
        <v>1784124900000</v>
      </c>
      <c r="AI47">
        <v>68.849999999999994</v>
      </c>
      <c r="AJ47" s="6"/>
    </row>
    <row r="48" spans="1:36">
      <c r="A48">
        <v>1777991400000</v>
      </c>
      <c r="B48">
        <v>58.28</v>
      </c>
      <c r="D48">
        <v>1777991400000</v>
      </c>
      <c r="E48">
        <v>71.540000000000006</v>
      </c>
      <c r="F48" s="6"/>
      <c r="G48">
        <v>1778077800000</v>
      </c>
      <c r="H48">
        <v>52.71</v>
      </c>
      <c r="J48">
        <v>1778077800000</v>
      </c>
      <c r="K48">
        <v>71.19</v>
      </c>
      <c r="L48" s="6"/>
      <c r="M48">
        <v>1779114600000</v>
      </c>
      <c r="N48">
        <v>54.39</v>
      </c>
      <c r="P48">
        <v>1779114600000</v>
      </c>
      <c r="Q48">
        <v>64.22</v>
      </c>
      <c r="R48" s="6"/>
      <c r="S48">
        <v>1782225000000</v>
      </c>
      <c r="T48">
        <v>55.6</v>
      </c>
      <c r="V48">
        <v>1782225000000</v>
      </c>
      <c r="W48">
        <v>69.84</v>
      </c>
      <c r="X48" s="6"/>
      <c r="Y48">
        <v>1784039400000</v>
      </c>
      <c r="Z48">
        <v>57.89</v>
      </c>
      <c r="AB48">
        <v>1784039400000</v>
      </c>
      <c r="AC48">
        <v>74.67</v>
      </c>
      <c r="AD48" s="6"/>
      <c r="AE48">
        <v>1784125800000</v>
      </c>
      <c r="AF48">
        <v>57.55</v>
      </c>
      <c r="AH48">
        <v>1784125800000</v>
      </c>
      <c r="AI48">
        <v>73.14</v>
      </c>
      <c r="AJ48" s="6"/>
    </row>
    <row r="49" spans="1:36">
      <c r="A49">
        <v>1777992300000</v>
      </c>
      <c r="B49">
        <v>59.7</v>
      </c>
      <c r="D49">
        <v>1777992300000</v>
      </c>
      <c r="E49">
        <v>68.12</v>
      </c>
      <c r="F49" s="6"/>
      <c r="G49">
        <v>1778078700000</v>
      </c>
      <c r="H49">
        <v>51.59</v>
      </c>
      <c r="J49">
        <v>1778078700000</v>
      </c>
      <c r="K49">
        <v>63.91</v>
      </c>
      <c r="L49" s="6"/>
      <c r="M49">
        <v>1779115500000</v>
      </c>
      <c r="N49">
        <v>56.71</v>
      </c>
      <c r="P49">
        <v>1779115500000</v>
      </c>
      <c r="Q49">
        <v>66.62</v>
      </c>
      <c r="R49" s="6"/>
      <c r="S49">
        <v>1782225900000</v>
      </c>
      <c r="T49">
        <v>43.26</v>
      </c>
      <c r="V49">
        <v>1782225900000</v>
      </c>
      <c r="W49">
        <v>70.8</v>
      </c>
      <c r="X49" s="6"/>
      <c r="Y49">
        <v>1784040300000</v>
      </c>
      <c r="Z49">
        <v>51.69</v>
      </c>
      <c r="AB49">
        <v>1784040300000</v>
      </c>
      <c r="AC49">
        <v>69.84</v>
      </c>
      <c r="AD49" s="6"/>
      <c r="AE49">
        <v>1784126700000</v>
      </c>
      <c r="AF49">
        <v>58.79</v>
      </c>
      <c r="AH49">
        <v>1784126700000</v>
      </c>
      <c r="AI49">
        <v>70.27</v>
      </c>
      <c r="AJ49" s="6"/>
    </row>
    <row r="50" spans="1:36">
      <c r="A50">
        <v>1777993200000</v>
      </c>
      <c r="B50">
        <v>47.18</v>
      </c>
      <c r="D50">
        <v>1777993200000</v>
      </c>
      <c r="E50">
        <v>66.349999999999994</v>
      </c>
      <c r="F50" s="6"/>
      <c r="G50">
        <v>1778079600000</v>
      </c>
      <c r="H50">
        <v>49.65</v>
      </c>
      <c r="J50">
        <v>1778079600000</v>
      </c>
      <c r="K50">
        <v>63.31</v>
      </c>
      <c r="L50" s="6"/>
      <c r="M50">
        <v>1779116400000</v>
      </c>
      <c r="N50">
        <v>44.64</v>
      </c>
      <c r="P50">
        <v>1779116400000</v>
      </c>
      <c r="Q50">
        <v>63.89</v>
      </c>
      <c r="R50" s="6"/>
      <c r="S50">
        <v>1782226800000</v>
      </c>
      <c r="T50">
        <v>47.06</v>
      </c>
      <c r="V50">
        <v>1782226800000</v>
      </c>
      <c r="W50">
        <v>69.599999999999994</v>
      </c>
      <c r="X50" s="6"/>
      <c r="Y50">
        <v>1784041200000</v>
      </c>
      <c r="Z50">
        <v>44.36</v>
      </c>
      <c r="AB50">
        <v>1784041200000</v>
      </c>
      <c r="AC50">
        <v>71.650000000000006</v>
      </c>
      <c r="AD50" s="6"/>
      <c r="AE50">
        <v>1784127600000</v>
      </c>
      <c r="AF50">
        <v>44.8</v>
      </c>
      <c r="AH50">
        <v>1784127600000</v>
      </c>
      <c r="AI50">
        <v>73.81</v>
      </c>
      <c r="AJ50" s="6"/>
    </row>
    <row r="51" spans="1:36">
      <c r="A51">
        <v>1777994100000</v>
      </c>
      <c r="B51">
        <v>36.6</v>
      </c>
      <c r="D51">
        <v>1777994100000</v>
      </c>
      <c r="E51">
        <v>68.260000000000005</v>
      </c>
      <c r="F51" s="6"/>
      <c r="G51">
        <v>1778080500000</v>
      </c>
      <c r="H51">
        <v>51.5</v>
      </c>
      <c r="J51">
        <v>1778080500000</v>
      </c>
      <c r="K51">
        <v>66.61</v>
      </c>
      <c r="L51" s="6"/>
      <c r="M51">
        <v>1779117300000</v>
      </c>
      <c r="N51">
        <v>48.24</v>
      </c>
      <c r="P51">
        <v>1779117300000</v>
      </c>
      <c r="Q51">
        <v>63.25</v>
      </c>
      <c r="R51" s="6"/>
      <c r="S51">
        <v>1782227700000</v>
      </c>
      <c r="T51">
        <v>46.04</v>
      </c>
      <c r="V51">
        <v>1782227700000</v>
      </c>
      <c r="W51">
        <v>58.99</v>
      </c>
      <c r="X51" s="6"/>
      <c r="Y51">
        <v>1784042100000</v>
      </c>
      <c r="Z51">
        <v>39.11</v>
      </c>
      <c r="AB51">
        <v>1784042100000</v>
      </c>
      <c r="AC51">
        <v>72.63</v>
      </c>
      <c r="AD51" s="6"/>
      <c r="AE51">
        <v>1784128500000</v>
      </c>
      <c r="AF51">
        <v>48.94</v>
      </c>
      <c r="AH51">
        <v>1784128500000</v>
      </c>
      <c r="AI51">
        <v>66.05</v>
      </c>
      <c r="AJ51" s="6"/>
    </row>
    <row r="52" spans="1:36">
      <c r="A52">
        <v>1777995000000</v>
      </c>
      <c r="B52">
        <v>58</v>
      </c>
      <c r="D52">
        <v>1777995000000</v>
      </c>
      <c r="E52">
        <v>67.63</v>
      </c>
      <c r="F52" s="6"/>
      <c r="G52">
        <v>1778081400000</v>
      </c>
      <c r="H52">
        <v>55.24</v>
      </c>
      <c r="J52">
        <v>1778081400000</v>
      </c>
      <c r="K52">
        <v>60.06</v>
      </c>
      <c r="L52" s="6"/>
      <c r="M52">
        <v>1779118200000</v>
      </c>
      <c r="N52">
        <v>57.87</v>
      </c>
      <c r="P52">
        <v>1779118200000</v>
      </c>
      <c r="Q52">
        <v>65.53</v>
      </c>
      <c r="R52" s="6"/>
      <c r="S52">
        <v>1782228600000</v>
      </c>
      <c r="T52">
        <v>67.430000000000007</v>
      </c>
      <c r="V52">
        <v>1782228600000</v>
      </c>
      <c r="W52">
        <v>64.86</v>
      </c>
      <c r="X52" s="6"/>
      <c r="Y52">
        <v>1784043000000</v>
      </c>
      <c r="Z52">
        <v>49.81</v>
      </c>
      <c r="AB52">
        <v>1784043000000</v>
      </c>
      <c r="AC52">
        <v>72.66</v>
      </c>
      <c r="AD52" s="6"/>
      <c r="AE52">
        <v>1784129400000</v>
      </c>
      <c r="AF52">
        <v>51.15</v>
      </c>
      <c r="AH52">
        <v>1784129400000</v>
      </c>
      <c r="AI52">
        <v>70.709999999999994</v>
      </c>
      <c r="AJ52" s="6"/>
    </row>
    <row r="53" spans="1:36">
      <c r="A53">
        <v>1777995900000</v>
      </c>
      <c r="B53">
        <v>60.56</v>
      </c>
      <c r="D53">
        <v>1777995900000</v>
      </c>
      <c r="E53">
        <v>68.790000000000006</v>
      </c>
      <c r="F53" s="6"/>
      <c r="G53">
        <v>1778082300000</v>
      </c>
      <c r="H53">
        <v>65.44</v>
      </c>
      <c r="J53">
        <v>1778082300000</v>
      </c>
      <c r="K53">
        <v>72.010000000000005</v>
      </c>
      <c r="L53" s="6"/>
      <c r="M53">
        <v>1779119100000</v>
      </c>
      <c r="N53">
        <v>47.31</v>
      </c>
      <c r="P53">
        <v>1779119100000</v>
      </c>
      <c r="Q53">
        <v>60.79</v>
      </c>
      <c r="R53" s="6"/>
      <c r="S53">
        <v>1782229500000</v>
      </c>
      <c r="T53">
        <v>66.44</v>
      </c>
      <c r="V53">
        <v>1782229500000</v>
      </c>
      <c r="W53">
        <v>71.430000000000007</v>
      </c>
      <c r="X53" s="6"/>
      <c r="Y53">
        <v>1784043900000</v>
      </c>
      <c r="Z53">
        <v>54.95</v>
      </c>
      <c r="AB53">
        <v>1784043900000</v>
      </c>
      <c r="AC53">
        <v>65.849999999999994</v>
      </c>
      <c r="AD53" s="6"/>
      <c r="AE53">
        <v>1784130300000</v>
      </c>
      <c r="AF53">
        <v>60.96</v>
      </c>
      <c r="AH53">
        <v>1784130300000</v>
      </c>
      <c r="AI53">
        <v>73.33</v>
      </c>
      <c r="AJ53" s="6"/>
    </row>
    <row r="54" spans="1:36">
      <c r="A54">
        <v>1777996800000</v>
      </c>
      <c r="B54">
        <v>53.28</v>
      </c>
      <c r="D54">
        <v>1777996800000</v>
      </c>
      <c r="E54">
        <v>67.08</v>
      </c>
      <c r="F54" s="6"/>
      <c r="G54">
        <v>1778083200000</v>
      </c>
      <c r="H54">
        <v>54.03</v>
      </c>
      <c r="J54">
        <v>1778083200000</v>
      </c>
      <c r="K54">
        <v>65.33</v>
      </c>
      <c r="L54" s="6"/>
      <c r="M54">
        <v>1779120000000</v>
      </c>
      <c r="N54">
        <v>64.58</v>
      </c>
      <c r="P54">
        <v>1779120000000</v>
      </c>
      <c r="Q54">
        <v>70.790000000000006</v>
      </c>
      <c r="R54" s="6"/>
      <c r="S54">
        <v>1782230400000</v>
      </c>
      <c r="T54">
        <v>63.55</v>
      </c>
      <c r="V54">
        <v>1782230400000</v>
      </c>
      <c r="W54">
        <v>66.83</v>
      </c>
      <c r="X54" s="6"/>
      <c r="Y54">
        <v>1784044800000</v>
      </c>
      <c r="Z54">
        <v>62.81</v>
      </c>
      <c r="AB54">
        <v>1784044800000</v>
      </c>
      <c r="AC54">
        <v>76.73</v>
      </c>
      <c r="AD54" s="6"/>
      <c r="AE54">
        <v>1784131200000</v>
      </c>
      <c r="AF54">
        <v>50.81</v>
      </c>
      <c r="AH54">
        <v>1784131200000</v>
      </c>
      <c r="AI54">
        <v>70.95</v>
      </c>
      <c r="AJ54" s="6"/>
    </row>
    <row r="55" spans="1:36">
      <c r="A55">
        <v>1777997700000</v>
      </c>
      <c r="B55">
        <v>51.22</v>
      </c>
      <c r="D55">
        <v>1777997700000</v>
      </c>
      <c r="E55">
        <v>62.38</v>
      </c>
      <c r="F55" s="6"/>
      <c r="G55">
        <v>1778084100000</v>
      </c>
      <c r="H55">
        <v>58.78</v>
      </c>
      <c r="J55">
        <v>1778084100000</v>
      </c>
      <c r="K55">
        <v>65.88</v>
      </c>
      <c r="L55" s="6"/>
      <c r="M55">
        <v>1779120900000</v>
      </c>
      <c r="N55">
        <v>56.29</v>
      </c>
      <c r="P55">
        <v>1779120900000</v>
      </c>
      <c r="Q55">
        <v>65.97</v>
      </c>
      <c r="R55" s="6"/>
      <c r="S55">
        <v>1782231300000</v>
      </c>
      <c r="T55">
        <v>52.96</v>
      </c>
      <c r="V55">
        <v>1782231300000</v>
      </c>
      <c r="W55">
        <v>64.709999999999994</v>
      </c>
      <c r="X55" s="6"/>
      <c r="Y55">
        <v>1784045700000</v>
      </c>
      <c r="Z55">
        <v>59.17</v>
      </c>
      <c r="AB55">
        <v>1784045700000</v>
      </c>
      <c r="AC55">
        <v>63.49</v>
      </c>
      <c r="AD55" s="6"/>
      <c r="AE55">
        <v>1784132100000</v>
      </c>
      <c r="AF55">
        <v>59.65</v>
      </c>
      <c r="AH55">
        <v>1784132100000</v>
      </c>
      <c r="AI55">
        <v>71.77</v>
      </c>
      <c r="AJ55" s="6"/>
    </row>
    <row r="56" spans="1:36">
      <c r="A56">
        <v>1777998600000</v>
      </c>
      <c r="B56">
        <v>45.97</v>
      </c>
      <c r="D56">
        <v>1777998600000</v>
      </c>
      <c r="E56">
        <v>68.72</v>
      </c>
      <c r="F56" s="6"/>
      <c r="G56">
        <v>1778085000000</v>
      </c>
      <c r="H56">
        <v>60.47</v>
      </c>
      <c r="J56">
        <v>1778085000000</v>
      </c>
      <c r="K56">
        <v>66.97</v>
      </c>
      <c r="L56" s="6"/>
      <c r="M56">
        <v>1779121800000</v>
      </c>
      <c r="N56">
        <v>52.18</v>
      </c>
      <c r="P56">
        <v>1779121800000</v>
      </c>
      <c r="Q56">
        <v>67.47</v>
      </c>
      <c r="R56" s="6"/>
      <c r="S56">
        <v>1782232200000</v>
      </c>
      <c r="T56">
        <v>56.44</v>
      </c>
      <c r="V56">
        <v>1782232200000</v>
      </c>
      <c r="W56">
        <v>62.24</v>
      </c>
      <c r="X56" s="6"/>
      <c r="Y56">
        <v>1784046600000</v>
      </c>
      <c r="Z56">
        <v>57.58</v>
      </c>
      <c r="AB56">
        <v>1784046600000</v>
      </c>
      <c r="AC56">
        <v>69.8</v>
      </c>
      <c r="AD56" s="6"/>
      <c r="AE56">
        <v>1784133000000</v>
      </c>
      <c r="AF56">
        <v>50.55</v>
      </c>
      <c r="AH56">
        <v>1784133000000</v>
      </c>
      <c r="AI56">
        <v>69.03</v>
      </c>
      <c r="AJ56" s="6"/>
    </row>
    <row r="57" spans="1:36">
      <c r="A57">
        <v>1777999500000</v>
      </c>
      <c r="B57">
        <v>55.47</v>
      </c>
      <c r="D57">
        <v>1777999500000</v>
      </c>
      <c r="E57">
        <v>70.7</v>
      </c>
      <c r="F57" s="6"/>
      <c r="G57">
        <v>1778085900000</v>
      </c>
      <c r="H57">
        <v>62.75</v>
      </c>
      <c r="J57">
        <v>1778085900000</v>
      </c>
      <c r="K57">
        <v>70.05</v>
      </c>
      <c r="L57" s="6"/>
      <c r="M57">
        <v>1779122700000</v>
      </c>
      <c r="N57">
        <v>56.19</v>
      </c>
      <c r="P57">
        <v>1779122700000</v>
      </c>
      <c r="Q57">
        <v>64.8</v>
      </c>
      <c r="R57" s="6"/>
      <c r="S57">
        <v>1782233100000</v>
      </c>
      <c r="T57">
        <v>51.79</v>
      </c>
      <c r="V57">
        <v>1782233100000</v>
      </c>
      <c r="W57">
        <v>71.56</v>
      </c>
      <c r="X57" s="6"/>
      <c r="Y57">
        <v>1784047500000</v>
      </c>
      <c r="Z57">
        <v>61.74</v>
      </c>
      <c r="AB57">
        <v>1784047500000</v>
      </c>
      <c r="AC57">
        <v>71.23</v>
      </c>
      <c r="AD57" s="6"/>
      <c r="AE57">
        <v>1784133900000</v>
      </c>
      <c r="AF57">
        <v>52.02</v>
      </c>
      <c r="AH57">
        <v>1784133900000</v>
      </c>
      <c r="AI57">
        <v>69.23</v>
      </c>
      <c r="AJ57" s="6"/>
    </row>
    <row r="58" spans="1:36">
      <c r="A58">
        <v>1778000400000</v>
      </c>
      <c r="B58">
        <v>52.3</v>
      </c>
      <c r="D58">
        <v>1778000400000</v>
      </c>
      <c r="E58">
        <v>71.48</v>
      </c>
      <c r="F58" s="6"/>
      <c r="G58">
        <v>1778086800000</v>
      </c>
      <c r="H58">
        <v>57.84</v>
      </c>
      <c r="J58">
        <v>1778086800000</v>
      </c>
      <c r="K58">
        <v>70.92</v>
      </c>
      <c r="L58" s="6"/>
      <c r="M58">
        <v>1779123600000</v>
      </c>
      <c r="N58">
        <v>58.03</v>
      </c>
      <c r="P58">
        <v>1779123600000</v>
      </c>
      <c r="Q58">
        <v>67.400000000000006</v>
      </c>
      <c r="R58" s="6"/>
      <c r="S58">
        <v>1782234000000</v>
      </c>
      <c r="T58">
        <v>49.3</v>
      </c>
      <c r="V58">
        <v>1782234000000</v>
      </c>
      <c r="W58">
        <v>68</v>
      </c>
      <c r="X58" s="6"/>
      <c r="Y58">
        <v>1784048400000</v>
      </c>
      <c r="Z58">
        <v>50.92</v>
      </c>
      <c r="AB58">
        <v>1784048400000</v>
      </c>
      <c r="AC58">
        <v>72.98</v>
      </c>
      <c r="AD58" s="6"/>
      <c r="AE58">
        <v>1784134800000</v>
      </c>
      <c r="AF58">
        <v>61.82</v>
      </c>
      <c r="AH58">
        <v>1784134800000</v>
      </c>
      <c r="AI58">
        <v>73.599999999999994</v>
      </c>
      <c r="AJ58" s="6"/>
    </row>
    <row r="59" spans="1:36">
      <c r="A59">
        <v>1778001300000</v>
      </c>
      <c r="B59">
        <v>58.23</v>
      </c>
      <c r="D59">
        <v>1778001300000</v>
      </c>
      <c r="E59">
        <v>71.69</v>
      </c>
      <c r="F59" s="6"/>
      <c r="G59">
        <v>1778087700000</v>
      </c>
      <c r="H59">
        <v>67.430000000000007</v>
      </c>
      <c r="J59">
        <v>1778087700000</v>
      </c>
      <c r="K59">
        <v>73.72</v>
      </c>
      <c r="L59" s="6"/>
      <c r="M59">
        <v>1779124500000</v>
      </c>
      <c r="N59">
        <v>59</v>
      </c>
      <c r="P59">
        <v>1779124500000</v>
      </c>
      <c r="Q59">
        <v>70.33</v>
      </c>
      <c r="R59" s="6"/>
      <c r="S59">
        <v>1782234900000</v>
      </c>
      <c r="T59">
        <v>53.21</v>
      </c>
      <c r="V59">
        <v>1782234900000</v>
      </c>
      <c r="W59">
        <v>72.62</v>
      </c>
      <c r="X59" s="6"/>
      <c r="Y59">
        <v>1784049300000</v>
      </c>
      <c r="Z59">
        <v>60.47</v>
      </c>
      <c r="AB59">
        <v>1784049300000</v>
      </c>
      <c r="AC59">
        <v>71.77</v>
      </c>
      <c r="AD59" s="6"/>
      <c r="AE59">
        <v>1784135700000</v>
      </c>
      <c r="AF59">
        <v>55.14</v>
      </c>
      <c r="AH59">
        <v>1784135700000</v>
      </c>
      <c r="AI59">
        <v>75.77</v>
      </c>
      <c r="AJ59" s="6"/>
    </row>
    <row r="60" spans="1:36">
      <c r="A60">
        <v>1778002200000</v>
      </c>
      <c r="B60">
        <v>56.46</v>
      </c>
      <c r="D60">
        <v>1778002200000</v>
      </c>
      <c r="E60">
        <v>72.27</v>
      </c>
      <c r="F60" s="6"/>
      <c r="G60">
        <v>1778088600000</v>
      </c>
      <c r="H60">
        <v>68.92</v>
      </c>
      <c r="J60">
        <v>1778088600000</v>
      </c>
      <c r="K60">
        <v>71.540000000000006</v>
      </c>
      <c r="L60" s="6"/>
      <c r="M60">
        <v>1779125400000</v>
      </c>
      <c r="N60">
        <v>59.02</v>
      </c>
      <c r="P60">
        <v>1779125400000</v>
      </c>
      <c r="Q60">
        <v>70.72</v>
      </c>
      <c r="R60" s="6"/>
      <c r="S60">
        <v>1782235800000</v>
      </c>
      <c r="T60">
        <v>57.52</v>
      </c>
      <c r="V60">
        <v>1782235800000</v>
      </c>
      <c r="W60">
        <v>72.59</v>
      </c>
      <c r="X60" s="6"/>
      <c r="Y60">
        <v>1784050200000</v>
      </c>
      <c r="Z60">
        <v>54.35</v>
      </c>
      <c r="AB60">
        <v>1784050200000</v>
      </c>
      <c r="AC60">
        <v>75.239999999999995</v>
      </c>
      <c r="AD60" s="6"/>
      <c r="AE60">
        <v>1784136600000</v>
      </c>
      <c r="AF60">
        <v>59.58</v>
      </c>
      <c r="AH60">
        <v>1784136600000</v>
      </c>
      <c r="AI60">
        <v>72.16</v>
      </c>
      <c r="AJ60" s="6"/>
    </row>
    <row r="61" spans="1:36">
      <c r="A61">
        <v>1778003100000</v>
      </c>
      <c r="B61">
        <v>55.32</v>
      </c>
      <c r="D61">
        <v>1778003100000</v>
      </c>
      <c r="E61">
        <v>70.180000000000007</v>
      </c>
      <c r="F61" s="6"/>
      <c r="G61">
        <v>1778089500000</v>
      </c>
      <c r="H61">
        <v>61.19</v>
      </c>
      <c r="J61">
        <v>1778089500000</v>
      </c>
      <c r="K61">
        <v>70.48</v>
      </c>
      <c r="L61" s="6"/>
      <c r="M61">
        <v>1779126300000</v>
      </c>
      <c r="N61">
        <v>51.49</v>
      </c>
      <c r="P61">
        <v>1779126300000</v>
      </c>
      <c r="Q61">
        <v>69.040000000000006</v>
      </c>
      <c r="R61" s="6"/>
      <c r="S61">
        <v>1782236700000</v>
      </c>
      <c r="T61">
        <v>44.92</v>
      </c>
      <c r="V61">
        <v>1782236700000</v>
      </c>
      <c r="W61">
        <v>71.39</v>
      </c>
      <c r="X61" s="6"/>
      <c r="Y61">
        <v>1784051100000</v>
      </c>
      <c r="Z61">
        <v>53.74</v>
      </c>
      <c r="AB61">
        <v>1784051100000</v>
      </c>
      <c r="AC61">
        <v>75.930000000000007</v>
      </c>
      <c r="AD61" s="6"/>
      <c r="AE61">
        <v>1784137500000</v>
      </c>
      <c r="AF61">
        <v>47.45</v>
      </c>
      <c r="AH61">
        <v>1784137500000</v>
      </c>
      <c r="AI61">
        <v>74.59</v>
      </c>
      <c r="AJ61" s="6"/>
    </row>
    <row r="62" spans="1:36">
      <c r="A62">
        <v>1778004000000</v>
      </c>
      <c r="B62">
        <v>47.12</v>
      </c>
      <c r="D62">
        <v>1778004000000</v>
      </c>
      <c r="E62">
        <v>68</v>
      </c>
      <c r="F62" s="6"/>
      <c r="G62">
        <v>1778090400000</v>
      </c>
      <c r="H62">
        <v>52.23</v>
      </c>
      <c r="J62">
        <v>1778090400000</v>
      </c>
      <c r="K62">
        <v>69.540000000000006</v>
      </c>
      <c r="L62" s="6"/>
      <c r="M62">
        <v>1779127200000</v>
      </c>
      <c r="N62">
        <v>51.63</v>
      </c>
      <c r="P62">
        <v>1779127200000</v>
      </c>
      <c r="Q62">
        <v>68.78</v>
      </c>
      <c r="R62" s="6"/>
      <c r="S62">
        <v>1782237600000</v>
      </c>
      <c r="T62">
        <v>55.77</v>
      </c>
      <c r="V62">
        <v>1782237600000</v>
      </c>
      <c r="W62">
        <v>77.25</v>
      </c>
      <c r="X62" s="6"/>
      <c r="Y62">
        <v>1784052000000</v>
      </c>
      <c r="Z62">
        <v>60.21</v>
      </c>
      <c r="AB62">
        <v>1784052000000</v>
      </c>
      <c r="AC62">
        <v>76.75</v>
      </c>
      <c r="AD62" s="6"/>
      <c r="AE62">
        <v>1784138400000</v>
      </c>
      <c r="AF62">
        <v>54.03</v>
      </c>
      <c r="AH62">
        <v>1784138400000</v>
      </c>
      <c r="AI62">
        <v>81.06</v>
      </c>
      <c r="AJ62" s="6"/>
    </row>
    <row r="63" spans="1:36">
      <c r="A63">
        <v>1778004900000</v>
      </c>
      <c r="B63">
        <v>50.73</v>
      </c>
      <c r="D63">
        <v>1778004900000</v>
      </c>
      <c r="E63">
        <v>72.28</v>
      </c>
      <c r="F63" s="6"/>
      <c r="G63">
        <v>1778091300000</v>
      </c>
      <c r="H63">
        <v>60.46</v>
      </c>
      <c r="J63">
        <v>1778091300000</v>
      </c>
      <c r="K63">
        <v>71.569999999999993</v>
      </c>
      <c r="L63" s="6"/>
      <c r="M63">
        <v>1779128100000</v>
      </c>
      <c r="N63">
        <v>49.44</v>
      </c>
      <c r="P63">
        <v>1779128100000</v>
      </c>
      <c r="Q63">
        <v>68.900000000000006</v>
      </c>
      <c r="R63" s="6"/>
      <c r="S63">
        <v>1782238500000</v>
      </c>
      <c r="T63">
        <v>53.55</v>
      </c>
      <c r="V63">
        <v>1782238500000</v>
      </c>
      <c r="W63">
        <v>75.78</v>
      </c>
      <c r="X63" s="6"/>
      <c r="Y63">
        <v>1784052900000</v>
      </c>
      <c r="Z63">
        <v>52.04</v>
      </c>
      <c r="AB63">
        <v>1784052900000</v>
      </c>
      <c r="AC63">
        <v>74.38</v>
      </c>
      <c r="AD63" s="6"/>
      <c r="AE63">
        <v>1784139300000</v>
      </c>
      <c r="AF63">
        <v>56.9</v>
      </c>
      <c r="AH63">
        <v>1784139300000</v>
      </c>
      <c r="AI63">
        <v>75.319999999999993</v>
      </c>
      <c r="AJ63" s="6"/>
    </row>
    <row r="64" spans="1:36">
      <c r="A64">
        <v>1778005800000</v>
      </c>
      <c r="B64">
        <v>58.82</v>
      </c>
      <c r="D64">
        <v>1778005800000</v>
      </c>
      <c r="E64">
        <v>75.27</v>
      </c>
      <c r="F64" s="6"/>
      <c r="G64">
        <v>1778092200000</v>
      </c>
      <c r="H64">
        <v>53.81</v>
      </c>
      <c r="J64">
        <v>1778092200000</v>
      </c>
      <c r="K64">
        <v>73.239999999999995</v>
      </c>
      <c r="L64" s="6"/>
      <c r="M64">
        <v>1779129000000</v>
      </c>
      <c r="N64">
        <v>54.94</v>
      </c>
      <c r="P64">
        <v>1779129000000</v>
      </c>
      <c r="Q64">
        <v>73.290000000000006</v>
      </c>
      <c r="R64" s="6"/>
      <c r="S64">
        <v>1782239400000</v>
      </c>
      <c r="T64">
        <v>62.3</v>
      </c>
      <c r="V64">
        <v>1782239400000</v>
      </c>
      <c r="W64">
        <v>73.150000000000006</v>
      </c>
      <c r="X64" s="6"/>
      <c r="Y64">
        <v>1784053800000</v>
      </c>
      <c r="Z64">
        <v>50.15</v>
      </c>
      <c r="AB64">
        <v>1784053800000</v>
      </c>
      <c r="AC64">
        <v>74.59</v>
      </c>
      <c r="AD64" s="6"/>
      <c r="AE64">
        <v>1784140200000</v>
      </c>
      <c r="AF64">
        <v>55.44</v>
      </c>
      <c r="AH64">
        <v>1784140200000</v>
      </c>
      <c r="AI64">
        <v>69.77</v>
      </c>
      <c r="AJ64" s="6"/>
    </row>
    <row r="65" spans="1:36">
      <c r="A65">
        <v>1778006700000</v>
      </c>
      <c r="B65">
        <v>55.23</v>
      </c>
      <c r="D65">
        <v>1778006700000</v>
      </c>
      <c r="E65">
        <v>72.22</v>
      </c>
      <c r="F65" s="6"/>
      <c r="G65">
        <v>1778093100000</v>
      </c>
      <c r="H65">
        <v>53.02</v>
      </c>
      <c r="J65">
        <v>1778093100000</v>
      </c>
      <c r="K65">
        <v>71.95</v>
      </c>
      <c r="L65" s="6"/>
      <c r="M65">
        <v>1779129900000</v>
      </c>
      <c r="N65">
        <v>61.17</v>
      </c>
      <c r="P65">
        <v>1779129900000</v>
      </c>
      <c r="Q65">
        <v>72.349999999999994</v>
      </c>
      <c r="R65" s="6"/>
      <c r="S65">
        <v>1782240300000</v>
      </c>
      <c r="T65">
        <v>52.55</v>
      </c>
      <c r="V65">
        <v>1782240300000</v>
      </c>
      <c r="W65">
        <v>77.84</v>
      </c>
      <c r="X65" s="6"/>
      <c r="Y65">
        <v>1784054700000</v>
      </c>
      <c r="Z65">
        <v>52.04</v>
      </c>
      <c r="AB65">
        <v>1784054700000</v>
      </c>
      <c r="AC65">
        <v>77.67</v>
      </c>
      <c r="AD65" s="6"/>
      <c r="AE65">
        <v>1784141100000</v>
      </c>
      <c r="AF65">
        <v>49.58</v>
      </c>
      <c r="AH65">
        <v>1784141100000</v>
      </c>
      <c r="AI65">
        <v>71.650000000000006</v>
      </c>
      <c r="AJ65" s="6"/>
    </row>
    <row r="66" spans="1:36">
      <c r="A66">
        <v>1778007600000</v>
      </c>
      <c r="B66">
        <v>58.66</v>
      </c>
      <c r="D66">
        <v>1778007600000</v>
      </c>
      <c r="E66">
        <v>72.06</v>
      </c>
      <c r="F66" s="6"/>
      <c r="G66">
        <v>1778094000000</v>
      </c>
      <c r="H66">
        <v>52.15</v>
      </c>
      <c r="J66">
        <v>1778094000000</v>
      </c>
      <c r="K66">
        <v>74.36</v>
      </c>
      <c r="L66" s="6"/>
      <c r="M66">
        <v>1779130800000</v>
      </c>
      <c r="N66">
        <v>57</v>
      </c>
      <c r="P66">
        <v>1779130800000</v>
      </c>
      <c r="Q66">
        <v>71.97</v>
      </c>
      <c r="R66" s="6"/>
      <c r="S66">
        <v>1782241200000</v>
      </c>
      <c r="T66">
        <v>60.21</v>
      </c>
      <c r="V66">
        <v>1782241200000</v>
      </c>
      <c r="W66">
        <v>77.16</v>
      </c>
      <c r="X66" s="6"/>
      <c r="Y66">
        <v>1784055600000</v>
      </c>
      <c r="Z66">
        <v>60.8</v>
      </c>
      <c r="AB66">
        <v>1784055600000</v>
      </c>
      <c r="AC66">
        <v>74.349999999999994</v>
      </c>
      <c r="AD66" s="6"/>
      <c r="AE66">
        <v>1784142000000</v>
      </c>
      <c r="AF66">
        <v>51.95</v>
      </c>
      <c r="AH66">
        <v>1784142000000</v>
      </c>
      <c r="AI66">
        <v>74.849999999999994</v>
      </c>
      <c r="AJ66" s="6"/>
    </row>
    <row r="67" spans="1:36">
      <c r="A67">
        <v>1778008500000</v>
      </c>
      <c r="B67">
        <v>46.88</v>
      </c>
      <c r="D67">
        <v>1778008500000</v>
      </c>
      <c r="E67">
        <v>66.12</v>
      </c>
      <c r="F67" s="6"/>
      <c r="G67">
        <v>1778094900000</v>
      </c>
      <c r="H67">
        <v>53.6</v>
      </c>
      <c r="J67">
        <v>1778094900000</v>
      </c>
      <c r="K67">
        <v>70.400000000000006</v>
      </c>
      <c r="L67" s="6"/>
      <c r="M67">
        <v>1779131700000</v>
      </c>
      <c r="N67">
        <v>55.99</v>
      </c>
      <c r="P67">
        <v>1779131700000</v>
      </c>
      <c r="Q67">
        <v>70.239999999999995</v>
      </c>
      <c r="R67" s="6"/>
      <c r="S67">
        <v>1782242100000</v>
      </c>
      <c r="T67">
        <v>52.82</v>
      </c>
      <c r="V67">
        <v>1782242100000</v>
      </c>
      <c r="W67">
        <v>77.44</v>
      </c>
      <c r="X67" s="6"/>
      <c r="Y67">
        <v>1784056500000</v>
      </c>
      <c r="Z67">
        <v>60.82</v>
      </c>
      <c r="AB67">
        <v>1784056500000</v>
      </c>
      <c r="AC67">
        <v>72.5</v>
      </c>
      <c r="AD67" s="6"/>
      <c r="AE67">
        <v>1784142900000</v>
      </c>
      <c r="AF67">
        <v>52.05</v>
      </c>
      <c r="AH67">
        <v>1784142900000</v>
      </c>
      <c r="AI67">
        <v>74.56</v>
      </c>
      <c r="AJ67" s="6"/>
    </row>
    <row r="68" spans="1:36">
      <c r="A68">
        <v>1778009400000</v>
      </c>
      <c r="B68">
        <v>57.64</v>
      </c>
      <c r="D68">
        <v>1778009400000</v>
      </c>
      <c r="E68">
        <v>74.63</v>
      </c>
      <c r="F68" s="6"/>
      <c r="G68">
        <v>1778095800000</v>
      </c>
      <c r="H68">
        <v>58.1</v>
      </c>
      <c r="J68">
        <v>1778095800000</v>
      </c>
      <c r="K68">
        <v>71.61</v>
      </c>
      <c r="L68" s="6"/>
      <c r="M68">
        <v>1779132600000</v>
      </c>
      <c r="N68">
        <v>58.58</v>
      </c>
      <c r="P68">
        <v>1779132600000</v>
      </c>
      <c r="Q68">
        <v>67.98</v>
      </c>
      <c r="R68" s="6"/>
      <c r="S68">
        <v>1782243000000</v>
      </c>
      <c r="T68">
        <v>51.69</v>
      </c>
      <c r="V68">
        <v>1782243000000</v>
      </c>
      <c r="W68">
        <v>70.92</v>
      </c>
      <c r="X68" s="6"/>
      <c r="Y68">
        <v>1784057400000</v>
      </c>
      <c r="Z68">
        <v>63.68</v>
      </c>
      <c r="AB68">
        <v>1784057400000</v>
      </c>
      <c r="AC68">
        <v>71.73</v>
      </c>
      <c r="AD68" s="6"/>
      <c r="AE68">
        <v>1784143800000</v>
      </c>
      <c r="AF68">
        <v>45.83</v>
      </c>
      <c r="AH68">
        <v>1784143800000</v>
      </c>
      <c r="AI68">
        <v>71.790000000000006</v>
      </c>
      <c r="AJ68" s="6"/>
    </row>
    <row r="69" spans="1:36">
      <c r="A69">
        <v>1778010300000</v>
      </c>
      <c r="B69">
        <v>50.29</v>
      </c>
      <c r="D69">
        <v>1778010300000</v>
      </c>
      <c r="E69">
        <v>74.19</v>
      </c>
      <c r="F69" s="6"/>
      <c r="G69">
        <v>1778096700000</v>
      </c>
      <c r="H69">
        <v>62.17</v>
      </c>
      <c r="J69">
        <v>1778096700000</v>
      </c>
      <c r="K69">
        <v>72.819999999999993</v>
      </c>
      <c r="L69" s="6"/>
      <c r="M69">
        <v>1779133500000</v>
      </c>
      <c r="N69">
        <v>60.95</v>
      </c>
      <c r="P69">
        <v>1779133500000</v>
      </c>
      <c r="Q69">
        <v>71.92</v>
      </c>
      <c r="R69" s="6"/>
      <c r="S69">
        <v>1782243900000</v>
      </c>
      <c r="T69">
        <v>44.17</v>
      </c>
      <c r="V69">
        <v>1782243900000</v>
      </c>
      <c r="W69">
        <v>73.319999999999993</v>
      </c>
      <c r="X69" s="6"/>
      <c r="Y69">
        <v>1784058300000</v>
      </c>
      <c r="Z69">
        <v>57.45</v>
      </c>
      <c r="AB69">
        <v>1784058300000</v>
      </c>
      <c r="AC69">
        <v>73.290000000000006</v>
      </c>
      <c r="AD69" s="6"/>
      <c r="AE69">
        <v>1784144700000</v>
      </c>
      <c r="AF69">
        <v>51.33</v>
      </c>
      <c r="AH69">
        <v>1784144700000</v>
      </c>
      <c r="AI69">
        <v>73.63</v>
      </c>
      <c r="AJ69" s="6"/>
    </row>
    <row r="70" spans="1:36">
      <c r="A70">
        <v>1778011200000</v>
      </c>
      <c r="B70">
        <v>55.34</v>
      </c>
      <c r="D70">
        <v>1778011200000</v>
      </c>
      <c r="E70">
        <v>75.05</v>
      </c>
      <c r="F70" s="6"/>
      <c r="G70">
        <v>1778097600000</v>
      </c>
      <c r="H70">
        <v>57.19</v>
      </c>
      <c r="J70">
        <v>1778097600000</v>
      </c>
      <c r="K70">
        <v>76.209999999999994</v>
      </c>
      <c r="L70" s="6"/>
      <c r="M70">
        <v>1779134400000</v>
      </c>
      <c r="N70">
        <v>56.93</v>
      </c>
      <c r="P70">
        <v>1779134400000</v>
      </c>
      <c r="Q70">
        <v>73.05</v>
      </c>
      <c r="R70" s="6"/>
      <c r="S70">
        <v>1782244800000</v>
      </c>
      <c r="T70">
        <v>59.18</v>
      </c>
      <c r="V70">
        <v>1782244800000</v>
      </c>
      <c r="W70">
        <v>76.41</v>
      </c>
      <c r="X70" s="6"/>
      <c r="Y70">
        <v>1784059200000</v>
      </c>
      <c r="Z70">
        <v>55.24</v>
      </c>
      <c r="AB70">
        <v>1784059200000</v>
      </c>
      <c r="AC70">
        <v>77.81</v>
      </c>
      <c r="AD70" s="6"/>
      <c r="AE70">
        <v>1784145600000</v>
      </c>
      <c r="AF70">
        <v>56.29</v>
      </c>
      <c r="AH70">
        <v>1784145600000</v>
      </c>
      <c r="AI70">
        <v>77.33</v>
      </c>
      <c r="AJ70" s="6"/>
    </row>
    <row r="71" spans="1:36">
      <c r="A71">
        <v>1778012100000</v>
      </c>
      <c r="B71">
        <v>59.25</v>
      </c>
      <c r="D71">
        <v>1778012100000</v>
      </c>
      <c r="E71">
        <v>72.94</v>
      </c>
      <c r="F71" s="6"/>
      <c r="G71">
        <v>1778098500000</v>
      </c>
      <c r="H71">
        <v>54.56</v>
      </c>
      <c r="J71">
        <v>1778098500000</v>
      </c>
      <c r="K71">
        <v>73.760000000000005</v>
      </c>
      <c r="L71" s="6"/>
      <c r="M71">
        <v>1779135300000</v>
      </c>
      <c r="N71">
        <v>61.35</v>
      </c>
      <c r="P71">
        <v>1779135300000</v>
      </c>
      <c r="Q71">
        <v>73.83</v>
      </c>
      <c r="R71" s="6"/>
      <c r="S71">
        <v>1782245700000</v>
      </c>
      <c r="T71">
        <v>50.89</v>
      </c>
      <c r="V71">
        <v>1782245700000</v>
      </c>
      <c r="W71">
        <v>67.2</v>
      </c>
      <c r="X71" s="6"/>
      <c r="Y71">
        <v>1784060100000</v>
      </c>
      <c r="Z71">
        <v>55.9</v>
      </c>
      <c r="AB71">
        <v>1784060100000</v>
      </c>
      <c r="AC71">
        <v>76.06</v>
      </c>
      <c r="AD71" s="6"/>
      <c r="AE71">
        <v>1784146500000</v>
      </c>
      <c r="AF71">
        <v>53.02</v>
      </c>
      <c r="AH71">
        <v>1784146500000</v>
      </c>
      <c r="AI71">
        <v>73.900000000000006</v>
      </c>
      <c r="AJ71" s="6"/>
    </row>
    <row r="72" spans="1:36">
      <c r="A72">
        <v>1778013000000</v>
      </c>
      <c r="B72">
        <v>51.37</v>
      </c>
      <c r="D72">
        <v>1778013000000</v>
      </c>
      <c r="E72">
        <v>73.930000000000007</v>
      </c>
      <c r="F72" s="6"/>
      <c r="G72">
        <v>1778099400000</v>
      </c>
      <c r="H72">
        <v>57.77</v>
      </c>
      <c r="J72">
        <v>1778099400000</v>
      </c>
      <c r="K72">
        <v>67.900000000000006</v>
      </c>
      <c r="L72" s="6"/>
      <c r="M72">
        <v>1779136200000</v>
      </c>
      <c r="N72">
        <v>52.01</v>
      </c>
      <c r="P72">
        <v>1779136200000</v>
      </c>
      <c r="Q72">
        <v>67.09</v>
      </c>
      <c r="R72" s="6"/>
      <c r="S72">
        <v>1782246600000</v>
      </c>
      <c r="T72">
        <v>54.31</v>
      </c>
      <c r="V72">
        <v>1782246600000</v>
      </c>
      <c r="W72">
        <v>69.23</v>
      </c>
      <c r="X72" s="6"/>
      <c r="Y72">
        <v>1784061000000</v>
      </c>
      <c r="Z72">
        <v>45.54</v>
      </c>
      <c r="AB72">
        <v>1784061000000</v>
      </c>
      <c r="AC72">
        <v>72.52</v>
      </c>
      <c r="AD72" s="6"/>
      <c r="AE72">
        <v>1784147400000</v>
      </c>
      <c r="AF72">
        <v>54.02</v>
      </c>
      <c r="AH72">
        <v>1784147400000</v>
      </c>
      <c r="AI72">
        <v>78.569999999999993</v>
      </c>
      <c r="AJ72" s="6"/>
    </row>
    <row r="73" spans="1:36">
      <c r="A73">
        <v>1778013900000</v>
      </c>
      <c r="B73">
        <v>56.34</v>
      </c>
      <c r="D73">
        <v>1778013900000</v>
      </c>
      <c r="E73">
        <v>75.040000000000006</v>
      </c>
      <c r="F73" s="6"/>
      <c r="G73">
        <v>1778100300000</v>
      </c>
      <c r="H73">
        <v>53.65</v>
      </c>
      <c r="J73">
        <v>1778100300000</v>
      </c>
      <c r="K73">
        <v>73.459999999999994</v>
      </c>
      <c r="L73" s="6"/>
      <c r="M73">
        <v>1779137100000</v>
      </c>
      <c r="N73">
        <v>57.73</v>
      </c>
      <c r="P73">
        <v>1779137100000</v>
      </c>
      <c r="Q73">
        <v>73.12</v>
      </c>
      <c r="R73" s="6"/>
      <c r="S73">
        <v>1782247500000</v>
      </c>
      <c r="T73">
        <v>52.15</v>
      </c>
      <c r="V73">
        <v>1782247500000</v>
      </c>
      <c r="W73">
        <v>74</v>
      </c>
      <c r="X73" s="6"/>
      <c r="Y73">
        <v>1784061900000</v>
      </c>
      <c r="Z73">
        <v>51.85</v>
      </c>
      <c r="AB73">
        <v>1784061900000</v>
      </c>
      <c r="AC73">
        <v>74.760000000000005</v>
      </c>
      <c r="AD73" s="6"/>
      <c r="AE73">
        <v>1784148300000</v>
      </c>
      <c r="AF73">
        <v>47.81</v>
      </c>
      <c r="AH73">
        <v>1784148300000</v>
      </c>
      <c r="AI73">
        <v>71.91</v>
      </c>
      <c r="AJ73" s="6"/>
    </row>
    <row r="74" spans="1:36">
      <c r="A74">
        <v>1778014800000</v>
      </c>
      <c r="B74">
        <v>59.21</v>
      </c>
      <c r="D74">
        <v>1778014800000</v>
      </c>
      <c r="E74">
        <v>67.41</v>
      </c>
      <c r="F74" s="6"/>
      <c r="G74">
        <v>1778101200000</v>
      </c>
      <c r="H74">
        <v>53.43</v>
      </c>
      <c r="J74">
        <v>1778101200000</v>
      </c>
      <c r="K74">
        <v>63.75</v>
      </c>
      <c r="L74" s="6"/>
      <c r="M74">
        <v>1779138000000</v>
      </c>
      <c r="N74">
        <v>61.56</v>
      </c>
      <c r="P74">
        <v>1779138000000</v>
      </c>
      <c r="Q74">
        <v>61.58</v>
      </c>
      <c r="R74" s="6"/>
      <c r="S74">
        <v>1782248400000</v>
      </c>
      <c r="T74">
        <v>64.349999999999994</v>
      </c>
      <c r="V74">
        <v>1782248400000</v>
      </c>
      <c r="W74">
        <v>69.98</v>
      </c>
      <c r="X74" s="6"/>
      <c r="Y74">
        <v>1784062800000</v>
      </c>
      <c r="Z74">
        <v>50.16</v>
      </c>
      <c r="AB74">
        <v>1784062800000</v>
      </c>
      <c r="AC74">
        <v>64.540000000000006</v>
      </c>
      <c r="AD74" s="6"/>
      <c r="AE74">
        <v>1784149200000</v>
      </c>
      <c r="AF74">
        <v>44.2</v>
      </c>
      <c r="AH74">
        <v>1784149200000</v>
      </c>
      <c r="AI74">
        <v>61.28</v>
      </c>
      <c r="AJ74" s="6"/>
    </row>
    <row r="75" spans="1:36">
      <c r="A75">
        <v>1778015700000</v>
      </c>
      <c r="B75">
        <v>57.37</v>
      </c>
      <c r="D75">
        <v>1778015700000</v>
      </c>
      <c r="E75">
        <v>60.22</v>
      </c>
      <c r="F75" s="6"/>
      <c r="G75">
        <v>1778102100000</v>
      </c>
      <c r="H75">
        <v>50.53</v>
      </c>
      <c r="J75">
        <v>1778102100000</v>
      </c>
      <c r="K75">
        <v>57.04</v>
      </c>
      <c r="L75" s="6"/>
      <c r="M75">
        <v>1779138900000</v>
      </c>
      <c r="N75">
        <v>54.43</v>
      </c>
      <c r="P75">
        <v>1779138900000</v>
      </c>
      <c r="Q75">
        <v>61.08</v>
      </c>
      <c r="R75" s="6"/>
      <c r="S75">
        <v>1782249300000</v>
      </c>
      <c r="T75">
        <v>46.24</v>
      </c>
      <c r="V75">
        <v>1782249300000</v>
      </c>
      <c r="W75">
        <v>59.1</v>
      </c>
      <c r="X75" s="6"/>
      <c r="Y75">
        <v>1784063700000</v>
      </c>
      <c r="Z75">
        <v>42.12</v>
      </c>
      <c r="AB75">
        <v>1784063700000</v>
      </c>
      <c r="AC75">
        <v>55.56</v>
      </c>
      <c r="AD75" s="6"/>
      <c r="AE75">
        <v>1784150100000</v>
      </c>
      <c r="AF75">
        <v>41.64</v>
      </c>
      <c r="AH75">
        <v>1784150100000</v>
      </c>
      <c r="AI75">
        <v>52.33</v>
      </c>
      <c r="AJ75" s="6"/>
    </row>
    <row r="76" spans="1:36">
      <c r="A76">
        <v>1778016600000</v>
      </c>
      <c r="B76">
        <v>52.17</v>
      </c>
      <c r="D76">
        <v>1778016600000</v>
      </c>
      <c r="E76">
        <v>57.37</v>
      </c>
      <c r="F76" s="6"/>
      <c r="G76">
        <v>1778103000000</v>
      </c>
      <c r="H76">
        <v>47</v>
      </c>
      <c r="J76">
        <v>1778103000000</v>
      </c>
      <c r="K76">
        <v>58.1</v>
      </c>
      <c r="L76" s="6"/>
      <c r="M76">
        <v>1779139800000</v>
      </c>
      <c r="N76">
        <v>53.74</v>
      </c>
      <c r="P76">
        <v>1779139800000</v>
      </c>
      <c r="Q76">
        <v>63.44</v>
      </c>
      <c r="R76" s="6"/>
      <c r="S76">
        <v>1782250200000</v>
      </c>
      <c r="T76">
        <v>58.11</v>
      </c>
      <c r="V76">
        <v>1782250200000</v>
      </c>
      <c r="W76">
        <v>61.6</v>
      </c>
      <c r="X76" s="6"/>
      <c r="Y76">
        <v>1784064600000</v>
      </c>
      <c r="Z76">
        <v>48.85</v>
      </c>
      <c r="AB76">
        <v>1784064600000</v>
      </c>
      <c r="AC76">
        <v>61.04</v>
      </c>
      <c r="AD76" s="6"/>
      <c r="AE76">
        <v>1784151000000</v>
      </c>
      <c r="AF76">
        <v>37.770000000000003</v>
      </c>
      <c r="AH76">
        <v>1784151000000</v>
      </c>
      <c r="AI76">
        <v>59.4</v>
      </c>
      <c r="AJ76" s="6"/>
    </row>
    <row r="77" spans="1:36">
      <c r="A77">
        <v>1778017500000</v>
      </c>
      <c r="B77">
        <v>52.23</v>
      </c>
      <c r="D77">
        <v>1778017500000</v>
      </c>
      <c r="E77">
        <v>62.69</v>
      </c>
      <c r="F77" s="6"/>
      <c r="G77">
        <v>1778103900000</v>
      </c>
      <c r="H77">
        <v>47.88</v>
      </c>
      <c r="J77">
        <v>1778103900000</v>
      </c>
      <c r="K77">
        <v>60.45</v>
      </c>
      <c r="L77" s="6"/>
      <c r="M77">
        <v>1779140700000</v>
      </c>
      <c r="N77">
        <v>53.58</v>
      </c>
      <c r="P77">
        <v>1779140700000</v>
      </c>
      <c r="Q77">
        <v>63.59</v>
      </c>
      <c r="R77" s="6"/>
      <c r="S77">
        <v>1782251100000</v>
      </c>
      <c r="T77">
        <v>41.05</v>
      </c>
      <c r="V77">
        <v>1782251100000</v>
      </c>
      <c r="W77">
        <v>60.44</v>
      </c>
      <c r="X77" s="6"/>
      <c r="Y77">
        <v>1784065500000</v>
      </c>
      <c r="Z77">
        <v>41.01</v>
      </c>
      <c r="AB77">
        <v>1784065500000</v>
      </c>
      <c r="AC77">
        <v>60.19</v>
      </c>
      <c r="AD77" s="6"/>
      <c r="AE77">
        <v>1784151900000</v>
      </c>
      <c r="AF77">
        <v>47.93</v>
      </c>
      <c r="AH77">
        <v>1784151900000</v>
      </c>
      <c r="AI77">
        <v>59.35</v>
      </c>
      <c r="AJ77" s="6"/>
    </row>
    <row r="78" spans="1:36">
      <c r="A78">
        <v>1778018400000</v>
      </c>
      <c r="B78">
        <v>52.32</v>
      </c>
      <c r="D78">
        <v>1778018400000</v>
      </c>
      <c r="E78">
        <v>61.71</v>
      </c>
      <c r="F78" s="6"/>
      <c r="G78">
        <v>1778104800000</v>
      </c>
      <c r="H78">
        <v>49.53</v>
      </c>
      <c r="J78">
        <v>1778104800000</v>
      </c>
      <c r="K78">
        <v>59.2</v>
      </c>
      <c r="L78" s="6"/>
      <c r="M78">
        <v>1779141600000</v>
      </c>
      <c r="N78">
        <v>51.28</v>
      </c>
      <c r="P78">
        <v>1779141600000</v>
      </c>
      <c r="Q78">
        <v>57.64</v>
      </c>
      <c r="R78" s="6"/>
      <c r="S78">
        <v>1782252000000</v>
      </c>
      <c r="T78">
        <v>39.299999999999997</v>
      </c>
      <c r="V78">
        <v>1782252000000</v>
      </c>
      <c r="W78">
        <v>59.38</v>
      </c>
      <c r="X78" s="6"/>
      <c r="Y78">
        <v>1784066400000</v>
      </c>
      <c r="Z78">
        <v>44.98</v>
      </c>
      <c r="AB78">
        <v>1784066400000</v>
      </c>
      <c r="AC78">
        <v>58.81</v>
      </c>
      <c r="AD78" s="6"/>
      <c r="AE78">
        <v>1784152800000</v>
      </c>
      <c r="AF78">
        <v>47.46</v>
      </c>
      <c r="AH78">
        <v>1784152800000</v>
      </c>
      <c r="AI78">
        <v>60.88</v>
      </c>
      <c r="AJ78" s="6"/>
    </row>
    <row r="79" spans="1:36">
      <c r="A79">
        <v>1778019300000</v>
      </c>
      <c r="B79">
        <v>53.35</v>
      </c>
      <c r="D79">
        <v>1778019300000</v>
      </c>
      <c r="E79">
        <v>62.21</v>
      </c>
      <c r="F79" s="6"/>
      <c r="G79">
        <v>1778105700000</v>
      </c>
      <c r="H79">
        <v>51.95</v>
      </c>
      <c r="J79">
        <v>1778105700000</v>
      </c>
      <c r="K79">
        <v>61.26</v>
      </c>
      <c r="L79" s="6"/>
      <c r="M79">
        <v>1779142500000</v>
      </c>
      <c r="N79">
        <v>50.53</v>
      </c>
      <c r="P79">
        <v>1779142500000</v>
      </c>
      <c r="Q79">
        <v>64.34</v>
      </c>
      <c r="R79" s="6"/>
      <c r="S79">
        <v>1782252900000</v>
      </c>
      <c r="T79">
        <v>63.14</v>
      </c>
      <c r="V79">
        <v>1782252900000</v>
      </c>
      <c r="W79">
        <v>60</v>
      </c>
      <c r="X79" s="6"/>
      <c r="Y79">
        <v>1784067300000</v>
      </c>
      <c r="Z79">
        <v>51.24</v>
      </c>
      <c r="AB79">
        <v>1784067300000</v>
      </c>
      <c r="AC79">
        <v>65.75</v>
      </c>
      <c r="AD79" s="6"/>
      <c r="AE79">
        <v>1784153700000</v>
      </c>
      <c r="AF79">
        <v>60.07</v>
      </c>
      <c r="AH79">
        <v>1784153700000</v>
      </c>
      <c r="AI79">
        <v>55.22</v>
      </c>
      <c r="AJ79" s="6"/>
    </row>
    <row r="80" spans="1:36">
      <c r="A80">
        <v>1778020200000</v>
      </c>
      <c r="B80">
        <v>52.71</v>
      </c>
      <c r="D80">
        <v>1778020200000</v>
      </c>
      <c r="E80">
        <v>66.56</v>
      </c>
      <c r="F80" s="6"/>
      <c r="G80">
        <v>1778106600000</v>
      </c>
      <c r="H80">
        <v>52.72</v>
      </c>
      <c r="J80">
        <v>1778106600000</v>
      </c>
      <c r="K80">
        <v>55.38</v>
      </c>
      <c r="L80" s="6"/>
      <c r="M80">
        <v>1779143400000</v>
      </c>
      <c r="N80">
        <v>48.13</v>
      </c>
      <c r="P80">
        <v>1779143400000</v>
      </c>
      <c r="Q80">
        <v>62.97</v>
      </c>
      <c r="R80" s="6"/>
      <c r="S80">
        <v>1782253800000</v>
      </c>
      <c r="T80">
        <v>65.739999999999995</v>
      </c>
      <c r="V80">
        <v>1782253800000</v>
      </c>
      <c r="W80">
        <v>58.63</v>
      </c>
      <c r="X80" s="6"/>
      <c r="Y80">
        <v>1784068200000</v>
      </c>
      <c r="Z80">
        <v>50.17</v>
      </c>
      <c r="AB80">
        <v>1784068200000</v>
      </c>
      <c r="AC80">
        <v>61.15</v>
      </c>
      <c r="AD80" s="6"/>
      <c r="AE80">
        <v>1784154600000</v>
      </c>
      <c r="AF80">
        <v>52.78</v>
      </c>
      <c r="AH80">
        <v>1784154600000</v>
      </c>
      <c r="AI80">
        <v>53.62</v>
      </c>
      <c r="AJ80" s="6"/>
    </row>
    <row r="81" spans="1:36">
      <c r="A81">
        <v>1778021100000</v>
      </c>
      <c r="B81">
        <v>51.62</v>
      </c>
      <c r="D81">
        <v>1778021100000</v>
      </c>
      <c r="E81">
        <v>68.099999999999994</v>
      </c>
      <c r="F81" s="6"/>
      <c r="G81">
        <v>1778107500000</v>
      </c>
      <c r="H81">
        <v>52.58</v>
      </c>
      <c r="J81">
        <v>1778107500000</v>
      </c>
      <c r="K81">
        <v>65.180000000000007</v>
      </c>
      <c r="L81" s="6"/>
      <c r="M81">
        <v>1779144300000</v>
      </c>
      <c r="N81">
        <v>54.46</v>
      </c>
      <c r="P81">
        <v>1779144300000</v>
      </c>
      <c r="Q81">
        <v>68.88</v>
      </c>
      <c r="R81" s="6"/>
      <c r="S81">
        <v>1782254700000</v>
      </c>
      <c r="T81">
        <v>45.18</v>
      </c>
      <c r="V81">
        <v>1782254700000</v>
      </c>
      <c r="W81">
        <v>65.13</v>
      </c>
      <c r="X81" s="6"/>
      <c r="Y81">
        <v>1784069100000</v>
      </c>
      <c r="Z81">
        <v>43.6</v>
      </c>
      <c r="AB81">
        <v>1784069100000</v>
      </c>
      <c r="AC81">
        <v>62.22</v>
      </c>
      <c r="AD81" s="6"/>
      <c r="AE81">
        <v>1784155500000</v>
      </c>
      <c r="AF81">
        <v>48.2</v>
      </c>
      <c r="AH81">
        <v>1784155500000</v>
      </c>
      <c r="AI81">
        <v>65.94</v>
      </c>
      <c r="AJ81" s="6"/>
    </row>
    <row r="82" spans="1:36">
      <c r="A82">
        <v>1778022000000</v>
      </c>
      <c r="B82">
        <v>58.68</v>
      </c>
      <c r="D82">
        <v>1778022000000</v>
      </c>
      <c r="E82">
        <v>68.790000000000006</v>
      </c>
      <c r="F82" s="6"/>
      <c r="G82">
        <v>1778108400000</v>
      </c>
      <c r="H82">
        <v>54.68</v>
      </c>
      <c r="J82">
        <v>1778108400000</v>
      </c>
      <c r="K82">
        <v>65.39</v>
      </c>
      <c r="L82" s="6"/>
      <c r="M82">
        <v>1779145200000</v>
      </c>
      <c r="N82">
        <v>50.28</v>
      </c>
      <c r="P82">
        <v>1779145200000</v>
      </c>
      <c r="Q82">
        <v>68.010000000000005</v>
      </c>
      <c r="R82" s="6"/>
      <c r="S82">
        <v>1782255600000</v>
      </c>
      <c r="T82">
        <v>46.29</v>
      </c>
      <c r="V82">
        <v>1782255600000</v>
      </c>
      <c r="W82">
        <v>68.36</v>
      </c>
      <c r="X82" s="6"/>
      <c r="Y82">
        <v>1784070000000</v>
      </c>
      <c r="Z82">
        <v>59.09</v>
      </c>
      <c r="AB82">
        <v>1784070000000</v>
      </c>
      <c r="AC82">
        <v>67.19</v>
      </c>
      <c r="AD82" s="6"/>
      <c r="AE82">
        <v>1784156400000</v>
      </c>
      <c r="AF82">
        <v>53.93</v>
      </c>
      <c r="AH82">
        <v>1784156400000</v>
      </c>
      <c r="AI82">
        <v>71.38</v>
      </c>
      <c r="AJ82" s="6"/>
    </row>
    <row r="83" spans="1:36">
      <c r="A83">
        <v>1778022900000</v>
      </c>
      <c r="B83">
        <v>62.01</v>
      </c>
      <c r="D83">
        <v>1778022900000</v>
      </c>
      <c r="E83">
        <v>67.48</v>
      </c>
      <c r="F83" s="6"/>
      <c r="G83">
        <v>1778109300000</v>
      </c>
      <c r="H83">
        <v>59.24</v>
      </c>
      <c r="J83">
        <v>1778109300000</v>
      </c>
      <c r="K83">
        <v>69.44</v>
      </c>
      <c r="L83" s="6"/>
      <c r="M83">
        <v>1779146100000</v>
      </c>
      <c r="N83">
        <v>54.29</v>
      </c>
      <c r="P83">
        <v>1779146100000</v>
      </c>
      <c r="Q83">
        <v>65.44</v>
      </c>
      <c r="R83" s="6"/>
      <c r="S83">
        <v>1782256500000</v>
      </c>
      <c r="T83">
        <v>61.99</v>
      </c>
      <c r="V83">
        <v>1782256500000</v>
      </c>
      <c r="W83">
        <v>68.36</v>
      </c>
      <c r="X83" s="6"/>
      <c r="Y83">
        <v>1784070900000</v>
      </c>
      <c r="Z83">
        <v>61.37</v>
      </c>
      <c r="AB83">
        <v>1784070900000</v>
      </c>
      <c r="AC83">
        <v>67.86</v>
      </c>
      <c r="AD83" s="6"/>
      <c r="AE83">
        <v>1784157300000</v>
      </c>
      <c r="AF83">
        <v>63.28</v>
      </c>
      <c r="AH83">
        <v>1784157300000</v>
      </c>
      <c r="AI83">
        <v>67.89</v>
      </c>
      <c r="AJ83" s="6"/>
    </row>
    <row r="84" spans="1:36">
      <c r="A84">
        <v>1778023800000</v>
      </c>
      <c r="B84">
        <v>70.08</v>
      </c>
      <c r="D84">
        <v>1778023800000</v>
      </c>
      <c r="E84">
        <v>65.8</v>
      </c>
      <c r="F84" s="6"/>
      <c r="G84">
        <v>1778110200000</v>
      </c>
      <c r="H84">
        <v>56.97</v>
      </c>
      <c r="J84">
        <v>1778110200000</v>
      </c>
      <c r="K84">
        <v>68.900000000000006</v>
      </c>
      <c r="L84" s="6"/>
      <c r="M84">
        <v>1779147000000</v>
      </c>
      <c r="N84">
        <v>59.7</v>
      </c>
      <c r="P84">
        <v>1779147000000</v>
      </c>
      <c r="Q84">
        <v>66.400000000000006</v>
      </c>
      <c r="R84" s="6"/>
      <c r="S84">
        <v>1782257400000</v>
      </c>
      <c r="T84">
        <v>47.49</v>
      </c>
      <c r="V84">
        <v>1782257400000</v>
      </c>
      <c r="W84">
        <v>67.25</v>
      </c>
      <c r="X84" s="6"/>
      <c r="Y84">
        <v>1784071800000</v>
      </c>
      <c r="Z84">
        <v>58.81</v>
      </c>
      <c r="AB84">
        <v>1784071800000</v>
      </c>
      <c r="AC84">
        <v>69.099999999999994</v>
      </c>
      <c r="AD84" s="6"/>
      <c r="AE84">
        <v>1784158200000</v>
      </c>
      <c r="AF84">
        <v>56.67</v>
      </c>
      <c r="AH84">
        <v>1784158200000</v>
      </c>
      <c r="AI84">
        <v>54.95</v>
      </c>
      <c r="AJ84" s="6"/>
    </row>
    <row r="85" spans="1:36">
      <c r="A85">
        <v>1778024700000</v>
      </c>
      <c r="B85">
        <v>49.49</v>
      </c>
      <c r="D85">
        <v>1778024700000</v>
      </c>
      <c r="E85">
        <v>65.14</v>
      </c>
      <c r="F85" s="6"/>
      <c r="G85">
        <v>1778111100000</v>
      </c>
      <c r="H85">
        <v>57.2</v>
      </c>
      <c r="J85">
        <v>1778111100000</v>
      </c>
      <c r="K85">
        <v>68.680000000000007</v>
      </c>
      <c r="L85" s="6"/>
      <c r="M85">
        <v>1779147900000</v>
      </c>
      <c r="N85">
        <v>50.31</v>
      </c>
      <c r="P85">
        <v>1779147900000</v>
      </c>
      <c r="Q85">
        <v>59.96</v>
      </c>
      <c r="R85" s="6"/>
      <c r="S85">
        <v>1782258300000</v>
      </c>
      <c r="T85">
        <v>54.86</v>
      </c>
      <c r="V85">
        <v>1782258300000</v>
      </c>
      <c r="W85">
        <v>61.67</v>
      </c>
      <c r="X85" s="6"/>
      <c r="Y85">
        <v>1784072700000</v>
      </c>
      <c r="Z85">
        <v>60.99</v>
      </c>
      <c r="AB85">
        <v>1784072700000</v>
      </c>
      <c r="AC85">
        <v>62.63</v>
      </c>
      <c r="AD85" s="6"/>
      <c r="AE85">
        <v>1784159100000</v>
      </c>
      <c r="AF85">
        <v>78.14</v>
      </c>
      <c r="AH85">
        <v>1784159100000</v>
      </c>
      <c r="AI85">
        <v>65.16</v>
      </c>
      <c r="AJ85" s="6"/>
    </row>
    <row r="86" spans="1:36">
      <c r="A86">
        <v>1778025600000</v>
      </c>
      <c r="B86">
        <v>47.87</v>
      </c>
      <c r="D86">
        <v>1778025600000</v>
      </c>
      <c r="E86">
        <v>54.48</v>
      </c>
      <c r="F86" s="6"/>
      <c r="G86">
        <v>1778112000000</v>
      </c>
      <c r="H86">
        <v>49.12</v>
      </c>
      <c r="J86">
        <v>1778112000000</v>
      </c>
      <c r="K86">
        <v>65.67</v>
      </c>
      <c r="L86" s="6"/>
      <c r="M86">
        <v>1779148800000</v>
      </c>
      <c r="N86">
        <v>50.44</v>
      </c>
      <c r="P86">
        <v>1779148800000</v>
      </c>
      <c r="Q86">
        <v>64.78</v>
      </c>
      <c r="R86" s="6"/>
      <c r="S86">
        <v>1782259200000</v>
      </c>
      <c r="T86">
        <v>41.33</v>
      </c>
      <c r="V86">
        <v>1782259200000</v>
      </c>
      <c r="W86">
        <v>57.09</v>
      </c>
      <c r="X86" s="6"/>
      <c r="Y86">
        <v>1784073600000</v>
      </c>
      <c r="Z86">
        <v>42.18</v>
      </c>
      <c r="AB86">
        <v>1784073600000</v>
      </c>
      <c r="AC86">
        <v>62.38</v>
      </c>
      <c r="AD86" s="6"/>
      <c r="AE86">
        <v>1784160000000</v>
      </c>
      <c r="AF86">
        <v>64.95</v>
      </c>
      <c r="AH86">
        <v>1784160000000</v>
      </c>
      <c r="AI86">
        <v>54.41</v>
      </c>
      <c r="AJ86" s="6"/>
    </row>
    <row r="87" spans="1:36">
      <c r="A87">
        <v>1778026500000</v>
      </c>
      <c r="B87">
        <v>48.28</v>
      </c>
      <c r="D87">
        <v>1778026500000</v>
      </c>
      <c r="E87">
        <v>59.38</v>
      </c>
      <c r="F87" s="6"/>
      <c r="G87">
        <v>1778112900000</v>
      </c>
      <c r="H87">
        <v>53.37</v>
      </c>
      <c r="J87">
        <v>1778112900000</v>
      </c>
      <c r="K87">
        <v>60.44</v>
      </c>
      <c r="L87" s="6"/>
      <c r="M87">
        <v>1779149700000</v>
      </c>
      <c r="N87">
        <v>48.95</v>
      </c>
      <c r="P87">
        <v>1779149700000</v>
      </c>
      <c r="Q87">
        <v>65.040000000000006</v>
      </c>
      <c r="R87" s="6"/>
      <c r="S87">
        <v>1782260100000</v>
      </c>
      <c r="T87">
        <v>38.99</v>
      </c>
      <c r="V87">
        <v>1782260100000</v>
      </c>
      <c r="W87">
        <v>57.18</v>
      </c>
      <c r="X87" s="6"/>
      <c r="Y87">
        <v>1784074500000</v>
      </c>
      <c r="Z87">
        <v>45.38</v>
      </c>
      <c r="AB87">
        <v>1784074500000</v>
      </c>
      <c r="AC87">
        <v>56.33</v>
      </c>
      <c r="AD87" s="6"/>
      <c r="AE87">
        <v>1784160900000</v>
      </c>
      <c r="AF87">
        <v>46.38</v>
      </c>
      <c r="AH87">
        <v>1784160900000</v>
      </c>
      <c r="AI87">
        <v>51.84</v>
      </c>
      <c r="AJ87" s="6"/>
    </row>
    <row r="88" spans="1:36">
      <c r="A88">
        <v>1778027400000</v>
      </c>
      <c r="B88">
        <v>40.630000000000003</v>
      </c>
      <c r="D88">
        <v>1778027400000</v>
      </c>
      <c r="E88">
        <v>54.56</v>
      </c>
      <c r="F88" s="6"/>
      <c r="G88">
        <v>1778113800000</v>
      </c>
      <c r="H88">
        <v>53.66</v>
      </c>
      <c r="J88">
        <v>1778113800000</v>
      </c>
      <c r="K88">
        <v>61.76</v>
      </c>
      <c r="L88" s="6"/>
      <c r="M88">
        <v>1779150600000</v>
      </c>
      <c r="N88">
        <v>49.78</v>
      </c>
      <c r="P88">
        <v>1779150600000</v>
      </c>
      <c r="Q88">
        <v>61.57</v>
      </c>
      <c r="R88" s="6"/>
      <c r="S88">
        <v>1782261000000</v>
      </c>
      <c r="T88">
        <v>38.299999999999997</v>
      </c>
      <c r="V88">
        <v>1782261000000</v>
      </c>
      <c r="W88">
        <v>56.51</v>
      </c>
      <c r="X88" s="6"/>
      <c r="Y88">
        <v>1784075400000</v>
      </c>
      <c r="Z88">
        <v>38.479999999999997</v>
      </c>
      <c r="AB88">
        <v>1784075400000</v>
      </c>
      <c r="AC88">
        <v>56.01</v>
      </c>
      <c r="AD88" s="6"/>
      <c r="AE88">
        <v>1784161800000</v>
      </c>
      <c r="AF88">
        <v>46.04</v>
      </c>
      <c r="AH88">
        <v>1784161800000</v>
      </c>
      <c r="AI88">
        <v>53.15</v>
      </c>
      <c r="AJ88" s="6"/>
    </row>
    <row r="89" spans="1:36">
      <c r="A89">
        <v>1778028300000</v>
      </c>
      <c r="B89">
        <v>40.19</v>
      </c>
      <c r="D89">
        <v>1778028300000</v>
      </c>
      <c r="E89">
        <v>55.96</v>
      </c>
      <c r="F89" s="6"/>
      <c r="G89">
        <v>1778114700000</v>
      </c>
      <c r="H89">
        <v>45.1</v>
      </c>
      <c r="J89">
        <v>1778114700000</v>
      </c>
      <c r="K89">
        <v>55.98</v>
      </c>
      <c r="L89" s="6"/>
      <c r="M89">
        <v>1779151500000</v>
      </c>
      <c r="N89">
        <v>50.1</v>
      </c>
      <c r="P89">
        <v>1779151500000</v>
      </c>
      <c r="Q89">
        <v>64</v>
      </c>
      <c r="R89" s="6"/>
      <c r="S89">
        <v>1782261900000</v>
      </c>
      <c r="T89">
        <v>38.97</v>
      </c>
      <c r="V89">
        <v>1782261900000</v>
      </c>
      <c r="W89">
        <v>54.58</v>
      </c>
      <c r="X89" s="6"/>
      <c r="Y89">
        <v>1784076300000</v>
      </c>
      <c r="Z89">
        <v>35.450000000000003</v>
      </c>
      <c r="AB89">
        <v>1784076300000</v>
      </c>
      <c r="AC89">
        <v>50.56</v>
      </c>
      <c r="AD89" s="6"/>
      <c r="AE89">
        <v>1784162700000</v>
      </c>
      <c r="AF89">
        <v>39.799999999999997</v>
      </c>
      <c r="AH89">
        <v>1784162700000</v>
      </c>
      <c r="AI89">
        <v>59.41</v>
      </c>
      <c r="AJ89" s="6"/>
    </row>
    <row r="90" spans="1:36">
      <c r="A90">
        <v>1778029200000</v>
      </c>
      <c r="B90">
        <v>53.93</v>
      </c>
      <c r="D90">
        <v>1778029200000</v>
      </c>
      <c r="E90">
        <v>73.11</v>
      </c>
      <c r="F90" s="6"/>
      <c r="G90">
        <v>1778115600000</v>
      </c>
      <c r="H90">
        <v>53.7</v>
      </c>
      <c r="J90">
        <v>1778115600000</v>
      </c>
      <c r="K90">
        <v>67.92</v>
      </c>
      <c r="L90" s="6"/>
      <c r="M90">
        <v>1779152400000</v>
      </c>
      <c r="N90">
        <v>57.7</v>
      </c>
      <c r="P90">
        <v>1779152400000</v>
      </c>
      <c r="Q90">
        <v>69.59</v>
      </c>
      <c r="R90" s="6"/>
      <c r="S90">
        <v>1782262800000</v>
      </c>
      <c r="T90">
        <v>63.49</v>
      </c>
      <c r="V90">
        <v>1782262800000</v>
      </c>
      <c r="W90">
        <v>74.430000000000007</v>
      </c>
      <c r="X90" s="6"/>
      <c r="Y90">
        <v>1784077200000</v>
      </c>
      <c r="Z90">
        <v>52.71</v>
      </c>
      <c r="AB90">
        <v>1784077200000</v>
      </c>
      <c r="AC90">
        <v>72.19</v>
      </c>
      <c r="AD90" s="6"/>
      <c r="AE90">
        <v>1784163600000</v>
      </c>
      <c r="AF90">
        <v>49.51</v>
      </c>
      <c r="AH90">
        <v>1784163600000</v>
      </c>
      <c r="AI90">
        <v>73.930000000000007</v>
      </c>
      <c r="AJ90" s="6"/>
    </row>
    <row r="91" spans="1:36">
      <c r="A91">
        <v>1778030100000</v>
      </c>
      <c r="B91">
        <v>57.53</v>
      </c>
      <c r="D91">
        <v>1778030100000</v>
      </c>
      <c r="E91">
        <v>71.650000000000006</v>
      </c>
      <c r="F91" s="6"/>
      <c r="G91">
        <v>1778116500000</v>
      </c>
      <c r="H91">
        <v>57.14</v>
      </c>
      <c r="J91">
        <v>1778116500000</v>
      </c>
      <c r="K91">
        <v>76.44</v>
      </c>
      <c r="L91" s="6"/>
      <c r="M91">
        <v>1779153300000</v>
      </c>
      <c r="N91">
        <v>64.760000000000005</v>
      </c>
      <c r="P91">
        <v>1779153300000</v>
      </c>
      <c r="Q91">
        <v>64.59</v>
      </c>
      <c r="R91" s="6"/>
      <c r="S91">
        <v>1782263700000</v>
      </c>
      <c r="T91">
        <v>54.93</v>
      </c>
      <c r="V91">
        <v>1782263700000</v>
      </c>
      <c r="W91">
        <v>78.459999999999994</v>
      </c>
      <c r="X91" s="6"/>
      <c r="Y91">
        <v>1784078100000</v>
      </c>
      <c r="Z91">
        <v>46.96</v>
      </c>
      <c r="AB91">
        <v>1784078100000</v>
      </c>
      <c r="AC91">
        <v>73.98</v>
      </c>
      <c r="AD91" s="6"/>
      <c r="AE91">
        <v>1784164500000</v>
      </c>
      <c r="AF91">
        <v>46.62</v>
      </c>
      <c r="AH91">
        <v>1784164500000</v>
      </c>
      <c r="AI91">
        <v>70.39</v>
      </c>
      <c r="AJ91" s="6"/>
    </row>
    <row r="92" spans="1:36">
      <c r="A92">
        <v>1778031000000</v>
      </c>
      <c r="B92">
        <v>55.48</v>
      </c>
      <c r="D92">
        <v>1778031000000</v>
      </c>
      <c r="E92">
        <v>67.78</v>
      </c>
      <c r="F92" s="6"/>
      <c r="G92">
        <v>1778117400000</v>
      </c>
      <c r="H92">
        <v>56.11</v>
      </c>
      <c r="J92">
        <v>1778117400000</v>
      </c>
      <c r="K92">
        <v>75.5</v>
      </c>
      <c r="L92" s="6"/>
      <c r="M92">
        <v>1779154200000</v>
      </c>
      <c r="N92">
        <v>59.38</v>
      </c>
      <c r="P92">
        <v>1779154200000</v>
      </c>
      <c r="Q92">
        <v>67.05</v>
      </c>
      <c r="R92" s="6"/>
      <c r="S92">
        <v>1782264600000</v>
      </c>
      <c r="T92">
        <v>63.49</v>
      </c>
      <c r="V92">
        <v>1782264600000</v>
      </c>
      <c r="W92">
        <v>77.19</v>
      </c>
      <c r="X92" s="6"/>
      <c r="Y92">
        <v>1784079000000</v>
      </c>
      <c r="Z92">
        <v>38.89</v>
      </c>
      <c r="AB92">
        <v>1784079000000</v>
      </c>
      <c r="AC92">
        <v>74.31</v>
      </c>
      <c r="AD92" s="6"/>
      <c r="AE92">
        <v>1784165400000</v>
      </c>
      <c r="AF92">
        <v>51.45</v>
      </c>
      <c r="AH92">
        <v>1784165400000</v>
      </c>
      <c r="AI92">
        <v>76.09</v>
      </c>
      <c r="AJ92" s="6"/>
    </row>
    <row r="93" spans="1:36">
      <c r="A93">
        <v>1778031900000</v>
      </c>
      <c r="B93">
        <v>61.38</v>
      </c>
      <c r="D93">
        <v>1778031900000</v>
      </c>
      <c r="E93">
        <v>73.099999999999994</v>
      </c>
      <c r="F93" s="6"/>
      <c r="G93">
        <v>1778118300000</v>
      </c>
      <c r="H93">
        <v>61.15</v>
      </c>
      <c r="J93">
        <v>1778118300000</v>
      </c>
      <c r="K93">
        <v>70.959999999999994</v>
      </c>
      <c r="L93" s="6"/>
      <c r="M93">
        <v>1779155100000</v>
      </c>
      <c r="N93">
        <v>57.67</v>
      </c>
      <c r="P93">
        <v>1779155100000</v>
      </c>
      <c r="Q93">
        <v>61.57</v>
      </c>
      <c r="R93" s="6"/>
      <c r="S93">
        <v>1782265500000</v>
      </c>
      <c r="T93">
        <v>54.82</v>
      </c>
      <c r="V93">
        <v>1782265500000</v>
      </c>
      <c r="W93">
        <v>62.85</v>
      </c>
      <c r="X93" s="6"/>
      <c r="Y93">
        <v>1784079900000</v>
      </c>
      <c r="Z93">
        <v>46.81</v>
      </c>
      <c r="AB93">
        <v>1784079900000</v>
      </c>
      <c r="AC93">
        <v>69.319999999999993</v>
      </c>
      <c r="AD93" s="6"/>
      <c r="AE93">
        <v>1784166300000</v>
      </c>
      <c r="AF93">
        <v>54.04</v>
      </c>
      <c r="AH93">
        <v>1784166300000</v>
      </c>
      <c r="AI93">
        <v>71.569999999999993</v>
      </c>
      <c r="AJ93" s="6"/>
    </row>
    <row r="94" spans="1:36">
      <c r="A94">
        <v>1778032800000</v>
      </c>
      <c r="B94">
        <v>56.97</v>
      </c>
      <c r="D94">
        <v>1778032800000</v>
      </c>
      <c r="E94">
        <v>68.64</v>
      </c>
      <c r="F94" s="6"/>
      <c r="G94">
        <v>1778119200000</v>
      </c>
      <c r="H94">
        <v>60.06</v>
      </c>
      <c r="J94">
        <v>1778119200000</v>
      </c>
      <c r="K94">
        <v>69.959999999999994</v>
      </c>
      <c r="L94" s="6"/>
      <c r="M94">
        <v>1779156000000</v>
      </c>
      <c r="N94">
        <v>62.84</v>
      </c>
      <c r="P94">
        <v>1779156000000</v>
      </c>
      <c r="Q94">
        <v>67.78</v>
      </c>
      <c r="R94" s="6"/>
      <c r="S94">
        <v>1782266400000</v>
      </c>
      <c r="T94">
        <v>46.35</v>
      </c>
      <c r="V94">
        <v>1782266400000</v>
      </c>
      <c r="W94">
        <v>63.96</v>
      </c>
      <c r="X94" s="6"/>
      <c r="Y94">
        <v>1784080800000</v>
      </c>
      <c r="Z94">
        <v>46.58</v>
      </c>
      <c r="AB94">
        <v>1784080800000</v>
      </c>
      <c r="AC94">
        <v>68.06</v>
      </c>
      <c r="AD94" s="6"/>
      <c r="AE94">
        <v>1784167200000</v>
      </c>
      <c r="AF94">
        <v>54.88</v>
      </c>
      <c r="AH94">
        <v>1784167200000</v>
      </c>
      <c r="AI94">
        <v>72.33</v>
      </c>
      <c r="AJ94" s="6"/>
    </row>
    <row r="95" spans="1:36">
      <c r="A95">
        <v>1778033700000</v>
      </c>
      <c r="B95">
        <v>59.52</v>
      </c>
      <c r="D95">
        <v>1778033700000</v>
      </c>
      <c r="E95">
        <v>69.55</v>
      </c>
      <c r="F95" s="6"/>
      <c r="G95">
        <v>1778120100000</v>
      </c>
      <c r="H95">
        <v>63.31</v>
      </c>
      <c r="J95">
        <v>1778120100000</v>
      </c>
      <c r="K95">
        <v>70.78</v>
      </c>
      <c r="L95" s="6"/>
      <c r="M95">
        <v>1779156900000</v>
      </c>
      <c r="N95">
        <v>65.73</v>
      </c>
      <c r="P95">
        <v>1779156900000</v>
      </c>
      <c r="Q95">
        <v>63.17</v>
      </c>
      <c r="R95" s="6"/>
      <c r="S95">
        <v>1782267300000</v>
      </c>
      <c r="T95">
        <v>54.49</v>
      </c>
      <c r="V95">
        <v>1782267300000</v>
      </c>
      <c r="W95">
        <v>58.82</v>
      </c>
      <c r="X95" s="6"/>
      <c r="Y95">
        <v>1784081700000</v>
      </c>
      <c r="Z95">
        <v>41.79</v>
      </c>
      <c r="AB95">
        <v>1784081700000</v>
      </c>
      <c r="AC95">
        <v>63.32</v>
      </c>
      <c r="AD95" s="6"/>
      <c r="AE95">
        <v>1784168100000</v>
      </c>
      <c r="AF95">
        <v>57.65</v>
      </c>
      <c r="AH95">
        <v>1784168100000</v>
      </c>
      <c r="AI95">
        <v>70.48</v>
      </c>
      <c r="AJ95" s="6"/>
    </row>
    <row r="96" spans="1:36">
      <c r="A96">
        <v>1778034600000</v>
      </c>
      <c r="B96">
        <v>62.47</v>
      </c>
      <c r="D96">
        <v>1778034600000</v>
      </c>
      <c r="E96">
        <v>69.31</v>
      </c>
      <c r="F96" s="6"/>
      <c r="G96">
        <v>1778121000000</v>
      </c>
      <c r="H96">
        <v>58.41</v>
      </c>
      <c r="J96">
        <v>1778121000000</v>
      </c>
      <c r="K96">
        <v>72.06</v>
      </c>
      <c r="L96" s="6"/>
      <c r="M96">
        <v>1779157800000</v>
      </c>
      <c r="N96">
        <v>60.22</v>
      </c>
      <c r="P96">
        <v>1779157800000</v>
      </c>
      <c r="Q96">
        <v>67.56</v>
      </c>
      <c r="R96" s="6"/>
      <c r="S96">
        <v>1782268200000</v>
      </c>
      <c r="T96">
        <v>55.21</v>
      </c>
      <c r="V96">
        <v>1782268200000</v>
      </c>
      <c r="W96">
        <v>70.680000000000007</v>
      </c>
      <c r="X96" s="6"/>
      <c r="Y96">
        <v>1784082600000</v>
      </c>
      <c r="Z96">
        <v>53.68</v>
      </c>
      <c r="AB96">
        <v>1784082600000</v>
      </c>
      <c r="AC96">
        <v>66.180000000000007</v>
      </c>
      <c r="AD96" s="6"/>
      <c r="AE96">
        <v>1784169000000</v>
      </c>
      <c r="AF96">
        <v>52.87</v>
      </c>
      <c r="AH96">
        <v>1784169000000</v>
      </c>
      <c r="AI96">
        <v>71.239999999999995</v>
      </c>
      <c r="AJ96" s="6"/>
    </row>
    <row r="97" spans="1:36">
      <c r="A97">
        <v>1778035500000</v>
      </c>
      <c r="B97">
        <v>58.01</v>
      </c>
      <c r="D97">
        <v>1778035500000</v>
      </c>
      <c r="E97">
        <v>69.13</v>
      </c>
      <c r="F97" s="6"/>
      <c r="G97">
        <v>1778121900000</v>
      </c>
      <c r="H97">
        <v>62.29</v>
      </c>
      <c r="J97">
        <v>1778121900000</v>
      </c>
      <c r="K97">
        <v>73.430000000000007</v>
      </c>
      <c r="L97" s="6"/>
      <c r="M97">
        <v>1779158700000</v>
      </c>
      <c r="N97">
        <v>57.47</v>
      </c>
      <c r="P97">
        <v>1779158700000</v>
      </c>
      <c r="Q97">
        <v>64.989999999999995</v>
      </c>
      <c r="R97" s="6"/>
      <c r="S97">
        <v>1782269100000</v>
      </c>
      <c r="T97">
        <v>59.93</v>
      </c>
      <c r="V97">
        <v>1782269100000</v>
      </c>
      <c r="W97">
        <v>71.989999999999995</v>
      </c>
      <c r="X97" s="6"/>
      <c r="Y97">
        <v>1784083500000</v>
      </c>
      <c r="Z97">
        <v>47.31</v>
      </c>
      <c r="AB97">
        <v>1784083500000</v>
      </c>
      <c r="AC97">
        <v>64.39</v>
      </c>
      <c r="AD97" s="6"/>
      <c r="AE97">
        <v>1784169900000</v>
      </c>
      <c r="AF97">
        <v>49.66</v>
      </c>
      <c r="AH97">
        <v>1784169900000</v>
      </c>
      <c r="AI97">
        <v>68.42</v>
      </c>
      <c r="AJ97" s="6"/>
    </row>
    <row r="98" spans="1:36">
      <c r="A98">
        <v>1778036400000</v>
      </c>
      <c r="B98">
        <v>64.69</v>
      </c>
      <c r="D98">
        <v>1778036400000</v>
      </c>
      <c r="E98">
        <v>68.06</v>
      </c>
      <c r="F98" s="6"/>
      <c r="G98">
        <v>1778122800000</v>
      </c>
      <c r="H98">
        <v>66.89</v>
      </c>
      <c r="J98">
        <v>1778122800000</v>
      </c>
      <c r="K98">
        <v>72.28</v>
      </c>
      <c r="L98" s="6"/>
      <c r="M98">
        <v>1779159600000</v>
      </c>
      <c r="N98">
        <v>59.65</v>
      </c>
      <c r="P98">
        <v>1779159600000</v>
      </c>
      <c r="Q98">
        <v>52.54</v>
      </c>
      <c r="R98" s="6"/>
      <c r="S98">
        <v>1782270000000</v>
      </c>
      <c r="T98">
        <v>53.44</v>
      </c>
      <c r="V98">
        <v>1782270000000</v>
      </c>
      <c r="W98">
        <v>68.25</v>
      </c>
      <c r="X98" s="6"/>
      <c r="Y98">
        <v>1784084400000</v>
      </c>
      <c r="Z98">
        <v>51.69</v>
      </c>
      <c r="AB98">
        <v>1784084400000</v>
      </c>
      <c r="AC98">
        <v>66.89</v>
      </c>
      <c r="AD98" s="6"/>
      <c r="AE98">
        <v>1784170800000</v>
      </c>
      <c r="AF98">
        <v>54.91</v>
      </c>
      <c r="AH98">
        <v>1784170800000</v>
      </c>
      <c r="AI98">
        <v>66.39</v>
      </c>
      <c r="AJ98" s="6"/>
    </row>
    <row r="99" spans="1:36">
      <c r="A99">
        <v>1778037300000</v>
      </c>
      <c r="B99">
        <v>64.349999999999994</v>
      </c>
      <c r="D99">
        <v>1778037300000</v>
      </c>
      <c r="E99">
        <v>62.66</v>
      </c>
      <c r="F99" s="6"/>
      <c r="G99">
        <v>1778123700000</v>
      </c>
      <c r="H99">
        <v>55.61</v>
      </c>
      <c r="J99">
        <v>1778123700000</v>
      </c>
      <c r="K99">
        <v>62.26</v>
      </c>
      <c r="L99" s="6"/>
      <c r="M99">
        <v>1779160500000</v>
      </c>
      <c r="N99">
        <v>53.07</v>
      </c>
      <c r="P99">
        <v>1779160500000</v>
      </c>
      <c r="Q99">
        <v>55.93</v>
      </c>
      <c r="R99" s="6"/>
      <c r="S99">
        <v>1782270900000</v>
      </c>
      <c r="T99">
        <v>54.22</v>
      </c>
      <c r="V99">
        <v>1782270900000</v>
      </c>
      <c r="W99">
        <v>60.34</v>
      </c>
      <c r="X99" s="6"/>
      <c r="Y99">
        <v>1784085300000</v>
      </c>
      <c r="Z99">
        <v>61.15</v>
      </c>
      <c r="AB99">
        <v>1784085300000</v>
      </c>
      <c r="AC99">
        <v>60.18</v>
      </c>
      <c r="AD99" s="6"/>
      <c r="AE99">
        <v>1784171700000</v>
      </c>
      <c r="AF99">
        <v>61.05</v>
      </c>
      <c r="AH99">
        <v>1784171700000</v>
      </c>
      <c r="AI99">
        <v>65.52</v>
      </c>
      <c r="AJ99" s="6"/>
    </row>
    <row r="100" spans="1:36">
      <c r="A100">
        <v>1778038200000</v>
      </c>
      <c r="B100">
        <v>54.78</v>
      </c>
      <c r="D100">
        <v>1778038200000</v>
      </c>
      <c r="E100">
        <v>58.46</v>
      </c>
      <c r="F100" s="6"/>
      <c r="G100">
        <v>1778124600000</v>
      </c>
      <c r="H100">
        <v>56.12</v>
      </c>
      <c r="J100">
        <v>1778124600000</v>
      </c>
      <c r="K100">
        <v>58.6</v>
      </c>
      <c r="L100" s="6"/>
      <c r="M100">
        <v>1779161400000</v>
      </c>
      <c r="N100">
        <v>50.48</v>
      </c>
      <c r="P100">
        <v>1779161400000</v>
      </c>
      <c r="Q100">
        <v>52.61</v>
      </c>
      <c r="R100" s="6"/>
      <c r="S100">
        <v>1782271800000</v>
      </c>
      <c r="T100">
        <v>53.56</v>
      </c>
      <c r="V100">
        <v>1782271800000</v>
      </c>
      <c r="W100">
        <v>59.51</v>
      </c>
      <c r="X100" s="6"/>
      <c r="Y100">
        <v>1784086200000</v>
      </c>
      <c r="Z100">
        <v>51.6</v>
      </c>
      <c r="AB100">
        <v>1784086200000</v>
      </c>
      <c r="AC100">
        <v>54.75</v>
      </c>
      <c r="AD100" s="6"/>
      <c r="AE100">
        <v>1784172600000</v>
      </c>
      <c r="AF100">
        <v>55.23</v>
      </c>
      <c r="AH100">
        <v>1784172600000</v>
      </c>
      <c r="AI100">
        <v>60.12</v>
      </c>
      <c r="AJ100" s="6"/>
    </row>
    <row r="101" spans="1:36">
      <c r="A101">
        <v>1778039100000</v>
      </c>
      <c r="B101">
        <v>46.23</v>
      </c>
      <c r="D101">
        <v>1778039100000</v>
      </c>
      <c r="E101">
        <v>46.83</v>
      </c>
      <c r="F101" s="6"/>
      <c r="G101">
        <v>1778125500000</v>
      </c>
      <c r="H101">
        <v>58.42</v>
      </c>
      <c r="J101">
        <v>1778125500000</v>
      </c>
      <c r="K101">
        <v>57.76</v>
      </c>
      <c r="L101" s="6"/>
      <c r="M101">
        <v>1779162300000</v>
      </c>
      <c r="N101">
        <v>58.36</v>
      </c>
      <c r="P101">
        <v>1779162300000</v>
      </c>
      <c r="Q101">
        <v>56.28</v>
      </c>
      <c r="R101" s="6"/>
      <c r="S101">
        <v>1782272700000</v>
      </c>
      <c r="T101">
        <v>63</v>
      </c>
      <c r="V101">
        <v>1782272700000</v>
      </c>
      <c r="W101">
        <v>55.49</v>
      </c>
      <c r="X101" s="6"/>
      <c r="Y101">
        <v>1784087100000</v>
      </c>
      <c r="Z101">
        <v>55.1</v>
      </c>
      <c r="AB101">
        <v>1784087100000</v>
      </c>
      <c r="AC101">
        <v>48.05</v>
      </c>
      <c r="AD101" s="6"/>
      <c r="AE101">
        <v>1784173500000</v>
      </c>
      <c r="AF101">
        <v>59.19</v>
      </c>
      <c r="AH101">
        <v>1784173500000</v>
      </c>
      <c r="AI101">
        <v>57.32</v>
      </c>
      <c r="AJ101" s="6"/>
    </row>
    <row r="102" spans="1:36">
      <c r="A102">
        <v>1778040000000</v>
      </c>
      <c r="B102">
        <v>68.77</v>
      </c>
      <c r="D102">
        <v>1778040000000</v>
      </c>
      <c r="E102">
        <v>74.78</v>
      </c>
      <c r="F102" s="6"/>
      <c r="G102">
        <v>1778126400000</v>
      </c>
      <c r="H102">
        <v>65.180000000000007</v>
      </c>
      <c r="J102">
        <v>1778126400000</v>
      </c>
      <c r="K102">
        <v>69.260000000000005</v>
      </c>
      <c r="L102" s="6"/>
      <c r="M102">
        <v>1779163200000</v>
      </c>
      <c r="N102">
        <v>69.77</v>
      </c>
      <c r="P102">
        <v>1779163200000</v>
      </c>
      <c r="Q102">
        <v>69.67</v>
      </c>
      <c r="R102" s="6"/>
      <c r="S102">
        <v>1782273600000</v>
      </c>
      <c r="T102">
        <v>67.790000000000006</v>
      </c>
      <c r="V102">
        <v>1782273600000</v>
      </c>
      <c r="W102">
        <v>68.88</v>
      </c>
      <c r="X102" s="6"/>
      <c r="Y102">
        <v>1784088000000</v>
      </c>
      <c r="Z102">
        <v>60.57</v>
      </c>
      <c r="AB102">
        <v>1784088000000</v>
      </c>
      <c r="AC102">
        <v>72.959999999999994</v>
      </c>
      <c r="AD102" s="6"/>
      <c r="AE102">
        <v>1784174400000</v>
      </c>
      <c r="AF102">
        <v>66.819999999999993</v>
      </c>
      <c r="AH102">
        <v>1784174400000</v>
      </c>
      <c r="AI102">
        <v>67.38</v>
      </c>
      <c r="AJ102" s="6"/>
    </row>
    <row r="103" spans="1:36">
      <c r="A103">
        <v>1778040900000</v>
      </c>
      <c r="B103">
        <v>57.66</v>
      </c>
      <c r="D103">
        <v>1778040900000</v>
      </c>
      <c r="E103">
        <v>65.73</v>
      </c>
      <c r="F103" s="6"/>
      <c r="G103">
        <v>1778127300000</v>
      </c>
      <c r="H103">
        <v>55.31</v>
      </c>
      <c r="J103">
        <v>1778127300000</v>
      </c>
      <c r="K103">
        <v>64.760000000000005</v>
      </c>
      <c r="L103" s="6"/>
      <c r="M103">
        <v>1779164100000</v>
      </c>
      <c r="N103">
        <v>57.82</v>
      </c>
      <c r="P103">
        <v>1779164100000</v>
      </c>
      <c r="Q103">
        <v>63.47</v>
      </c>
      <c r="R103" s="6"/>
      <c r="S103">
        <v>1782274500000</v>
      </c>
      <c r="T103">
        <v>53.94</v>
      </c>
      <c r="V103">
        <v>1782274500000</v>
      </c>
      <c r="W103">
        <v>75.08</v>
      </c>
      <c r="X103" s="6"/>
      <c r="Y103">
        <v>1784088900000</v>
      </c>
      <c r="Z103">
        <v>54.7</v>
      </c>
      <c r="AB103">
        <v>1784088900000</v>
      </c>
      <c r="AC103">
        <v>74.73</v>
      </c>
      <c r="AD103" s="6"/>
      <c r="AE103">
        <v>1784175300000</v>
      </c>
      <c r="AF103">
        <v>51.38</v>
      </c>
      <c r="AH103">
        <v>1784175300000</v>
      </c>
      <c r="AI103">
        <v>66.39</v>
      </c>
      <c r="AJ103" s="6"/>
    </row>
    <row r="104" spans="1:36">
      <c r="A104">
        <v>1778041800000</v>
      </c>
      <c r="B104">
        <v>59.02</v>
      </c>
      <c r="D104">
        <v>1778041800000</v>
      </c>
      <c r="E104">
        <v>58.76</v>
      </c>
      <c r="F104" s="6"/>
      <c r="G104">
        <v>1778128200000</v>
      </c>
      <c r="H104">
        <v>67.34</v>
      </c>
      <c r="J104">
        <v>1778128200000</v>
      </c>
      <c r="K104">
        <v>74.14</v>
      </c>
      <c r="L104" s="6"/>
      <c r="M104">
        <v>1779165000000</v>
      </c>
      <c r="N104">
        <v>59.42</v>
      </c>
      <c r="P104">
        <v>1779165000000</v>
      </c>
      <c r="Q104">
        <v>61.23</v>
      </c>
      <c r="R104" s="6"/>
      <c r="S104">
        <v>1782275400000</v>
      </c>
      <c r="T104">
        <v>59.51</v>
      </c>
      <c r="V104">
        <v>1782275400000</v>
      </c>
      <c r="W104">
        <v>75.92</v>
      </c>
      <c r="X104" s="6"/>
      <c r="Y104">
        <v>1784089800000</v>
      </c>
      <c r="Z104">
        <v>51.5</v>
      </c>
      <c r="AB104">
        <v>1784089800000</v>
      </c>
      <c r="AC104">
        <v>66.86</v>
      </c>
      <c r="AD104" s="6"/>
      <c r="AE104">
        <v>1784176200000</v>
      </c>
      <c r="AF104">
        <v>67.05</v>
      </c>
      <c r="AH104">
        <v>1784176200000</v>
      </c>
      <c r="AI104">
        <v>62.84</v>
      </c>
      <c r="AJ104" s="6"/>
    </row>
    <row r="105" spans="1:36">
      <c r="A105">
        <v>1778042700000</v>
      </c>
      <c r="B105">
        <v>40.409999999999997</v>
      </c>
      <c r="D105">
        <v>1778042700000</v>
      </c>
      <c r="E105">
        <v>56.63</v>
      </c>
      <c r="F105" s="6"/>
      <c r="G105">
        <v>1778129100000</v>
      </c>
      <c r="H105">
        <v>62.64</v>
      </c>
      <c r="J105">
        <v>1778129100000</v>
      </c>
      <c r="K105">
        <v>66.27</v>
      </c>
      <c r="L105" s="6"/>
      <c r="M105">
        <v>1779165900000</v>
      </c>
      <c r="N105">
        <v>51.79</v>
      </c>
      <c r="P105">
        <v>1779165900000</v>
      </c>
      <c r="Q105">
        <v>70.23</v>
      </c>
      <c r="R105" s="6"/>
      <c r="S105">
        <v>1782276300000</v>
      </c>
      <c r="T105">
        <v>61.9</v>
      </c>
      <c r="V105">
        <v>1782276300000</v>
      </c>
      <c r="W105">
        <v>54.44</v>
      </c>
      <c r="X105" s="6"/>
      <c r="Y105">
        <v>1784090700000</v>
      </c>
      <c r="Z105">
        <v>53.85</v>
      </c>
      <c r="AB105">
        <v>1784090700000</v>
      </c>
      <c r="AC105">
        <v>74.38</v>
      </c>
      <c r="AD105" s="6"/>
      <c r="AE105">
        <v>1784177100000</v>
      </c>
      <c r="AF105">
        <v>52.8</v>
      </c>
      <c r="AH105">
        <v>1784177100000</v>
      </c>
      <c r="AI105">
        <v>54.55</v>
      </c>
      <c r="AJ105" s="6"/>
    </row>
    <row r="106" spans="1:36">
      <c r="A106">
        <v>1778043600000</v>
      </c>
      <c r="B106">
        <v>56.69</v>
      </c>
      <c r="D106">
        <v>1778043600000</v>
      </c>
      <c r="E106">
        <v>55.56</v>
      </c>
      <c r="F106" s="6"/>
      <c r="G106">
        <v>1778130000000</v>
      </c>
      <c r="H106">
        <v>57.33</v>
      </c>
      <c r="J106">
        <v>1778130000000</v>
      </c>
      <c r="K106">
        <v>61.18</v>
      </c>
      <c r="L106" s="6"/>
      <c r="M106">
        <v>1779166800000</v>
      </c>
      <c r="N106">
        <v>47.58</v>
      </c>
      <c r="P106">
        <v>1779166800000</v>
      </c>
      <c r="Q106">
        <v>65.92</v>
      </c>
      <c r="R106" s="6"/>
      <c r="S106">
        <v>1782277200000</v>
      </c>
      <c r="T106">
        <v>59.12</v>
      </c>
      <c r="V106">
        <v>1782277200000</v>
      </c>
      <c r="W106">
        <v>68.09</v>
      </c>
      <c r="X106" s="6"/>
      <c r="Y106">
        <v>1784091600000</v>
      </c>
      <c r="Z106">
        <v>51.75</v>
      </c>
      <c r="AB106">
        <v>1784091600000</v>
      </c>
      <c r="AC106">
        <v>59.24</v>
      </c>
      <c r="AD106" s="6"/>
      <c r="AE106">
        <v>1784178000000</v>
      </c>
      <c r="AF106">
        <v>46.79</v>
      </c>
      <c r="AH106">
        <v>1784178000000</v>
      </c>
      <c r="AI106">
        <v>64.239999999999995</v>
      </c>
      <c r="AJ106" s="6"/>
    </row>
    <row r="107" spans="1:36">
      <c r="A107">
        <v>1778044500000</v>
      </c>
      <c r="B107">
        <v>56.27</v>
      </c>
      <c r="D107">
        <v>1778044500000</v>
      </c>
      <c r="E107">
        <v>58.99</v>
      </c>
      <c r="F107" s="6"/>
      <c r="G107">
        <v>1778130900000</v>
      </c>
      <c r="H107">
        <v>54.09</v>
      </c>
      <c r="J107">
        <v>1778130900000</v>
      </c>
      <c r="K107">
        <v>63.19</v>
      </c>
      <c r="L107" s="6"/>
      <c r="M107">
        <v>1779167700000</v>
      </c>
      <c r="N107">
        <v>46.25</v>
      </c>
      <c r="P107">
        <v>1779167700000</v>
      </c>
      <c r="Q107">
        <v>57.44</v>
      </c>
      <c r="R107" s="6"/>
      <c r="S107">
        <v>1782278100000</v>
      </c>
      <c r="T107">
        <v>54.44</v>
      </c>
      <c r="V107">
        <v>1782278100000</v>
      </c>
      <c r="W107">
        <v>70</v>
      </c>
      <c r="X107" s="6"/>
      <c r="Y107">
        <v>1784092500000</v>
      </c>
      <c r="Z107">
        <v>52.58</v>
      </c>
      <c r="AB107">
        <v>1784092500000</v>
      </c>
      <c r="AC107">
        <v>63.19</v>
      </c>
      <c r="AD107" s="6"/>
      <c r="AE107">
        <v>1784178900000</v>
      </c>
      <c r="AF107">
        <v>51.69</v>
      </c>
      <c r="AH107">
        <v>1784178900000</v>
      </c>
      <c r="AI107">
        <v>63.54</v>
      </c>
      <c r="AJ107" s="6"/>
    </row>
    <row r="108" spans="1:36">
      <c r="A108">
        <v>1778045400000</v>
      </c>
      <c r="B108">
        <v>47.91</v>
      </c>
      <c r="D108">
        <v>1778045400000</v>
      </c>
      <c r="E108">
        <v>52.51</v>
      </c>
      <c r="F108" s="6"/>
      <c r="G108">
        <v>1778131800000</v>
      </c>
      <c r="H108">
        <v>49.33</v>
      </c>
      <c r="J108">
        <v>1778131800000</v>
      </c>
      <c r="K108">
        <v>57.92</v>
      </c>
      <c r="L108" s="6"/>
      <c r="M108">
        <v>1779168600000</v>
      </c>
      <c r="N108">
        <v>47.67</v>
      </c>
      <c r="P108">
        <v>1779168600000</v>
      </c>
      <c r="Q108">
        <v>47.7</v>
      </c>
      <c r="R108" s="6"/>
      <c r="S108">
        <v>1782279000000</v>
      </c>
      <c r="T108">
        <v>51.11</v>
      </c>
      <c r="V108">
        <v>1782279000000</v>
      </c>
      <c r="W108">
        <v>58.62</v>
      </c>
      <c r="X108" s="6"/>
      <c r="Y108">
        <v>1784093400000</v>
      </c>
      <c r="Z108">
        <v>51.11</v>
      </c>
      <c r="AB108">
        <v>1784093400000</v>
      </c>
      <c r="AC108">
        <v>62.57</v>
      </c>
      <c r="AD108" s="6"/>
      <c r="AE108">
        <v>1784179800000</v>
      </c>
      <c r="AF108">
        <v>48.31</v>
      </c>
      <c r="AH108">
        <v>1784179800000</v>
      </c>
      <c r="AI108">
        <v>57.6</v>
      </c>
      <c r="AJ108" s="6"/>
    </row>
    <row r="109" spans="1:36">
      <c r="A109">
        <v>1778046300000</v>
      </c>
      <c r="B109">
        <v>23.15</v>
      </c>
      <c r="D109">
        <v>1778046300000</v>
      </c>
      <c r="E109">
        <v>51.75</v>
      </c>
      <c r="F109" s="6"/>
      <c r="G109">
        <v>1778132700000</v>
      </c>
      <c r="H109">
        <v>40.96</v>
      </c>
      <c r="J109">
        <v>1778132700000</v>
      </c>
      <c r="K109">
        <v>55.47</v>
      </c>
      <c r="L109" s="6"/>
      <c r="M109">
        <v>1779169500000</v>
      </c>
      <c r="N109">
        <v>27.37</v>
      </c>
      <c r="P109">
        <v>1779169500000</v>
      </c>
      <c r="Q109">
        <v>36.630000000000003</v>
      </c>
      <c r="R109" s="6"/>
      <c r="S109">
        <v>1782279900000</v>
      </c>
      <c r="T109">
        <v>47.37</v>
      </c>
      <c r="V109">
        <v>1782279900000</v>
      </c>
      <c r="W109">
        <v>57.04</v>
      </c>
      <c r="X109" s="6"/>
      <c r="Y109">
        <v>1784094300000</v>
      </c>
      <c r="Z109">
        <v>44.34</v>
      </c>
      <c r="AB109">
        <v>1784094300000</v>
      </c>
      <c r="AC109">
        <v>57.49</v>
      </c>
      <c r="AD109" s="6"/>
      <c r="AE109">
        <v>1784180700000</v>
      </c>
      <c r="AF109">
        <v>46.55</v>
      </c>
      <c r="AH109">
        <v>1784180700000</v>
      </c>
      <c r="AI109">
        <v>53.51</v>
      </c>
      <c r="AJ109" s="6"/>
    </row>
    <row r="110" spans="1:36">
      <c r="F110" s="6"/>
      <c r="L110" s="6"/>
      <c r="R110" s="6"/>
      <c r="X110" s="6"/>
      <c r="AD110" s="6"/>
      <c r="AJ110" s="6"/>
    </row>
    <row r="111" spans="1:36">
      <c r="F111" s="6"/>
      <c r="L111" s="6"/>
      <c r="R111" s="6"/>
      <c r="X111" s="6"/>
      <c r="AD111" s="6"/>
      <c r="AJ111" s="6"/>
    </row>
    <row r="112" spans="1:36">
      <c r="F112" s="6"/>
      <c r="L112" s="6"/>
      <c r="R112" s="6"/>
      <c r="X112" s="6"/>
      <c r="AD112" s="6"/>
      <c r="AJ112" s="6"/>
    </row>
    <row r="113" spans="6:36">
      <c r="F113" s="6"/>
      <c r="L113" s="6"/>
      <c r="R113" s="6"/>
      <c r="X113" s="6"/>
      <c r="AD113" s="6"/>
      <c r="AJ113" s="6"/>
    </row>
    <row r="114" spans="6:36">
      <c r="F114" s="6"/>
      <c r="L114" s="6"/>
      <c r="R114" s="6"/>
      <c r="X114" s="6"/>
      <c r="AD114" s="6"/>
      <c r="AJ114" s="6"/>
    </row>
    <row r="115" spans="6:36">
      <c r="F115" s="6"/>
      <c r="L115" s="6"/>
      <c r="R115" s="6"/>
      <c r="X115" s="6"/>
      <c r="AD115" s="6"/>
      <c r="AJ115" s="6"/>
    </row>
    <row r="116" spans="6:36">
      <c r="F116" s="6"/>
      <c r="L116" s="6"/>
      <c r="R116" s="6"/>
      <c r="X116" s="6"/>
      <c r="AD116" s="6"/>
      <c r="AJ116" s="6"/>
    </row>
    <row r="117" spans="6:36">
      <c r="F117" s="6"/>
      <c r="L117" s="6"/>
      <c r="R117" s="6"/>
      <c r="X117" s="6"/>
      <c r="AD117" s="6"/>
      <c r="AJ117" s="6"/>
    </row>
    <row r="118" spans="6:36">
      <c r="F118" s="6"/>
      <c r="L118" s="6"/>
      <c r="R118" s="6"/>
      <c r="X118" s="6"/>
      <c r="AD118" s="6"/>
      <c r="AJ118" s="6"/>
    </row>
    <row r="119" spans="6:36">
      <c r="F119" s="6"/>
      <c r="L119" s="6"/>
      <c r="R119" s="6"/>
      <c r="X119" s="6"/>
      <c r="AD119" s="6"/>
      <c r="AJ119" s="6"/>
    </row>
    <row r="120" spans="6:36">
      <c r="F120" s="6"/>
      <c r="L120" s="6"/>
      <c r="R120" s="6"/>
      <c r="X120" s="6"/>
      <c r="AD120" s="6"/>
      <c r="AJ120" s="6"/>
    </row>
    <row r="121" spans="6:36">
      <c r="F121" s="6"/>
      <c r="L121" s="6"/>
      <c r="R121" s="6"/>
      <c r="X121" s="6"/>
      <c r="AD121" s="6"/>
      <c r="AJ121" s="6"/>
    </row>
    <row r="122" spans="6:36">
      <c r="F122" s="6"/>
      <c r="L122" s="6"/>
      <c r="R122" s="6"/>
      <c r="X122" s="6"/>
      <c r="AD122" s="6"/>
      <c r="AJ122" s="6"/>
    </row>
    <row r="123" spans="6:36">
      <c r="F123" s="6"/>
      <c r="L123" s="6"/>
      <c r="R123" s="6"/>
      <c r="X123" s="6"/>
      <c r="AD123" s="6"/>
      <c r="AJ123" s="6"/>
    </row>
    <row r="124" spans="6:36">
      <c r="F124" s="6"/>
      <c r="L124" s="6"/>
      <c r="R124" s="6"/>
      <c r="X124" s="6"/>
      <c r="AD124" s="6"/>
      <c r="AJ124" s="6"/>
    </row>
    <row r="125" spans="6:36">
      <c r="F125" s="6"/>
      <c r="L125" s="6"/>
      <c r="R125" s="6"/>
      <c r="X125" s="6"/>
      <c r="AD125" s="6"/>
      <c r="AJ125" s="6"/>
    </row>
    <row r="126" spans="6:36">
      <c r="F126" s="6"/>
      <c r="L126" s="6"/>
      <c r="R126" s="6"/>
      <c r="X126" s="6"/>
      <c r="AD126" s="6"/>
      <c r="AJ126" s="6"/>
    </row>
    <row r="127" spans="6:36">
      <c r="F127" s="6"/>
      <c r="L127" s="6"/>
      <c r="R127" s="6"/>
      <c r="X127" s="6"/>
      <c r="AD127" s="6"/>
      <c r="AJ127" s="6"/>
    </row>
    <row r="128" spans="6:36">
      <c r="F128" s="6"/>
      <c r="L128" s="6"/>
      <c r="R128" s="6"/>
      <c r="X128" s="6"/>
      <c r="AD128" s="6"/>
      <c r="AJ128" s="6"/>
    </row>
    <row r="129" spans="6:36">
      <c r="F129" s="6"/>
      <c r="L129" s="6"/>
      <c r="R129" s="6"/>
      <c r="X129" s="6"/>
      <c r="AD129" s="6"/>
      <c r="AJ129" s="6"/>
    </row>
    <row r="130" spans="6:36">
      <c r="F130" s="6"/>
      <c r="L130" s="6"/>
      <c r="R130" s="6"/>
      <c r="X130" s="6"/>
      <c r="AD130" s="6"/>
      <c r="AJ130" s="6"/>
    </row>
    <row r="131" spans="6:36">
      <c r="F131" s="6"/>
      <c r="L131" s="6"/>
      <c r="R131" s="6"/>
      <c r="X131" s="6"/>
      <c r="AD131" s="6"/>
      <c r="AJ131" s="6"/>
    </row>
    <row r="132" spans="6:36">
      <c r="F132" s="6"/>
      <c r="L132" s="6"/>
      <c r="R132" s="6"/>
      <c r="X132" s="6"/>
      <c r="AD132" s="6"/>
      <c r="AJ132" s="6"/>
    </row>
    <row r="133" spans="6:36">
      <c r="F133" s="6"/>
      <c r="L133" s="6"/>
      <c r="R133" s="6"/>
      <c r="X133" s="6"/>
      <c r="AD133" s="6"/>
      <c r="AJ133" s="6"/>
    </row>
    <row r="134" spans="6:36">
      <c r="F134" s="6"/>
      <c r="L134" s="6"/>
      <c r="R134" s="6"/>
      <c r="X134" s="6"/>
      <c r="AD134" s="6"/>
    </row>
    <row r="135" spans="6:36">
      <c r="F135" s="6"/>
      <c r="L135" s="6"/>
      <c r="R135" s="6"/>
      <c r="X135" s="6"/>
      <c r="AD135" s="6"/>
    </row>
    <row r="136" spans="6:36">
      <c r="F136" s="6"/>
      <c r="L136" s="6"/>
      <c r="R136" s="6"/>
      <c r="X136" s="6"/>
      <c r="AD136" s="6"/>
    </row>
    <row r="137" spans="6:36">
      <c r="F137" s="6"/>
      <c r="L137" s="6"/>
      <c r="R137" s="6"/>
      <c r="X137" s="6"/>
      <c r="AD137" s="6"/>
    </row>
    <row r="138" spans="6:36">
      <c r="F138" s="6"/>
      <c r="L138" s="6"/>
      <c r="R138" s="6"/>
      <c r="X138" s="6"/>
      <c r="AD138" s="6"/>
    </row>
    <row r="139" spans="6:36">
      <c r="F139" s="6"/>
      <c r="L139" s="6"/>
      <c r="R139" s="6"/>
      <c r="X139" s="6"/>
      <c r="AD139" s="6"/>
    </row>
    <row r="140" spans="6:36">
      <c r="F140" s="6"/>
      <c r="L140" s="6"/>
      <c r="R140" s="6"/>
      <c r="X140" s="6"/>
      <c r="AD140" s="6"/>
    </row>
    <row r="141" spans="6:36">
      <c r="F141" s="6"/>
      <c r="L141" s="6"/>
      <c r="R141" s="6"/>
      <c r="X141" s="6"/>
      <c r="AD141" s="6"/>
    </row>
    <row r="142" spans="6:36">
      <c r="F142" s="6"/>
      <c r="L142" s="6"/>
      <c r="R142" s="6"/>
      <c r="X142" s="6"/>
      <c r="AD142" s="6"/>
    </row>
    <row r="143" spans="6:36">
      <c r="F143" s="6"/>
      <c r="L143" s="6"/>
      <c r="R143" s="6"/>
      <c r="X143" s="6"/>
      <c r="AD143" s="6"/>
    </row>
    <row r="144" spans="6:36">
      <c r="F144" s="6"/>
      <c r="L144" s="6"/>
      <c r="R144" s="6"/>
      <c r="X144" s="6"/>
      <c r="AD144" s="6"/>
    </row>
    <row r="145" spans="6:30">
      <c r="F145" s="6"/>
      <c r="L145" s="6"/>
      <c r="R145" s="6"/>
      <c r="X145" s="6"/>
      <c r="AD145" s="6"/>
    </row>
    <row r="146" spans="6:30">
      <c r="F146" s="6"/>
      <c r="L146" s="6"/>
      <c r="R146" s="6"/>
      <c r="X146" s="6"/>
      <c r="AD146" s="6"/>
    </row>
    <row r="147" spans="6:30">
      <c r="F147" s="6"/>
      <c r="L147" s="6"/>
      <c r="R147" s="6"/>
      <c r="X147" s="6"/>
      <c r="AD147" s="6"/>
    </row>
    <row r="148" spans="6:30">
      <c r="F148" s="6"/>
      <c r="L148" s="6"/>
      <c r="R148" s="6"/>
      <c r="X148" s="6"/>
      <c r="AD148" s="6"/>
    </row>
    <row r="149" spans="6:30">
      <c r="F149" s="6"/>
      <c r="L149" s="6"/>
      <c r="R149" s="6"/>
      <c r="X149" s="6"/>
      <c r="AD149" s="6"/>
    </row>
    <row r="150" spans="6:30">
      <c r="F150" s="6"/>
      <c r="L150" s="6"/>
      <c r="R150" s="6"/>
      <c r="X150" s="6"/>
      <c r="AD150" s="6"/>
    </row>
    <row r="151" spans="6:30">
      <c r="F151" s="6"/>
      <c r="L151" s="6"/>
      <c r="R151" s="6"/>
      <c r="X151" s="6"/>
      <c r="AD151" s="6"/>
    </row>
    <row r="152" spans="6:30">
      <c r="F152" s="6"/>
      <c r="L152" s="6"/>
      <c r="R152" s="6"/>
      <c r="X152" s="6"/>
      <c r="AD152" s="6"/>
    </row>
    <row r="153" spans="6:30">
      <c r="F153" s="6"/>
      <c r="L153" s="6"/>
      <c r="R153" s="6"/>
      <c r="X153" s="6"/>
      <c r="AD153" s="6"/>
    </row>
    <row r="154" spans="6:30">
      <c r="F154" s="6"/>
      <c r="L154" s="6"/>
      <c r="R154" s="6"/>
      <c r="X154" s="6"/>
      <c r="AD154" s="6"/>
    </row>
    <row r="155" spans="6:30">
      <c r="F155" s="6"/>
      <c r="L155" s="6"/>
      <c r="R155" s="6"/>
      <c r="X155" s="6"/>
      <c r="AD155" s="6"/>
    </row>
    <row r="156" spans="6:30">
      <c r="F156" s="6"/>
      <c r="L156" s="6"/>
      <c r="R156" s="6"/>
      <c r="X156" s="6"/>
      <c r="AD156" s="6"/>
    </row>
    <row r="157" spans="6:30">
      <c r="F157" s="6"/>
      <c r="L157" s="6"/>
      <c r="R157" s="6"/>
      <c r="X157" s="6"/>
      <c r="AD157" s="6"/>
    </row>
    <row r="158" spans="6:30">
      <c r="F158" s="6"/>
      <c r="L158" s="6"/>
      <c r="R158" s="6"/>
      <c r="X158" s="6"/>
      <c r="AD158" s="6"/>
    </row>
    <row r="159" spans="6:30">
      <c r="F159" s="6"/>
      <c r="L159" s="6"/>
      <c r="R159" s="6"/>
      <c r="X159" s="6"/>
      <c r="AD159" s="6"/>
    </row>
    <row r="160" spans="6:30">
      <c r="F160" s="6"/>
      <c r="L160" s="6"/>
      <c r="R160" s="6"/>
      <c r="X160" s="6"/>
      <c r="AD160" s="6"/>
    </row>
    <row r="161" spans="6:30">
      <c r="F161" s="6"/>
      <c r="L161" s="6"/>
      <c r="R161" s="6"/>
      <c r="X161" s="6"/>
      <c r="AD161" s="6"/>
    </row>
    <row r="162" spans="6:30">
      <c r="F162" s="6"/>
      <c r="L162" s="6"/>
      <c r="R162" s="6"/>
      <c r="X162" s="6"/>
      <c r="AD162" s="6"/>
    </row>
    <row r="163" spans="6:30">
      <c r="F163" s="6"/>
      <c r="L163" s="6"/>
      <c r="R163" s="6"/>
      <c r="X163" s="6"/>
      <c r="AD163" s="6"/>
    </row>
    <row r="164" spans="6:30">
      <c r="F164" s="6"/>
      <c r="L164" s="6"/>
      <c r="R164" s="6"/>
      <c r="X164" s="6"/>
      <c r="AD164" s="6"/>
    </row>
    <row r="165" spans="6:30">
      <c r="F165" s="6"/>
      <c r="L165" s="6"/>
      <c r="R165" s="6"/>
      <c r="X165" s="6"/>
      <c r="AD165" s="6"/>
    </row>
    <row r="166" spans="6:30">
      <c r="F166" s="6"/>
      <c r="L166" s="6"/>
      <c r="R166" s="6"/>
      <c r="X166" s="6"/>
      <c r="AD166" s="6"/>
    </row>
    <row r="167" spans="6:30">
      <c r="F167" s="6"/>
      <c r="L167" s="6"/>
      <c r="R167" s="6"/>
      <c r="X167" s="6"/>
      <c r="AD167" s="6"/>
    </row>
    <row r="168" spans="6:30">
      <c r="F168" s="6"/>
      <c r="L168" s="6"/>
      <c r="R168" s="6"/>
      <c r="X168" s="6"/>
      <c r="AD168" s="6"/>
    </row>
    <row r="169" spans="6:30">
      <c r="F169" s="6"/>
      <c r="L169" s="6"/>
      <c r="R169" s="6"/>
      <c r="X169" s="6"/>
      <c r="AD169" s="6"/>
    </row>
    <row r="170" spans="6:30">
      <c r="F170" s="6"/>
      <c r="L170" s="6"/>
      <c r="R170" s="6"/>
      <c r="X170" s="6"/>
      <c r="AD170" s="6"/>
    </row>
    <row r="171" spans="6:30">
      <c r="F171" s="6"/>
      <c r="L171" s="6"/>
      <c r="R171" s="6"/>
      <c r="X171" s="6"/>
      <c r="AD171" s="6"/>
    </row>
    <row r="172" spans="6:30">
      <c r="F172" s="6"/>
      <c r="L172" s="6"/>
      <c r="R172" s="6"/>
      <c r="X172" s="6"/>
      <c r="AD172" s="6"/>
    </row>
    <row r="173" spans="6:30">
      <c r="F173" s="6"/>
      <c r="L173" s="6"/>
      <c r="R173" s="6"/>
      <c r="X173" s="6"/>
      <c r="AD173" s="6"/>
    </row>
    <row r="174" spans="6:30">
      <c r="F174" s="6"/>
      <c r="L174" s="6"/>
      <c r="R174" s="6"/>
      <c r="X174" s="6"/>
      <c r="AD174" s="6"/>
    </row>
    <row r="175" spans="6:30">
      <c r="F175" s="6"/>
      <c r="L175" s="6"/>
      <c r="R175" s="6"/>
      <c r="X175" s="6"/>
      <c r="AD175" s="6"/>
    </row>
    <row r="176" spans="6:30">
      <c r="F176" s="6"/>
      <c r="L176" s="6"/>
      <c r="R176" s="6"/>
      <c r="X176" s="6"/>
      <c r="AD176" s="6"/>
    </row>
    <row r="177" spans="6:30">
      <c r="F177" s="6"/>
      <c r="L177" s="6"/>
      <c r="R177" s="6"/>
      <c r="X177" s="6"/>
      <c r="AD177" s="6"/>
    </row>
    <row r="178" spans="6:30">
      <c r="F178" s="6"/>
      <c r="L178" s="6"/>
      <c r="R178" s="6"/>
      <c r="X178" s="6"/>
      <c r="AD178" s="6"/>
    </row>
    <row r="179" spans="6:30">
      <c r="F179" s="6"/>
      <c r="L179" s="6"/>
      <c r="R179" s="6"/>
      <c r="X179" s="6"/>
      <c r="AD179" s="6"/>
    </row>
    <row r="180" spans="6:30">
      <c r="F180" s="6"/>
      <c r="L180" s="6"/>
      <c r="R180" s="6"/>
      <c r="X180" s="6"/>
      <c r="AD180" s="6"/>
    </row>
    <row r="181" spans="6:30">
      <c r="F181" s="6"/>
      <c r="L181" s="6"/>
      <c r="R181" s="6"/>
      <c r="X181" s="6"/>
      <c r="AD181" s="6"/>
    </row>
    <row r="182" spans="6:30">
      <c r="F182" s="6"/>
      <c r="L182" s="6"/>
      <c r="R182" s="6"/>
      <c r="X182" s="6"/>
      <c r="AD182" s="6"/>
    </row>
    <row r="183" spans="6:30">
      <c r="F183" s="6"/>
      <c r="L183" s="6"/>
      <c r="R183" s="6"/>
      <c r="X183" s="6"/>
      <c r="AD183" s="6"/>
    </row>
    <row r="184" spans="6:30">
      <c r="F184" s="6"/>
      <c r="L184" s="6"/>
      <c r="R184" s="6"/>
      <c r="X184" s="6"/>
      <c r="AD184" s="6"/>
    </row>
    <row r="185" spans="6:30">
      <c r="F185" s="6"/>
      <c r="L185" s="6"/>
      <c r="R185" s="6"/>
      <c r="X185" s="6"/>
      <c r="AD185" s="6"/>
    </row>
    <row r="186" spans="6:30">
      <c r="F186" s="6"/>
      <c r="L186" s="6"/>
      <c r="R186" s="6"/>
      <c r="X186" s="6"/>
      <c r="AD186" s="6"/>
    </row>
    <row r="187" spans="6:30">
      <c r="F187" s="6"/>
      <c r="L187" s="6"/>
      <c r="R187" s="6"/>
      <c r="X187" s="6"/>
      <c r="AD187" s="6"/>
    </row>
    <row r="188" spans="6:30">
      <c r="F188" s="6"/>
      <c r="L188" s="6"/>
      <c r="R188" s="6"/>
      <c r="X188" s="6"/>
      <c r="AD188" s="6"/>
    </row>
    <row r="189" spans="6:30">
      <c r="F189" s="6"/>
      <c r="L189" s="6"/>
      <c r="R189" s="6"/>
      <c r="X189" s="6"/>
      <c r="AD189" s="6"/>
    </row>
    <row r="190" spans="6:30">
      <c r="F190" s="6"/>
      <c r="L190" s="6"/>
      <c r="R190" s="6"/>
      <c r="X190" s="6"/>
      <c r="AD190" s="6"/>
    </row>
    <row r="191" spans="6:30">
      <c r="F191" s="6"/>
      <c r="L191" s="6"/>
      <c r="R191" s="6"/>
      <c r="X191" s="6"/>
      <c r="AD191" s="6"/>
    </row>
    <row r="192" spans="6:30">
      <c r="F192" s="6"/>
      <c r="L192" s="6"/>
      <c r="R192" s="6"/>
      <c r="X192" s="6"/>
      <c r="AD192" s="6"/>
    </row>
    <row r="193" spans="6:30">
      <c r="F193" s="6"/>
      <c r="L193" s="6"/>
      <c r="R193" s="6"/>
      <c r="X193" s="6"/>
      <c r="AD193" s="6"/>
    </row>
    <row r="194" spans="6:30">
      <c r="F194" s="6"/>
      <c r="L194" s="6"/>
      <c r="R194" s="6"/>
      <c r="X194" s="6"/>
      <c r="AD194" s="6"/>
    </row>
    <row r="195" spans="6:30">
      <c r="F195" s="6"/>
      <c r="L195" s="6"/>
      <c r="R195" s="6"/>
      <c r="X195" s="6"/>
      <c r="AD195" s="6"/>
    </row>
    <row r="196" spans="6:30">
      <c r="F196" s="6"/>
      <c r="L196" s="6"/>
      <c r="R196" s="6"/>
      <c r="X196" s="6"/>
      <c r="AD196" s="6"/>
    </row>
    <row r="197" spans="6:30">
      <c r="F197" s="6"/>
      <c r="L197" s="6"/>
      <c r="R197" s="6"/>
      <c r="X197" s="6"/>
      <c r="AD197" s="6"/>
    </row>
    <row r="198" spans="6:30">
      <c r="F198" s="6"/>
      <c r="L198" s="6"/>
      <c r="R198" s="6"/>
      <c r="X198" s="6"/>
      <c r="AD198" s="6"/>
    </row>
    <row r="199" spans="6:30">
      <c r="F199" s="6"/>
      <c r="L199" s="6"/>
      <c r="R199" s="6"/>
      <c r="X199" s="6"/>
      <c r="AD199" s="6"/>
    </row>
    <row r="200" spans="6:30">
      <c r="F200" s="6"/>
      <c r="L200" s="6"/>
      <c r="R200" s="6"/>
      <c r="X200" s="6"/>
      <c r="AD200" s="6"/>
    </row>
    <row r="201" spans="6:30">
      <c r="F201" s="6"/>
      <c r="L201" s="6"/>
      <c r="R201" s="6"/>
      <c r="X201" s="6"/>
      <c r="AD201" s="6"/>
    </row>
    <row r="202" spans="6:30">
      <c r="F202" s="6"/>
      <c r="L202" s="6"/>
      <c r="R202" s="6"/>
      <c r="X202" s="6"/>
      <c r="AD202" s="6"/>
    </row>
    <row r="203" spans="6:30">
      <c r="F203" s="6"/>
      <c r="L203" s="6"/>
      <c r="R203" s="6"/>
      <c r="X203" s="6"/>
      <c r="AD203" s="6"/>
    </row>
    <row r="204" spans="6:30">
      <c r="F204" s="6"/>
      <c r="L204" s="6"/>
      <c r="R204" s="6"/>
      <c r="X204" s="6"/>
      <c r="AD204" s="6"/>
    </row>
    <row r="205" spans="6:30">
      <c r="F205" s="6"/>
      <c r="L205" s="6"/>
      <c r="R205" s="6"/>
      <c r="X205" s="6"/>
      <c r="AD205" s="6"/>
    </row>
    <row r="206" spans="6:30">
      <c r="F206" s="6"/>
      <c r="L206" s="6"/>
      <c r="R206" s="6"/>
      <c r="X206" s="6"/>
      <c r="AD206" s="6"/>
    </row>
    <row r="207" spans="6:30">
      <c r="F207" s="6"/>
      <c r="L207" s="6"/>
      <c r="R207" s="6"/>
      <c r="X207" s="6"/>
      <c r="AD207" s="6"/>
    </row>
    <row r="208" spans="6:30">
      <c r="F208" s="6"/>
      <c r="L208" s="6"/>
      <c r="R208" s="6"/>
      <c r="X208" s="6"/>
      <c r="AD208" s="6"/>
    </row>
    <row r="209" spans="6:30">
      <c r="F209" s="6"/>
      <c r="L209" s="6"/>
      <c r="R209" s="6"/>
      <c r="X209" s="6"/>
      <c r="AD209" s="6"/>
    </row>
    <row r="210" spans="6:30">
      <c r="F210" s="6"/>
      <c r="L210" s="6"/>
      <c r="R210" s="6"/>
      <c r="X210" s="6"/>
      <c r="AD210" s="6"/>
    </row>
    <row r="211" spans="6:30">
      <c r="F211" s="6"/>
      <c r="L211" s="6"/>
      <c r="R211" s="6"/>
      <c r="X211" s="6"/>
      <c r="AD211" s="6"/>
    </row>
    <row r="212" spans="6:30">
      <c r="F212" s="6"/>
      <c r="L212" s="6"/>
      <c r="R212" s="6"/>
      <c r="X212" s="6"/>
      <c r="AD212" s="6"/>
    </row>
    <row r="213" spans="6:30">
      <c r="F213" s="6"/>
      <c r="L213" s="6"/>
      <c r="R213" s="6"/>
      <c r="X213" s="6"/>
      <c r="AD213" s="6"/>
    </row>
    <row r="214" spans="6:30">
      <c r="F214" s="6"/>
      <c r="L214" s="6"/>
      <c r="R214" s="6"/>
      <c r="X214" s="6"/>
      <c r="AD214" s="6"/>
    </row>
    <row r="215" spans="6:30">
      <c r="F215" s="6"/>
      <c r="L215" s="6"/>
      <c r="R215" s="6"/>
      <c r="X215" s="6"/>
      <c r="AD215" s="6"/>
    </row>
    <row r="216" spans="6:30">
      <c r="F216" s="6"/>
      <c r="L216" s="6"/>
      <c r="R216" s="6"/>
      <c r="X216" s="6"/>
      <c r="AD216" s="6"/>
    </row>
    <row r="217" spans="6:30">
      <c r="F217" s="6"/>
      <c r="L217" s="6"/>
      <c r="R217" s="6"/>
      <c r="X217" s="6"/>
      <c r="AD217" s="6"/>
    </row>
    <row r="218" spans="6:30">
      <c r="F218" s="6"/>
      <c r="L218" s="6"/>
      <c r="R218" s="6"/>
      <c r="X218" s="6"/>
      <c r="AD218" s="6"/>
    </row>
    <row r="219" spans="6:30">
      <c r="F219" s="6"/>
      <c r="L219" s="6"/>
      <c r="R219" s="6"/>
      <c r="X219" s="6"/>
      <c r="AD219" s="6"/>
    </row>
    <row r="220" spans="6:30">
      <c r="F220" s="6"/>
      <c r="L220" s="6"/>
      <c r="R220" s="6"/>
      <c r="X220" s="6"/>
      <c r="AD220" s="6"/>
    </row>
    <row r="221" spans="6:30">
      <c r="F221" s="6"/>
      <c r="L221" s="6"/>
      <c r="R221" s="6"/>
      <c r="X221" s="6"/>
      <c r="AD221" s="6"/>
    </row>
    <row r="222" spans="6:30">
      <c r="F222" s="6"/>
      <c r="L222" s="6"/>
      <c r="R222" s="6"/>
      <c r="X222" s="6"/>
      <c r="AD222" s="6"/>
    </row>
    <row r="223" spans="6:30">
      <c r="F223" s="6"/>
      <c r="L223" s="6"/>
      <c r="R223" s="6"/>
      <c r="X223" s="6"/>
      <c r="AD223" s="6"/>
    </row>
    <row r="224" spans="6:30">
      <c r="F224" s="6"/>
      <c r="L224" s="6"/>
      <c r="R224" s="6"/>
      <c r="X224" s="6"/>
      <c r="AD224" s="6"/>
    </row>
    <row r="225" spans="6:30">
      <c r="F225" s="6"/>
      <c r="L225" s="6"/>
      <c r="R225" s="6"/>
      <c r="X225" s="6"/>
      <c r="AD225" s="6"/>
    </row>
    <row r="226" spans="6:30">
      <c r="F226" s="6"/>
      <c r="L226" s="6"/>
      <c r="R226" s="6"/>
      <c r="X226" s="6"/>
      <c r="AD226" s="6"/>
    </row>
    <row r="227" spans="6:30">
      <c r="F227" s="6"/>
      <c r="L227" s="6"/>
      <c r="R227" s="6"/>
      <c r="X227" s="6"/>
      <c r="AD227" s="6"/>
    </row>
    <row r="228" spans="6:30">
      <c r="F228" s="6"/>
      <c r="L228" s="6"/>
      <c r="R228" s="6"/>
      <c r="X228" s="6"/>
      <c r="AD228" s="6"/>
    </row>
    <row r="229" spans="6:30">
      <c r="F229" s="6"/>
      <c r="L229" s="6"/>
      <c r="R229" s="6"/>
      <c r="X229" s="6"/>
      <c r="AD229" s="6"/>
    </row>
    <row r="230" spans="6:30">
      <c r="F230" s="6"/>
      <c r="L230" s="6"/>
      <c r="R230" s="6"/>
      <c r="X230" s="6"/>
      <c r="AD230" s="6"/>
    </row>
    <row r="231" spans="6:30">
      <c r="F231" s="6"/>
      <c r="L231" s="6"/>
      <c r="R231" s="6"/>
      <c r="X231" s="6"/>
      <c r="AD231" s="6"/>
    </row>
    <row r="232" spans="6:30">
      <c r="F232" s="6"/>
      <c r="L232" s="6"/>
      <c r="R232" s="6"/>
      <c r="X232" s="6"/>
      <c r="AD232" s="6"/>
    </row>
    <row r="233" spans="6:30">
      <c r="F233" s="6"/>
      <c r="L233" s="6"/>
      <c r="R233" s="6"/>
      <c r="X233" s="6"/>
      <c r="AD233" s="6"/>
    </row>
    <row r="234" spans="6:30">
      <c r="F234" s="6"/>
      <c r="L234" s="6"/>
      <c r="R234" s="6"/>
      <c r="X234" s="6"/>
      <c r="AD234" s="6"/>
    </row>
    <row r="235" spans="6:30">
      <c r="F235" s="6"/>
      <c r="L235" s="6"/>
      <c r="R235" s="6"/>
      <c r="X235" s="6"/>
      <c r="AD235" s="6"/>
    </row>
    <row r="236" spans="6:30">
      <c r="F236" s="6"/>
      <c r="L236" s="6"/>
      <c r="R236" s="6"/>
      <c r="X236" s="6"/>
      <c r="AD236" s="6"/>
    </row>
    <row r="237" spans="6:30">
      <c r="F237" s="6"/>
      <c r="L237" s="6"/>
      <c r="R237" s="6"/>
      <c r="X237" s="6"/>
      <c r="AD237" s="6"/>
    </row>
    <row r="238" spans="6:30">
      <c r="F238" s="6"/>
      <c r="L238" s="6"/>
      <c r="R238" s="6"/>
      <c r="X238" s="6"/>
      <c r="AD238" s="6"/>
    </row>
    <row r="239" spans="6:30">
      <c r="F239" s="6"/>
      <c r="L239" s="6"/>
      <c r="R239" s="6"/>
      <c r="X239" s="6"/>
      <c r="AD239" s="6"/>
    </row>
    <row r="240" spans="6:30">
      <c r="F240" s="6"/>
      <c r="L240" s="6"/>
      <c r="R240" s="6"/>
      <c r="X240" s="6"/>
      <c r="AD240" s="6"/>
    </row>
    <row r="241" spans="6:30">
      <c r="F241" s="6"/>
      <c r="L241" s="6"/>
      <c r="R241" s="6"/>
      <c r="X241" s="6"/>
      <c r="AD241" s="6"/>
    </row>
    <row r="242" spans="6:30">
      <c r="F242" s="6"/>
      <c r="L242" s="6"/>
      <c r="R242" s="6"/>
      <c r="X242" s="6"/>
      <c r="AD242" s="6"/>
    </row>
    <row r="243" spans="6:30">
      <c r="F243" s="6"/>
      <c r="L243" s="6"/>
      <c r="R243" s="6"/>
      <c r="X243" s="6"/>
      <c r="AD243" s="6"/>
    </row>
    <row r="244" spans="6:30">
      <c r="F244" s="6"/>
      <c r="L244" s="6"/>
      <c r="R244" s="6"/>
      <c r="X244" s="6"/>
      <c r="AD244" s="6"/>
    </row>
    <row r="245" spans="6:30">
      <c r="F245" s="6"/>
      <c r="L245" s="6"/>
      <c r="R245" s="6"/>
      <c r="X245" s="6"/>
      <c r="AD245" s="6"/>
    </row>
    <row r="246" spans="6:30">
      <c r="F246" s="6"/>
      <c r="L246" s="6"/>
      <c r="R246" s="6"/>
      <c r="X246" s="6"/>
      <c r="AD246" s="6"/>
    </row>
    <row r="247" spans="6:30">
      <c r="F247" s="6"/>
      <c r="L247" s="6"/>
      <c r="R247" s="6"/>
      <c r="X247" s="6"/>
      <c r="AD247" s="6"/>
    </row>
    <row r="248" spans="6:30">
      <c r="F248" s="6"/>
      <c r="L248" s="6"/>
      <c r="R248" s="6"/>
      <c r="X248" s="6"/>
      <c r="AD248" s="6"/>
    </row>
    <row r="249" spans="6:30">
      <c r="F249" s="6"/>
      <c r="L249" s="6"/>
      <c r="R249" s="6"/>
      <c r="X249" s="6"/>
      <c r="AD249" s="6"/>
    </row>
    <row r="250" spans="6:30">
      <c r="F250" s="6"/>
      <c r="L250" s="6"/>
      <c r="R250" s="6"/>
      <c r="X250" s="6"/>
      <c r="AD250" s="6"/>
    </row>
    <row r="251" spans="6:30">
      <c r="F251" s="6"/>
      <c r="L251" s="6"/>
      <c r="R251" s="6"/>
      <c r="X251" s="6"/>
      <c r="AD251" s="6"/>
    </row>
    <row r="252" spans="6:30">
      <c r="F252" s="6"/>
      <c r="L252" s="6"/>
      <c r="R252" s="6"/>
      <c r="X252" s="6"/>
      <c r="AD252" s="6"/>
    </row>
    <row r="253" spans="6:30">
      <c r="F253" s="6"/>
      <c r="L253" s="6"/>
      <c r="R253" s="6"/>
      <c r="X253" s="6"/>
      <c r="AD253" s="6"/>
    </row>
    <row r="254" spans="6:30">
      <c r="F254" s="6"/>
      <c r="L254" s="6"/>
      <c r="R254" s="6"/>
      <c r="X254" s="6"/>
      <c r="AD254" s="6"/>
    </row>
    <row r="255" spans="6:30">
      <c r="F255" s="6"/>
      <c r="L255" s="6"/>
      <c r="R255" s="6"/>
      <c r="X255" s="6"/>
      <c r="AD255" s="6"/>
    </row>
    <row r="256" spans="6:30">
      <c r="F256" s="6"/>
      <c r="L256" s="6"/>
      <c r="R256" s="6"/>
      <c r="X256" s="6"/>
      <c r="AD256" s="6"/>
    </row>
    <row r="257" spans="6:30">
      <c r="F257" s="6"/>
      <c r="L257" s="6"/>
      <c r="R257" s="6"/>
      <c r="X257" s="6"/>
      <c r="AD257" s="6"/>
    </row>
    <row r="258" spans="6:30">
      <c r="F258" s="6"/>
      <c r="L258" s="6"/>
      <c r="R258" s="6"/>
      <c r="X258" s="6"/>
      <c r="AD258" s="6"/>
    </row>
    <row r="259" spans="6:30">
      <c r="F259" s="6"/>
      <c r="L259" s="6"/>
      <c r="R259" s="6"/>
      <c r="X259" s="6"/>
      <c r="AD259" s="6"/>
    </row>
    <row r="260" spans="6:30">
      <c r="F260" s="6"/>
      <c r="L260" s="6"/>
      <c r="R260" s="6"/>
      <c r="X260" s="6"/>
      <c r="AD260" s="6"/>
    </row>
    <row r="261" spans="6:30">
      <c r="F261" s="6"/>
      <c r="L261" s="6"/>
      <c r="R261" s="6"/>
      <c r="X261" s="6"/>
      <c r="AD261" s="6"/>
    </row>
    <row r="262" spans="6:30">
      <c r="F262" s="6"/>
      <c r="L262" s="6"/>
      <c r="R262" s="6"/>
      <c r="X262" s="6"/>
      <c r="AD262" s="6"/>
    </row>
    <row r="263" spans="6:30">
      <c r="F263" s="6"/>
      <c r="L263" s="6"/>
      <c r="R263" s="6"/>
      <c r="X263" s="6"/>
      <c r="AD263" s="6"/>
    </row>
    <row r="264" spans="6:30">
      <c r="F264" s="6"/>
      <c r="L264" s="6"/>
      <c r="R264" s="6"/>
      <c r="X264" s="6"/>
      <c r="AD264" s="6"/>
    </row>
    <row r="265" spans="6:30">
      <c r="F265" s="6"/>
      <c r="L265" s="6"/>
      <c r="R265" s="6"/>
      <c r="X265" s="6"/>
      <c r="AD265" s="6"/>
    </row>
    <row r="266" spans="6:30">
      <c r="F266" s="6"/>
      <c r="L266" s="6"/>
      <c r="R266" s="6"/>
      <c r="X266" s="6"/>
      <c r="AD266" s="6"/>
    </row>
    <row r="267" spans="6:30">
      <c r="F267" s="6"/>
      <c r="L267" s="6"/>
      <c r="R267" s="6"/>
      <c r="X267" s="6"/>
      <c r="AD267" s="6"/>
    </row>
    <row r="268" spans="6:30">
      <c r="F268" s="6"/>
      <c r="L268" s="6"/>
      <c r="R268" s="6"/>
      <c r="X268" s="6"/>
      <c r="AD268" s="6"/>
    </row>
    <row r="269" spans="6:30">
      <c r="F269" s="6"/>
      <c r="L269" s="6"/>
      <c r="R269" s="6"/>
      <c r="X269" s="6"/>
      <c r="AD269" s="6"/>
    </row>
    <row r="270" spans="6:30">
      <c r="F270" s="6"/>
      <c r="L270" s="6"/>
      <c r="R270" s="6"/>
      <c r="X270" s="6"/>
      <c r="AD270" s="6"/>
    </row>
    <row r="271" spans="6:30">
      <c r="F271" s="6"/>
      <c r="L271" s="6"/>
      <c r="R271" s="6"/>
      <c r="X271" s="6"/>
      <c r="AD271" s="6"/>
    </row>
    <row r="272" spans="6:30">
      <c r="F272" s="6"/>
      <c r="L272" s="6"/>
      <c r="R272" s="6"/>
      <c r="X272" s="6"/>
      <c r="AD272" s="6"/>
    </row>
    <row r="273" spans="6:30">
      <c r="F273" s="6"/>
      <c r="L273" s="6"/>
      <c r="R273" s="6"/>
      <c r="X273" s="6"/>
      <c r="AD273" s="6"/>
    </row>
    <row r="274" spans="6:30">
      <c r="F274" s="6"/>
      <c r="L274" s="6"/>
      <c r="R274" s="6"/>
      <c r="X274" s="6"/>
      <c r="AD274" s="6"/>
    </row>
    <row r="275" spans="6:30">
      <c r="F275" s="6"/>
      <c r="L275" s="6"/>
      <c r="R275" s="6"/>
      <c r="X275" s="6"/>
      <c r="AD275" s="6"/>
    </row>
    <row r="276" spans="6:30">
      <c r="F276" s="6"/>
      <c r="L276" s="6"/>
      <c r="R276" s="6"/>
      <c r="X276" s="6"/>
      <c r="AD276" s="6"/>
    </row>
    <row r="277" spans="6:30">
      <c r="F277" s="6"/>
      <c r="L277" s="6"/>
      <c r="R277" s="6"/>
      <c r="X277" s="6"/>
      <c r="AD277" s="6"/>
    </row>
    <row r="278" spans="6:30">
      <c r="F278" s="6"/>
      <c r="L278" s="6"/>
      <c r="R278" s="6"/>
      <c r="X278" s="6"/>
      <c r="AD278" s="6"/>
    </row>
    <row r="279" spans="6:30">
      <c r="F279" s="6"/>
      <c r="L279" s="6"/>
      <c r="R279" s="6"/>
      <c r="X279" s="6"/>
      <c r="AD279" s="6"/>
    </row>
    <row r="280" spans="6:30">
      <c r="F280" s="6"/>
      <c r="L280" s="6"/>
      <c r="R280" s="6"/>
      <c r="X280" s="6"/>
      <c r="AD280" s="6"/>
    </row>
    <row r="281" spans="6:30">
      <c r="F281" s="6"/>
      <c r="L281" s="6"/>
      <c r="R281" s="6"/>
      <c r="X281" s="6"/>
      <c r="AD281" s="6"/>
    </row>
    <row r="282" spans="6:30">
      <c r="F282" s="6"/>
      <c r="L282" s="6"/>
      <c r="R282" s="6"/>
      <c r="X282" s="6"/>
      <c r="AD282" s="6"/>
    </row>
    <row r="283" spans="6:30">
      <c r="F283" s="6"/>
      <c r="L283" s="6"/>
      <c r="R283" s="6"/>
      <c r="X283" s="6"/>
      <c r="AD283" s="6"/>
    </row>
    <row r="284" spans="6:30">
      <c r="F284" s="6"/>
      <c r="L284" s="6"/>
      <c r="R284" s="6"/>
      <c r="X284" s="6"/>
      <c r="AD284" s="6"/>
    </row>
    <row r="285" spans="6:30">
      <c r="F285" s="6"/>
      <c r="L285" s="6"/>
      <c r="R285" s="6"/>
      <c r="X285" s="6"/>
      <c r="AD285" s="6"/>
    </row>
    <row r="286" spans="6:30">
      <c r="F286" s="6"/>
      <c r="L286" s="6"/>
      <c r="R286" s="6"/>
      <c r="X286" s="6"/>
      <c r="AD286" s="6"/>
    </row>
    <row r="287" spans="6:30">
      <c r="F287" s="6"/>
      <c r="L287" s="6"/>
      <c r="R287" s="6"/>
      <c r="X287" s="6"/>
      <c r="AD287" s="6"/>
    </row>
    <row r="288" spans="6:30">
      <c r="F288" s="6"/>
      <c r="L288" s="6"/>
      <c r="R288" s="6"/>
      <c r="X288" s="6"/>
      <c r="AD288" s="6"/>
    </row>
    <row r="289" spans="6:30">
      <c r="F289" s="6"/>
      <c r="L289" s="6"/>
      <c r="R289" s="6"/>
      <c r="X289" s="6"/>
      <c r="AD289" s="6"/>
    </row>
    <row r="290" spans="6:30">
      <c r="F290" s="6"/>
      <c r="L290" s="6"/>
      <c r="R290" s="6"/>
      <c r="X290" s="6"/>
      <c r="AD290" s="6"/>
    </row>
    <row r="291" spans="6:30">
      <c r="F291" s="6"/>
      <c r="L291" s="6"/>
      <c r="R291" s="6"/>
      <c r="X291" s="6"/>
      <c r="AD291" s="6"/>
    </row>
    <row r="292" spans="6:30">
      <c r="F292" s="6"/>
      <c r="L292" s="6"/>
      <c r="R292" s="6"/>
      <c r="X292" s="6"/>
      <c r="AD292" s="6"/>
    </row>
    <row r="293" spans="6:30">
      <c r="F293" s="6"/>
      <c r="L293" s="6"/>
      <c r="R293" s="6"/>
      <c r="X293" s="6"/>
      <c r="AD293" s="6"/>
    </row>
    <row r="294" spans="6:30">
      <c r="F294" s="6"/>
      <c r="L294" s="6"/>
      <c r="R294" s="6"/>
      <c r="X294" s="6"/>
      <c r="AD294" s="6"/>
    </row>
    <row r="295" spans="6:30">
      <c r="F295" s="6"/>
      <c r="L295" s="6"/>
      <c r="R295" s="6"/>
      <c r="X295" s="6"/>
      <c r="AD295" s="6"/>
    </row>
    <row r="296" spans="6:30">
      <c r="F296" s="6"/>
      <c r="L296" s="6"/>
      <c r="R296" s="6"/>
      <c r="X296" s="6"/>
      <c r="AD296" s="6"/>
    </row>
    <row r="297" spans="6:30">
      <c r="F297" s="6"/>
      <c r="L297" s="6"/>
      <c r="R297" s="6"/>
      <c r="X297" s="6"/>
      <c r="AD297" s="6"/>
    </row>
    <row r="298" spans="6:30">
      <c r="F298" s="6"/>
      <c r="L298" s="6"/>
      <c r="R298" s="6"/>
      <c r="X298" s="6"/>
      <c r="AD298" s="6"/>
    </row>
    <row r="299" spans="6:30">
      <c r="F299" s="6"/>
      <c r="L299" s="6"/>
      <c r="R299" s="6"/>
      <c r="X299" s="6"/>
      <c r="AD299" s="6"/>
    </row>
    <row r="300" spans="6:30">
      <c r="F300" s="6"/>
      <c r="L300" s="6"/>
      <c r="R300" s="6"/>
      <c r="X300" s="6"/>
      <c r="AD300" s="6"/>
    </row>
    <row r="301" spans="6:30">
      <c r="F301" s="6"/>
      <c r="L301" s="6"/>
      <c r="R301" s="6"/>
      <c r="X301" s="6"/>
      <c r="AD301" s="6"/>
    </row>
    <row r="302" spans="6:30">
      <c r="F302" s="6"/>
      <c r="L302" s="6"/>
      <c r="R302" s="6"/>
      <c r="X302" s="6"/>
      <c r="AD302" s="6"/>
    </row>
    <row r="303" spans="6:30">
      <c r="F303" s="6"/>
      <c r="L303" s="6"/>
      <c r="R303" s="6"/>
      <c r="X303" s="6"/>
      <c r="AD303" s="6"/>
    </row>
    <row r="304" spans="6:30">
      <c r="F304" s="6"/>
      <c r="L304" s="6"/>
      <c r="R304" s="6"/>
      <c r="X304" s="6"/>
      <c r="AD304" s="6"/>
    </row>
    <row r="305" spans="6:30">
      <c r="F305" s="6"/>
      <c r="L305" s="6"/>
      <c r="R305" s="6"/>
      <c r="X305" s="6"/>
      <c r="AD305" s="6"/>
    </row>
    <row r="306" spans="6:30">
      <c r="F306" s="6"/>
      <c r="L306" s="6"/>
      <c r="R306" s="6"/>
      <c r="X306" s="6"/>
      <c r="AD306" s="6"/>
    </row>
    <row r="307" spans="6:30">
      <c r="F307" s="6"/>
      <c r="L307" s="6"/>
      <c r="R307" s="6"/>
      <c r="X307" s="6"/>
      <c r="AD307" s="6"/>
    </row>
    <row r="308" spans="6:30">
      <c r="F308" s="6"/>
      <c r="L308" s="6"/>
      <c r="R308" s="6"/>
      <c r="X308" s="6"/>
      <c r="AD308" s="6"/>
    </row>
    <row r="309" spans="6:30">
      <c r="F309" s="6"/>
      <c r="L309" s="6"/>
      <c r="R309" s="6"/>
      <c r="X309" s="6"/>
      <c r="AD309" s="6"/>
    </row>
    <row r="310" spans="6:30">
      <c r="F310" s="6"/>
      <c r="L310" s="6"/>
      <c r="R310" s="6"/>
      <c r="X310" s="6"/>
      <c r="AD310" s="6"/>
    </row>
    <row r="311" spans="6:30">
      <c r="F311" s="6"/>
      <c r="L311" s="6"/>
      <c r="R311" s="6"/>
      <c r="X311" s="6"/>
      <c r="AD311" s="6"/>
    </row>
    <row r="312" spans="6:30">
      <c r="F312" s="6"/>
      <c r="L312" s="6"/>
      <c r="R312" s="6"/>
      <c r="X312" s="6"/>
      <c r="AD312" s="6"/>
    </row>
    <row r="313" spans="6:30">
      <c r="F313" s="6"/>
      <c r="L313" s="6"/>
      <c r="R313" s="6"/>
      <c r="X313" s="6"/>
      <c r="AD313" s="6"/>
    </row>
    <row r="314" spans="6:30">
      <c r="F314" s="6"/>
      <c r="L314" s="6"/>
      <c r="R314" s="6"/>
      <c r="X314" s="6"/>
      <c r="AD314" s="6"/>
    </row>
    <row r="315" spans="6:30">
      <c r="F315" s="6"/>
      <c r="L315" s="6"/>
      <c r="R315" s="6"/>
      <c r="X315" s="6"/>
      <c r="AD315" s="6"/>
    </row>
    <row r="316" spans="6:30">
      <c r="F316" s="6"/>
      <c r="L316" s="6"/>
      <c r="R316" s="6"/>
      <c r="X316" s="6"/>
      <c r="AD316" s="6"/>
    </row>
    <row r="317" spans="6:30">
      <c r="F317" s="6"/>
      <c r="L317" s="6"/>
      <c r="R317" s="6"/>
      <c r="X317" s="6"/>
      <c r="AD317" s="6"/>
    </row>
    <row r="318" spans="6:30">
      <c r="F318" s="6"/>
      <c r="L318" s="6"/>
      <c r="R318" s="6"/>
      <c r="X318" s="6"/>
      <c r="AD318" s="6"/>
    </row>
    <row r="319" spans="6:30">
      <c r="F319" s="6"/>
      <c r="L319" s="6"/>
      <c r="R319" s="6"/>
      <c r="X319" s="6"/>
      <c r="AD319" s="6"/>
    </row>
    <row r="320" spans="6:30">
      <c r="F320" s="6"/>
      <c r="L320" s="6"/>
      <c r="R320" s="6"/>
      <c r="X320" s="6"/>
      <c r="AD320" s="6"/>
    </row>
    <row r="321" spans="6:30">
      <c r="F321" s="6"/>
      <c r="L321" s="6"/>
      <c r="R321" s="6"/>
      <c r="X321" s="6"/>
      <c r="AD321" s="6"/>
    </row>
    <row r="322" spans="6:30">
      <c r="F322" s="6"/>
      <c r="L322" s="6"/>
      <c r="R322" s="6"/>
      <c r="X322" s="6"/>
      <c r="AD322" s="6"/>
    </row>
    <row r="323" spans="6:30">
      <c r="F323" s="6"/>
      <c r="L323" s="6"/>
      <c r="R323" s="6"/>
      <c r="X323" s="6"/>
      <c r="AD323" s="6"/>
    </row>
    <row r="324" spans="6:30">
      <c r="F324" s="6"/>
      <c r="L324" s="6"/>
      <c r="R324" s="6"/>
      <c r="X324" s="6"/>
      <c r="AD324" s="6"/>
    </row>
    <row r="325" spans="6:30">
      <c r="F325" s="6"/>
      <c r="L325" s="6"/>
      <c r="R325" s="6"/>
      <c r="X325" s="6"/>
      <c r="AD325" s="6"/>
    </row>
    <row r="326" spans="6:30">
      <c r="F326" s="6"/>
      <c r="L326" s="6"/>
      <c r="R326" s="6"/>
      <c r="X326" s="6"/>
      <c r="AD326" s="6"/>
    </row>
    <row r="327" spans="6:30">
      <c r="F327" s="6"/>
      <c r="L327" s="6"/>
      <c r="R327" s="6"/>
      <c r="X327" s="6"/>
      <c r="AD327" s="6"/>
    </row>
    <row r="328" spans="6:30">
      <c r="F328" s="6"/>
      <c r="L328" s="6"/>
      <c r="R328" s="6"/>
      <c r="X328" s="6"/>
      <c r="AD328" s="6"/>
    </row>
    <row r="329" spans="6:30">
      <c r="F329" s="6"/>
      <c r="L329" s="6"/>
      <c r="R329" s="6"/>
      <c r="X329" s="6"/>
      <c r="AD329" s="6"/>
    </row>
    <row r="330" spans="6:30">
      <c r="F330" s="6"/>
      <c r="L330" s="6"/>
      <c r="R330" s="6"/>
      <c r="X330" s="6"/>
      <c r="AD330" s="6"/>
    </row>
    <row r="331" spans="6:30">
      <c r="F331" s="6"/>
      <c r="L331" s="6"/>
      <c r="R331" s="6"/>
      <c r="X331" s="6"/>
      <c r="AD331" s="6"/>
    </row>
    <row r="332" spans="6:30">
      <c r="F332" s="6"/>
      <c r="L332" s="6"/>
      <c r="R332" s="6"/>
      <c r="X332" s="6"/>
      <c r="AD332" s="6"/>
    </row>
    <row r="333" spans="6:30">
      <c r="F333" s="6"/>
      <c r="L333" s="6"/>
      <c r="R333" s="6"/>
      <c r="X333" s="6"/>
      <c r="AD333" s="6"/>
    </row>
    <row r="334" spans="6:30">
      <c r="F334" s="6"/>
      <c r="L334" s="6"/>
      <c r="R334" s="6"/>
      <c r="X334" s="6"/>
      <c r="AD334" s="6"/>
    </row>
    <row r="335" spans="6:30">
      <c r="F335" s="6"/>
      <c r="L335" s="6"/>
      <c r="R335" s="6"/>
      <c r="X335" s="6"/>
      <c r="AD335" s="6"/>
    </row>
    <row r="336" spans="6:30">
      <c r="F336" s="6"/>
      <c r="L336" s="6"/>
      <c r="R336" s="6"/>
      <c r="X336" s="6"/>
      <c r="AD336" s="6"/>
    </row>
    <row r="337" spans="6:30">
      <c r="F337" s="6"/>
      <c r="L337" s="6"/>
      <c r="R337" s="6"/>
      <c r="X337" s="6"/>
      <c r="AD337" s="6"/>
    </row>
    <row r="338" spans="6:30">
      <c r="F338" s="6"/>
      <c r="L338" s="6"/>
      <c r="R338" s="6"/>
      <c r="X338" s="6"/>
      <c r="AD338" s="6"/>
    </row>
    <row r="339" spans="6:30">
      <c r="F339" s="6"/>
      <c r="L339" s="6"/>
      <c r="R339" s="6"/>
      <c r="X339" s="6"/>
      <c r="AD339" s="6"/>
    </row>
    <row r="340" spans="6:30">
      <c r="F340" s="6"/>
      <c r="L340" s="6"/>
      <c r="R340" s="6"/>
      <c r="X340" s="6"/>
      <c r="AD340" s="6"/>
    </row>
    <row r="341" spans="6:30">
      <c r="F341" s="6"/>
      <c r="L341" s="6"/>
      <c r="R341" s="6"/>
      <c r="X341" s="6"/>
      <c r="AD341" s="6"/>
    </row>
    <row r="342" spans="6:30">
      <c r="F342" s="6"/>
      <c r="L342" s="6"/>
      <c r="R342" s="6"/>
      <c r="X342" s="6"/>
      <c r="AD342" s="6"/>
    </row>
    <row r="343" spans="6:30">
      <c r="F343" s="6"/>
      <c r="L343" s="6"/>
      <c r="R343" s="6"/>
      <c r="X343" s="6"/>
      <c r="AD343" s="6"/>
    </row>
    <row r="344" spans="6:30">
      <c r="F344" s="6"/>
      <c r="L344" s="6"/>
      <c r="R344" s="6"/>
      <c r="X344" s="6"/>
      <c r="AD344" s="6"/>
    </row>
    <row r="345" spans="6:30">
      <c r="F345" s="6"/>
      <c r="L345" s="6"/>
      <c r="R345" s="6"/>
      <c r="X345" s="6"/>
      <c r="AD345" s="6"/>
    </row>
    <row r="346" spans="6:30">
      <c r="F346" s="6"/>
      <c r="L346" s="6"/>
      <c r="R346" s="6"/>
      <c r="X346" s="6"/>
      <c r="AD346" s="6"/>
    </row>
    <row r="347" spans="6:30">
      <c r="F347" s="6"/>
      <c r="L347" s="6"/>
      <c r="R347" s="6"/>
      <c r="X347" s="6"/>
      <c r="AD347" s="6"/>
    </row>
    <row r="348" spans="6:30">
      <c r="F348" s="6"/>
      <c r="L348" s="6"/>
      <c r="R348" s="6"/>
      <c r="X348" s="6"/>
      <c r="AD348" s="6"/>
    </row>
    <row r="349" spans="6:30">
      <c r="F349" s="6"/>
      <c r="L349" s="6"/>
      <c r="R349" s="6"/>
      <c r="X349" s="6"/>
      <c r="AD349" s="6"/>
    </row>
    <row r="350" spans="6:30">
      <c r="F350" s="6"/>
      <c r="L350" s="6"/>
      <c r="R350" s="6"/>
      <c r="X350" s="6"/>
      <c r="AD350" s="6"/>
    </row>
    <row r="351" spans="6:30">
      <c r="F351" s="6"/>
      <c r="L351" s="6"/>
      <c r="R351" s="6"/>
      <c r="X351" s="6"/>
      <c r="AD351" s="6"/>
    </row>
    <row r="352" spans="6:30">
      <c r="F352" s="6"/>
      <c r="L352" s="6"/>
      <c r="R352" s="6"/>
      <c r="X352" s="6"/>
      <c r="AD352" s="6"/>
    </row>
    <row r="353" spans="6:30">
      <c r="F353" s="6"/>
      <c r="L353" s="6"/>
      <c r="R353" s="6"/>
      <c r="X353" s="6"/>
      <c r="AD353" s="6"/>
    </row>
    <row r="354" spans="6:30">
      <c r="F354" s="6"/>
      <c r="L354" s="6"/>
      <c r="R354" s="6"/>
      <c r="X354" s="6"/>
      <c r="AD354" s="6"/>
    </row>
    <row r="355" spans="6:30">
      <c r="F355" s="6"/>
      <c r="L355" s="6"/>
      <c r="R355" s="6"/>
      <c r="X355" s="6"/>
      <c r="AD355" s="6"/>
    </row>
    <row r="356" spans="6:30">
      <c r="F356" s="6"/>
      <c r="L356" s="6"/>
      <c r="R356" s="6"/>
      <c r="X356" s="6"/>
      <c r="AD356" s="6"/>
    </row>
    <row r="357" spans="6:30">
      <c r="F357" s="6"/>
      <c r="L357" s="6"/>
      <c r="R357" s="6"/>
      <c r="X357" s="6"/>
      <c r="AD357" s="6"/>
    </row>
    <row r="358" spans="6:30">
      <c r="F358" s="6"/>
      <c r="L358" s="6"/>
      <c r="R358" s="6"/>
      <c r="X358" s="6"/>
      <c r="AD358" s="6"/>
    </row>
    <row r="359" spans="6:30">
      <c r="F359" s="6"/>
      <c r="L359" s="6"/>
      <c r="R359" s="6"/>
      <c r="X359" s="6"/>
      <c r="AD359" s="6"/>
    </row>
    <row r="360" spans="6:30">
      <c r="F360" s="6"/>
      <c r="L360" s="6"/>
      <c r="R360" s="6"/>
      <c r="X360" s="6"/>
      <c r="AD360" s="6"/>
    </row>
    <row r="361" spans="6:30">
      <c r="F361" s="6"/>
      <c r="L361" s="6"/>
      <c r="R361" s="6"/>
      <c r="X361" s="6"/>
      <c r="AD361" s="6"/>
    </row>
    <row r="362" spans="6:30">
      <c r="F362" s="6"/>
      <c r="L362" s="6"/>
      <c r="R362" s="6"/>
      <c r="X362" s="6"/>
      <c r="AD362" s="6"/>
    </row>
    <row r="363" spans="6:30">
      <c r="F363" s="6"/>
      <c r="L363" s="6"/>
      <c r="R363" s="6"/>
      <c r="X363" s="6"/>
      <c r="AD363" s="6"/>
    </row>
    <row r="364" spans="6:30">
      <c r="F364" s="6"/>
      <c r="L364" s="6"/>
      <c r="R364" s="6"/>
      <c r="X364" s="6"/>
      <c r="AD364" s="6"/>
    </row>
    <row r="365" spans="6:30">
      <c r="F365" s="6"/>
      <c r="L365" s="6"/>
      <c r="R365" s="6"/>
      <c r="X365" s="6"/>
      <c r="AD365" s="6"/>
    </row>
    <row r="366" spans="6:30">
      <c r="F366" s="6"/>
      <c r="L366" s="6"/>
      <c r="R366" s="6"/>
      <c r="X366" s="6"/>
      <c r="AD366" s="6"/>
    </row>
    <row r="367" spans="6:30">
      <c r="F367" s="6"/>
      <c r="L367" s="6"/>
      <c r="R367" s="6"/>
      <c r="X367" s="6"/>
      <c r="AD367" s="6"/>
    </row>
    <row r="368" spans="6:30">
      <c r="F368" s="6"/>
      <c r="L368" s="6"/>
      <c r="R368" s="6"/>
      <c r="X368" s="6"/>
      <c r="AD368" s="6"/>
    </row>
    <row r="369" spans="6:30">
      <c r="F369" s="6"/>
      <c r="L369" s="6"/>
      <c r="R369" s="6"/>
      <c r="X369" s="6"/>
      <c r="AD369" s="6"/>
    </row>
    <row r="370" spans="6:30">
      <c r="F370" s="6"/>
      <c r="L370" s="6"/>
      <c r="R370" s="6"/>
      <c r="X370" s="6"/>
      <c r="AD370" s="6"/>
    </row>
    <row r="371" spans="6:30">
      <c r="F371" s="6"/>
      <c r="L371" s="6"/>
      <c r="R371" s="6"/>
      <c r="X371" s="6"/>
      <c r="AD371" s="6"/>
    </row>
    <row r="372" spans="6:30">
      <c r="F372" s="6"/>
      <c r="L372" s="6"/>
      <c r="R372" s="6"/>
      <c r="X372" s="6"/>
      <c r="AD372" s="6"/>
    </row>
    <row r="373" spans="6:30">
      <c r="F373" s="6"/>
      <c r="L373" s="6"/>
      <c r="R373" s="6"/>
      <c r="X373" s="6"/>
      <c r="AD373" s="6"/>
    </row>
    <row r="374" spans="6:30">
      <c r="F374" s="6"/>
      <c r="L374" s="6"/>
      <c r="R374" s="6"/>
      <c r="X374" s="6"/>
      <c r="AD374" s="6"/>
    </row>
    <row r="375" spans="6:30">
      <c r="F375" s="6"/>
      <c r="L375" s="6"/>
      <c r="R375" s="6"/>
      <c r="X375" s="6"/>
      <c r="AD375" s="6"/>
    </row>
    <row r="376" spans="6:30">
      <c r="F376" s="6"/>
      <c r="L376" s="6"/>
      <c r="R376" s="6"/>
      <c r="X376" s="6"/>
      <c r="AD376" s="6"/>
    </row>
    <row r="377" spans="6:30">
      <c r="F377" s="6"/>
      <c r="L377" s="6"/>
      <c r="R377" s="6"/>
      <c r="X377" s="6"/>
      <c r="AD377" s="6"/>
    </row>
    <row r="378" spans="6:30">
      <c r="F378" s="6"/>
      <c r="L378" s="6"/>
      <c r="R378" s="6"/>
      <c r="X378" s="6"/>
      <c r="AD378" s="6"/>
    </row>
    <row r="379" spans="6:30">
      <c r="F379" s="6"/>
      <c r="L379" s="6"/>
      <c r="R379" s="6"/>
      <c r="X379" s="6"/>
      <c r="AD379" s="6"/>
    </row>
    <row r="380" spans="6:30">
      <c r="F380" s="6"/>
      <c r="L380" s="6"/>
      <c r="R380" s="6"/>
      <c r="X380" s="6"/>
      <c r="AD380" s="6"/>
    </row>
    <row r="381" spans="6:30">
      <c r="F381" s="6"/>
      <c r="L381" s="6"/>
      <c r="R381" s="6"/>
      <c r="X381" s="6"/>
      <c r="AD381" s="6"/>
    </row>
    <row r="382" spans="6:30">
      <c r="F382" s="6"/>
      <c r="L382" s="6"/>
      <c r="R382" s="6"/>
      <c r="X382" s="6"/>
      <c r="AD382" s="6"/>
    </row>
    <row r="383" spans="6:30">
      <c r="F383" s="6"/>
      <c r="L383" s="6"/>
      <c r="R383" s="6"/>
      <c r="X383" s="6"/>
      <c r="AD383" s="6"/>
    </row>
    <row r="384" spans="6:30">
      <c r="F384" s="6"/>
      <c r="L384" s="6"/>
      <c r="R384" s="6"/>
      <c r="X384" s="6"/>
      <c r="AD384" s="6"/>
    </row>
    <row r="385" spans="6:30">
      <c r="F385" s="6"/>
      <c r="L385" s="6"/>
      <c r="R385" s="6"/>
      <c r="X385" s="6"/>
      <c r="AD385" s="6"/>
    </row>
    <row r="386" spans="6:30">
      <c r="F386" s="6"/>
      <c r="L386" s="6"/>
      <c r="R386" s="6"/>
      <c r="X386" s="6"/>
      <c r="AD386" s="6"/>
    </row>
    <row r="387" spans="6:30">
      <c r="F387" s="6"/>
      <c r="L387" s="6"/>
      <c r="R387" s="6"/>
      <c r="X387" s="6"/>
      <c r="AD387" s="6"/>
    </row>
    <row r="388" spans="6:30">
      <c r="F388" s="6"/>
      <c r="L388" s="6"/>
      <c r="R388" s="6"/>
      <c r="X388" s="6"/>
      <c r="AD388" s="6"/>
    </row>
    <row r="389" spans="6:30">
      <c r="F389" s="6"/>
      <c r="L389" s="6"/>
      <c r="R389" s="6"/>
      <c r="X389" s="6"/>
      <c r="AD389" s="6"/>
    </row>
    <row r="390" spans="6:30">
      <c r="F390" s="6"/>
      <c r="L390" s="6"/>
      <c r="R390" s="6"/>
      <c r="X390" s="6"/>
      <c r="AD390" s="6"/>
    </row>
    <row r="391" spans="6:30">
      <c r="F391" s="6"/>
      <c r="L391" s="6"/>
      <c r="R391" s="6"/>
      <c r="X391" s="6"/>
      <c r="AD391" s="6"/>
    </row>
    <row r="392" spans="6:30">
      <c r="F392" s="6"/>
      <c r="L392" s="6"/>
      <c r="R392" s="6"/>
      <c r="X392" s="6"/>
      <c r="AD392" s="6"/>
    </row>
    <row r="393" spans="6:30">
      <c r="F393" s="6"/>
      <c r="L393" s="6"/>
      <c r="R393" s="6"/>
      <c r="X393" s="6"/>
      <c r="AD393" s="6"/>
    </row>
    <row r="394" spans="6:30">
      <c r="F394" s="6"/>
      <c r="L394" s="6"/>
      <c r="R394" s="6"/>
      <c r="X394" s="6"/>
      <c r="AD394" s="6"/>
    </row>
    <row r="395" spans="6:30">
      <c r="F395" s="6"/>
      <c r="L395" s="6"/>
      <c r="R395" s="6"/>
      <c r="X395" s="6"/>
      <c r="AD395" s="6"/>
    </row>
    <row r="396" spans="6:30">
      <c r="F396" s="6"/>
      <c r="L396" s="6"/>
      <c r="R396" s="6"/>
      <c r="X396" s="6"/>
      <c r="AD396" s="6"/>
    </row>
    <row r="397" spans="6:30">
      <c r="F397" s="6"/>
      <c r="L397" s="6"/>
      <c r="R397" s="6"/>
      <c r="X397" s="6"/>
      <c r="AD397" s="6"/>
    </row>
    <row r="398" spans="6:30">
      <c r="F398" s="6"/>
      <c r="L398" s="6"/>
      <c r="R398" s="6"/>
      <c r="X398" s="6"/>
      <c r="AD398" s="6"/>
    </row>
    <row r="399" spans="6:30">
      <c r="F399" s="6"/>
      <c r="L399" s="6"/>
      <c r="R399" s="6"/>
      <c r="X399" s="6"/>
      <c r="AD399" s="6"/>
    </row>
    <row r="400" spans="6:30">
      <c r="F400" s="6"/>
      <c r="L400" s="6"/>
      <c r="R400" s="6"/>
      <c r="X400" s="6"/>
      <c r="AD400" s="6"/>
    </row>
    <row r="401" spans="6:30">
      <c r="F401" s="6"/>
      <c r="L401" s="6"/>
      <c r="R401" s="6"/>
      <c r="X401" s="6"/>
      <c r="AD401" s="6"/>
    </row>
    <row r="402" spans="6:30">
      <c r="F402" s="6"/>
      <c r="L402" s="6"/>
      <c r="R402" s="6"/>
      <c r="X402" s="6"/>
      <c r="AD402" s="6"/>
    </row>
    <row r="403" spans="6:30">
      <c r="F403" s="6"/>
      <c r="L403" s="6"/>
      <c r="R403" s="6"/>
      <c r="X403" s="6"/>
      <c r="AD403" s="6"/>
    </row>
    <row r="404" spans="6:30">
      <c r="F404" s="6"/>
      <c r="L404" s="6"/>
      <c r="R404" s="6"/>
      <c r="X404" s="6"/>
      <c r="AD404" s="6"/>
    </row>
    <row r="405" spans="6:30">
      <c r="F405" s="6"/>
      <c r="L405" s="6"/>
      <c r="R405" s="6"/>
      <c r="X405" s="6"/>
      <c r="AD405" s="6"/>
    </row>
    <row r="406" spans="6:30">
      <c r="F406" s="6"/>
      <c r="L406" s="6"/>
      <c r="R406" s="6"/>
      <c r="X406" s="6"/>
      <c r="AD406" s="6"/>
    </row>
    <row r="407" spans="6:30">
      <c r="F407" s="6"/>
      <c r="L407" s="6"/>
      <c r="R407" s="6"/>
      <c r="X407" s="6"/>
      <c r="AD407" s="6"/>
    </row>
    <row r="408" spans="6:30">
      <c r="F408" s="6"/>
      <c r="L408" s="6"/>
      <c r="R408" s="6"/>
      <c r="X408" s="6"/>
      <c r="AD408" s="6"/>
    </row>
    <row r="409" spans="6:30">
      <c r="F409" s="6"/>
      <c r="L409" s="6"/>
      <c r="R409" s="6"/>
      <c r="X409" s="6"/>
      <c r="AD409" s="6"/>
    </row>
    <row r="410" spans="6:30">
      <c r="F410" s="6"/>
      <c r="L410" s="6"/>
      <c r="R410" s="6"/>
      <c r="X410" s="6"/>
      <c r="AD410" s="6"/>
    </row>
    <row r="411" spans="6:30">
      <c r="F411" s="6"/>
      <c r="L411" s="6"/>
      <c r="R411" s="6"/>
      <c r="X411" s="6"/>
      <c r="AD411" s="6"/>
    </row>
    <row r="412" spans="6:30">
      <c r="F412" s="6"/>
      <c r="L412" s="6"/>
      <c r="R412" s="6"/>
      <c r="X412" s="6"/>
      <c r="AD412" s="6"/>
    </row>
    <row r="413" spans="6:30">
      <c r="F413" s="6"/>
      <c r="L413" s="6"/>
      <c r="R413" s="6"/>
      <c r="X413" s="6"/>
      <c r="AD413" s="6"/>
    </row>
    <row r="414" spans="6:30">
      <c r="F414" s="6"/>
      <c r="L414" s="6"/>
      <c r="R414" s="6"/>
      <c r="X414" s="6"/>
      <c r="AD414" s="6"/>
    </row>
    <row r="415" spans="6:30">
      <c r="F415" s="6"/>
      <c r="L415" s="6"/>
      <c r="R415" s="6"/>
      <c r="X415" s="6"/>
      <c r="AD415" s="6"/>
    </row>
    <row r="416" spans="6:30">
      <c r="F416" s="6"/>
      <c r="L416" s="6"/>
      <c r="R416" s="6"/>
      <c r="X416" s="6"/>
      <c r="AD416" s="6"/>
    </row>
    <row r="417" spans="6:30">
      <c r="F417" s="6"/>
      <c r="L417" s="6"/>
      <c r="R417" s="6"/>
      <c r="X417" s="6"/>
      <c r="AD417" s="6"/>
    </row>
    <row r="418" spans="6:30">
      <c r="F418" s="6"/>
      <c r="L418" s="6"/>
      <c r="R418" s="6"/>
      <c r="X418" s="6"/>
      <c r="AD418" s="6"/>
    </row>
    <row r="419" spans="6:30">
      <c r="F419" s="6"/>
      <c r="L419" s="6"/>
      <c r="R419" s="6"/>
      <c r="X419" s="6"/>
      <c r="AD419" s="6"/>
    </row>
    <row r="420" spans="6:30">
      <c r="F420" s="6"/>
      <c r="L420" s="6"/>
      <c r="R420" s="6"/>
      <c r="X420" s="6"/>
      <c r="AD420" s="6"/>
    </row>
    <row r="421" spans="6:30">
      <c r="F421" s="6"/>
      <c r="L421" s="6"/>
      <c r="R421" s="6"/>
      <c r="X421" s="6"/>
      <c r="AD421" s="6"/>
    </row>
    <row r="422" spans="6:30">
      <c r="F422" s="6"/>
      <c r="L422" s="6"/>
      <c r="R422" s="6"/>
      <c r="X422" s="6"/>
      <c r="AD422" s="6"/>
    </row>
    <row r="423" spans="6:30">
      <c r="F423" s="6"/>
      <c r="L423" s="6"/>
      <c r="R423" s="6"/>
      <c r="X423" s="6"/>
      <c r="AD423" s="6"/>
    </row>
    <row r="424" spans="6:30">
      <c r="F424" s="6"/>
      <c r="L424" s="6"/>
      <c r="R424" s="6"/>
      <c r="X424" s="6"/>
      <c r="AD424" s="6"/>
    </row>
    <row r="425" spans="6:30">
      <c r="F425" s="6"/>
      <c r="L425" s="6"/>
      <c r="R425" s="6"/>
      <c r="X425" s="6"/>
      <c r="AD425" s="6"/>
    </row>
    <row r="426" spans="6:30">
      <c r="F426" s="6"/>
      <c r="L426" s="6"/>
      <c r="R426" s="6"/>
      <c r="X426" s="6"/>
      <c r="AD426" s="6"/>
    </row>
    <row r="427" spans="6:30">
      <c r="F427" s="6"/>
      <c r="L427" s="6"/>
      <c r="R427" s="6"/>
      <c r="X427" s="6"/>
      <c r="AD427" s="6"/>
    </row>
    <row r="428" spans="6:30">
      <c r="F428" s="6"/>
      <c r="L428" s="6"/>
      <c r="R428" s="6"/>
      <c r="X428" s="6"/>
      <c r="AD428" s="6"/>
    </row>
    <row r="429" spans="6:30">
      <c r="F429" s="6"/>
      <c r="L429" s="6"/>
      <c r="R429" s="6"/>
      <c r="X429" s="6"/>
      <c r="AD429" s="6"/>
    </row>
    <row r="430" spans="6:30">
      <c r="F430" s="6"/>
      <c r="L430" s="6"/>
      <c r="R430" s="6"/>
      <c r="X430" s="6"/>
      <c r="AD430" s="6"/>
    </row>
    <row r="431" spans="6:30">
      <c r="F431" s="6"/>
      <c r="L431" s="6"/>
      <c r="R431" s="6"/>
      <c r="X431" s="6"/>
      <c r="AD431" s="6"/>
    </row>
    <row r="432" spans="6:30">
      <c r="F432" s="6"/>
      <c r="L432" s="6"/>
      <c r="R432" s="6"/>
      <c r="X432" s="6"/>
      <c r="AD432" s="6"/>
    </row>
    <row r="433" spans="6:30">
      <c r="F433" s="6"/>
      <c r="L433" s="6"/>
      <c r="R433" s="6"/>
      <c r="X433" s="6"/>
      <c r="AD433" s="6"/>
    </row>
    <row r="434" spans="6:30">
      <c r="F434" s="6"/>
      <c r="L434" s="6"/>
      <c r="R434" s="6"/>
      <c r="X434" s="6"/>
      <c r="AD434" s="6"/>
    </row>
    <row r="435" spans="6:30">
      <c r="F435" s="6"/>
      <c r="L435" s="6"/>
      <c r="R435" s="6"/>
      <c r="X435" s="6"/>
      <c r="AD435" s="6"/>
    </row>
    <row r="436" spans="6:30">
      <c r="F436" s="6"/>
      <c r="L436" s="6"/>
      <c r="R436" s="6"/>
      <c r="X436" s="6"/>
      <c r="AD436" s="6"/>
    </row>
    <row r="437" spans="6:30">
      <c r="F437" s="6"/>
      <c r="L437" s="6"/>
      <c r="R437" s="6"/>
      <c r="X437" s="6"/>
      <c r="AD437" s="6"/>
    </row>
    <row r="438" spans="6:30">
      <c r="F438" s="6"/>
      <c r="L438" s="6"/>
      <c r="R438" s="6"/>
      <c r="X438" s="6"/>
      <c r="AD438" s="6"/>
    </row>
    <row r="439" spans="6:30">
      <c r="F439" s="6"/>
      <c r="L439" s="6"/>
      <c r="R439" s="6"/>
      <c r="X439" s="6"/>
      <c r="AD439" s="6"/>
    </row>
    <row r="440" spans="6:30">
      <c r="F440" s="6"/>
      <c r="L440" s="6"/>
      <c r="R440" s="6"/>
      <c r="X440" s="6"/>
      <c r="AD440" s="6"/>
    </row>
    <row r="441" spans="6:30">
      <c r="F441" s="6"/>
      <c r="L441" s="6"/>
      <c r="R441" s="6"/>
      <c r="X441" s="6"/>
      <c r="AD441" s="6"/>
    </row>
    <row r="442" spans="6:30">
      <c r="F442" s="6"/>
      <c r="L442" s="6"/>
      <c r="R442" s="6"/>
      <c r="X442" s="6"/>
      <c r="AD442" s="6"/>
    </row>
    <row r="443" spans="6:30">
      <c r="F443" s="6"/>
      <c r="L443" s="6"/>
      <c r="R443" s="6"/>
      <c r="X443" s="6"/>
      <c r="AD443" s="6"/>
    </row>
    <row r="444" spans="6:30">
      <c r="F444" s="6"/>
      <c r="L444" s="6"/>
      <c r="R444" s="6"/>
      <c r="X444" s="6"/>
      <c r="AD444" s="6"/>
    </row>
    <row r="445" spans="6:30">
      <c r="F445" s="6"/>
      <c r="L445" s="6"/>
      <c r="R445" s="6"/>
      <c r="X445" s="6"/>
      <c r="AD445" s="6"/>
    </row>
    <row r="446" spans="6:30">
      <c r="F446" s="6"/>
      <c r="L446" s="6"/>
      <c r="R446" s="6"/>
      <c r="X446" s="6"/>
      <c r="AD446" s="6"/>
    </row>
    <row r="447" spans="6:30">
      <c r="F447" s="6"/>
      <c r="L447" s="6"/>
      <c r="R447" s="6"/>
      <c r="X447" s="6"/>
      <c r="AD447" s="6"/>
    </row>
    <row r="448" spans="6:30">
      <c r="F448" s="6"/>
      <c r="L448" s="6"/>
      <c r="R448" s="6"/>
      <c r="X448" s="6"/>
      <c r="AD448" s="6"/>
    </row>
    <row r="449" spans="6:30">
      <c r="F449" s="6"/>
      <c r="L449" s="6"/>
      <c r="R449" s="6"/>
      <c r="X449" s="6"/>
      <c r="AD449" s="6"/>
    </row>
    <row r="450" spans="6:30">
      <c r="F450" s="6"/>
      <c r="L450" s="6"/>
      <c r="R450" s="6"/>
      <c r="X450" s="6"/>
      <c r="AD450" s="6"/>
    </row>
    <row r="451" spans="6:30">
      <c r="F451" s="6"/>
      <c r="L451" s="6"/>
      <c r="R451" s="6"/>
      <c r="X451" s="6"/>
      <c r="AD451" s="6"/>
    </row>
    <row r="452" spans="6:30">
      <c r="F452" s="6"/>
      <c r="L452" s="6"/>
      <c r="R452" s="6"/>
      <c r="X452" s="6"/>
      <c r="AD452" s="6"/>
    </row>
    <row r="453" spans="6:30">
      <c r="F453" s="6"/>
      <c r="L453" s="6"/>
      <c r="R453" s="6"/>
      <c r="X453" s="6"/>
      <c r="AD453" s="6"/>
    </row>
    <row r="454" spans="6:30">
      <c r="F454" s="6"/>
      <c r="L454" s="6"/>
      <c r="R454" s="6"/>
      <c r="X454" s="6"/>
      <c r="AD454" s="6"/>
    </row>
    <row r="455" spans="6:30">
      <c r="F455" s="6"/>
      <c r="L455" s="6"/>
      <c r="R455" s="6"/>
      <c r="X455" s="6"/>
      <c r="AD455" s="6"/>
    </row>
    <row r="456" spans="6:30">
      <c r="F456" s="6"/>
      <c r="L456" s="6"/>
      <c r="R456" s="6"/>
      <c r="X456" s="6"/>
      <c r="AD456" s="6"/>
    </row>
    <row r="457" spans="6:30">
      <c r="F457" s="6"/>
      <c r="L457" s="6"/>
      <c r="R457" s="6"/>
      <c r="X457" s="6"/>
      <c r="AD457" s="6"/>
    </row>
    <row r="458" spans="6:30">
      <c r="F458" s="6"/>
      <c r="L458" s="6"/>
      <c r="R458" s="6"/>
      <c r="X458" s="6"/>
      <c r="AD458" s="6"/>
    </row>
    <row r="459" spans="6:30">
      <c r="F459" s="6"/>
      <c r="L459" s="6"/>
      <c r="R459" s="6"/>
      <c r="X459" s="6"/>
      <c r="AD459" s="6"/>
    </row>
    <row r="460" spans="6:30">
      <c r="F460" s="6"/>
      <c r="L460" s="6"/>
      <c r="R460" s="6"/>
      <c r="X460" s="6"/>
      <c r="AD460" s="6"/>
    </row>
    <row r="461" spans="6:30">
      <c r="F461" s="6"/>
      <c r="L461" s="6"/>
      <c r="R461" s="6"/>
      <c r="X461" s="6"/>
      <c r="AD461" s="6"/>
    </row>
    <row r="462" spans="6:30">
      <c r="F462" s="6"/>
      <c r="L462" s="6"/>
      <c r="R462" s="6"/>
      <c r="X462" s="6"/>
      <c r="AD462" s="6"/>
    </row>
    <row r="463" spans="6:30">
      <c r="F463" s="6"/>
      <c r="L463" s="6"/>
      <c r="R463" s="6"/>
      <c r="X463" s="6"/>
      <c r="AD463" s="6"/>
    </row>
    <row r="464" spans="6:30">
      <c r="F464" s="6"/>
      <c r="L464" s="6"/>
      <c r="R464" s="6"/>
      <c r="X464" s="6"/>
      <c r="AD464" s="6"/>
    </row>
    <row r="465" spans="6:30">
      <c r="F465" s="6"/>
      <c r="L465" s="6"/>
      <c r="R465" s="6"/>
      <c r="X465" s="6"/>
      <c r="AD465" s="6"/>
    </row>
    <row r="466" spans="6:30">
      <c r="F466" s="6"/>
      <c r="L466" s="6"/>
      <c r="R466" s="6"/>
      <c r="X466" s="6"/>
      <c r="AD466" s="6"/>
    </row>
    <row r="467" spans="6:30">
      <c r="F467" s="6"/>
      <c r="L467" s="6"/>
      <c r="R467" s="6"/>
      <c r="X467" s="6"/>
      <c r="AD467" s="6"/>
    </row>
    <row r="468" spans="6:30">
      <c r="F468" s="6"/>
      <c r="L468" s="6"/>
      <c r="R468" s="6"/>
      <c r="X468" s="6"/>
      <c r="AD468" s="6"/>
    </row>
    <row r="469" spans="6:30">
      <c r="F469" s="6"/>
      <c r="L469" s="6"/>
      <c r="R469" s="6"/>
      <c r="X469" s="6"/>
      <c r="AD469" s="6"/>
    </row>
    <row r="470" spans="6:30">
      <c r="F470" s="6"/>
      <c r="L470" s="6"/>
      <c r="R470" s="6"/>
      <c r="X470" s="6"/>
      <c r="AD470" s="6"/>
    </row>
    <row r="471" spans="6:30">
      <c r="F471" s="6"/>
      <c r="L471" s="6"/>
      <c r="R471" s="6"/>
      <c r="X471" s="6"/>
      <c r="AD471" s="6"/>
    </row>
    <row r="472" spans="6:30">
      <c r="F472" s="6"/>
      <c r="L472" s="6"/>
      <c r="R472" s="6"/>
      <c r="X472" s="6"/>
      <c r="AD472" s="6"/>
    </row>
    <row r="473" spans="6:30">
      <c r="F473" s="6"/>
      <c r="L473" s="6"/>
      <c r="R473" s="6"/>
      <c r="X473" s="6"/>
      <c r="AD473" s="6"/>
    </row>
    <row r="474" spans="6:30">
      <c r="F474" s="6"/>
      <c r="L474" s="6"/>
      <c r="R474" s="6"/>
      <c r="X474" s="6"/>
      <c r="AD474" s="6"/>
    </row>
    <row r="475" spans="6:30">
      <c r="F475" s="6"/>
      <c r="L475" s="6"/>
      <c r="R475" s="6"/>
      <c r="X475" s="6"/>
      <c r="AD475" s="6"/>
    </row>
    <row r="476" spans="6:30">
      <c r="F476" s="6"/>
      <c r="L476" s="6"/>
      <c r="R476" s="6"/>
      <c r="X476" s="6"/>
      <c r="AD476" s="6"/>
    </row>
    <row r="477" spans="6:30">
      <c r="F477" s="6"/>
      <c r="L477" s="6"/>
      <c r="R477" s="6"/>
      <c r="X477" s="6"/>
      <c r="AD477" s="6"/>
    </row>
    <row r="478" spans="6:30">
      <c r="F478" s="6"/>
      <c r="L478" s="6"/>
      <c r="R478" s="6"/>
      <c r="X478" s="6"/>
      <c r="AD478" s="6"/>
    </row>
    <row r="479" spans="6:30">
      <c r="F479" s="6"/>
      <c r="L479" s="6"/>
      <c r="R479" s="6"/>
      <c r="X479" s="6"/>
      <c r="AD479" s="6"/>
    </row>
    <row r="480" spans="6:30">
      <c r="F480" s="6"/>
      <c r="L480" s="6"/>
      <c r="R480" s="6"/>
      <c r="X480" s="6"/>
      <c r="AD480" s="6"/>
    </row>
    <row r="481" spans="6:30">
      <c r="F481" s="6"/>
      <c r="L481" s="6"/>
      <c r="R481" s="6"/>
      <c r="X481" s="6"/>
      <c r="AD481" s="6"/>
    </row>
    <row r="482" spans="6:30">
      <c r="F482" s="6"/>
      <c r="L482" s="6"/>
      <c r="R482" s="6"/>
      <c r="X482" s="6"/>
      <c r="AD482" s="6"/>
    </row>
    <row r="483" spans="6:30">
      <c r="F483" s="6"/>
      <c r="L483" s="6"/>
      <c r="R483" s="6"/>
      <c r="X483" s="6"/>
      <c r="AD483" s="6"/>
    </row>
    <row r="484" spans="6:30">
      <c r="F484" s="6"/>
      <c r="L484" s="6"/>
      <c r="R484" s="6"/>
      <c r="X484" s="6"/>
      <c r="AD484" s="6"/>
    </row>
    <row r="485" spans="6:30">
      <c r="F485" s="6"/>
      <c r="L485" s="6"/>
      <c r="R485" s="6"/>
      <c r="X485" s="6"/>
      <c r="AD485" s="6"/>
    </row>
    <row r="486" spans="6:30">
      <c r="F486" s="6"/>
      <c r="L486" s="6"/>
      <c r="R486" s="6"/>
      <c r="X486" s="6"/>
      <c r="AD486" s="6"/>
    </row>
    <row r="487" spans="6:30">
      <c r="F487" s="6"/>
      <c r="L487" s="6"/>
      <c r="R487" s="6"/>
      <c r="X487" s="6"/>
      <c r="AD487" s="6"/>
    </row>
    <row r="488" spans="6:30">
      <c r="F488" s="6"/>
      <c r="L488" s="6"/>
      <c r="R488" s="6"/>
      <c r="X488" s="6"/>
      <c r="AD488" s="6"/>
    </row>
    <row r="489" spans="6:30">
      <c r="F489" s="6"/>
      <c r="L489" s="6"/>
      <c r="R489" s="6"/>
      <c r="X489" s="6"/>
      <c r="AD489" s="6"/>
    </row>
    <row r="490" spans="6:30">
      <c r="F490" s="6"/>
      <c r="L490" s="6"/>
      <c r="R490" s="6"/>
      <c r="X490" s="6"/>
      <c r="AD490" s="6"/>
    </row>
    <row r="491" spans="6:30">
      <c r="F491" s="6"/>
      <c r="L491" s="6"/>
      <c r="R491" s="6"/>
      <c r="X491" s="6"/>
      <c r="AD491" s="6"/>
    </row>
    <row r="492" spans="6:30">
      <c r="F492" s="6"/>
      <c r="L492" s="6"/>
      <c r="R492" s="6"/>
      <c r="X492" s="6"/>
      <c r="AD492" s="6"/>
    </row>
    <row r="493" spans="6:30">
      <c r="F493" s="6"/>
      <c r="L493" s="6"/>
      <c r="R493" s="6"/>
      <c r="X493" s="6"/>
      <c r="AD493" s="6"/>
    </row>
    <row r="494" spans="6:30">
      <c r="F494" s="6"/>
      <c r="L494" s="6"/>
      <c r="R494" s="6"/>
      <c r="X494" s="6"/>
      <c r="AD494" s="6"/>
    </row>
    <row r="495" spans="6:30">
      <c r="F495" s="6"/>
      <c r="L495" s="6"/>
      <c r="R495" s="6"/>
      <c r="X495" s="6"/>
      <c r="AD495" s="6"/>
    </row>
    <row r="496" spans="6:30">
      <c r="F496" s="6"/>
      <c r="L496" s="6"/>
      <c r="R496" s="6"/>
      <c r="X496" s="6"/>
      <c r="AD496" s="6"/>
    </row>
    <row r="497" spans="6:30">
      <c r="F497" s="6"/>
      <c r="L497" s="6"/>
      <c r="R497" s="6"/>
      <c r="X497" s="6"/>
      <c r="AD497" s="6"/>
    </row>
    <row r="498" spans="6:30">
      <c r="F498" s="6"/>
      <c r="L498" s="6"/>
      <c r="R498" s="6"/>
      <c r="X498" s="6"/>
      <c r="AD498" s="6"/>
    </row>
    <row r="499" spans="6:30">
      <c r="F499" s="6"/>
      <c r="L499" s="6"/>
      <c r="R499" s="6"/>
      <c r="X499" s="6"/>
      <c r="AD499" s="6"/>
    </row>
    <row r="500" spans="6:30">
      <c r="F500" s="6"/>
      <c r="L500" s="6"/>
      <c r="R500" s="6"/>
      <c r="X500" s="6"/>
      <c r="AD500" s="6"/>
    </row>
    <row r="501" spans="6:30">
      <c r="F501" s="6"/>
      <c r="L501" s="6"/>
      <c r="R501" s="6"/>
      <c r="X501" s="6"/>
      <c r="AD501" s="6"/>
    </row>
    <row r="502" spans="6:30">
      <c r="F502" s="6"/>
      <c r="L502" s="6"/>
      <c r="R502" s="6"/>
      <c r="X502" s="6"/>
      <c r="AD502" s="6"/>
    </row>
    <row r="503" spans="6:30">
      <c r="F503" s="6"/>
      <c r="L503" s="6"/>
      <c r="R503" s="6"/>
      <c r="X503" s="6"/>
      <c r="AD503" s="6"/>
    </row>
    <row r="504" spans="6:30">
      <c r="F504" s="6"/>
      <c r="L504" s="6"/>
      <c r="R504" s="6"/>
      <c r="X504" s="6"/>
      <c r="AD504" s="6"/>
    </row>
    <row r="505" spans="6:30">
      <c r="F505" s="6"/>
      <c r="L505" s="6"/>
      <c r="R505" s="6"/>
      <c r="X505" s="6"/>
      <c r="AD505" s="6"/>
    </row>
    <row r="506" spans="6:30">
      <c r="F506" s="6"/>
      <c r="L506" s="6"/>
      <c r="R506" s="6"/>
      <c r="X506" s="6"/>
      <c r="AD506" s="6"/>
    </row>
    <row r="507" spans="6:30">
      <c r="F507" s="6"/>
      <c r="L507" s="6"/>
      <c r="R507" s="6"/>
      <c r="X507" s="6"/>
      <c r="AD507" s="6"/>
    </row>
    <row r="508" spans="6:30">
      <c r="F508" s="6"/>
      <c r="L508" s="6"/>
      <c r="R508" s="6"/>
      <c r="X508" s="6"/>
      <c r="AD508" s="6"/>
    </row>
    <row r="509" spans="6:30">
      <c r="F509" s="6"/>
      <c r="L509" s="6"/>
      <c r="R509" s="6"/>
      <c r="X509" s="6"/>
      <c r="AD509" s="6"/>
    </row>
    <row r="510" spans="6:30">
      <c r="F510" s="6"/>
      <c r="L510" s="6"/>
      <c r="R510" s="6"/>
      <c r="X510" s="6"/>
      <c r="AD510" s="6"/>
    </row>
    <row r="511" spans="6:30">
      <c r="F511" s="6"/>
      <c r="L511" s="6"/>
      <c r="R511" s="6"/>
      <c r="X511" s="6"/>
      <c r="AD511" s="6"/>
    </row>
    <row r="512" spans="6:30">
      <c r="F512" s="6"/>
      <c r="L512" s="6"/>
      <c r="R512" s="6"/>
      <c r="X512" s="6"/>
      <c r="AD512" s="6"/>
    </row>
    <row r="513" spans="6:30">
      <c r="F513" s="6"/>
      <c r="L513" s="6"/>
      <c r="R513" s="6"/>
      <c r="X513" s="6"/>
      <c r="AD513" s="6"/>
    </row>
    <row r="514" spans="6:30">
      <c r="F514" s="6"/>
      <c r="L514" s="6"/>
      <c r="R514" s="6"/>
      <c r="X514" s="6"/>
      <c r="AD514" s="6"/>
    </row>
    <row r="515" spans="6:30">
      <c r="F515" s="6"/>
      <c r="L515" s="6"/>
      <c r="R515" s="6"/>
      <c r="X515" s="6"/>
      <c r="AD515" s="6"/>
    </row>
    <row r="516" spans="6:30">
      <c r="F516" s="6"/>
      <c r="L516" s="6"/>
      <c r="R516" s="6"/>
      <c r="X516" s="6"/>
      <c r="AD516" s="6"/>
    </row>
    <row r="517" spans="6:30">
      <c r="F517" s="6"/>
      <c r="L517" s="6"/>
      <c r="R517" s="6"/>
      <c r="X517" s="6"/>
      <c r="AD517" s="6"/>
    </row>
    <row r="518" spans="6:30">
      <c r="F518" s="6"/>
      <c r="L518" s="6"/>
      <c r="R518" s="6"/>
      <c r="X518" s="6"/>
      <c r="AD518" s="6"/>
    </row>
    <row r="519" spans="6:30">
      <c r="F519" s="6"/>
      <c r="L519" s="6"/>
      <c r="R519" s="6"/>
      <c r="X519" s="6"/>
      <c r="AD519" s="6"/>
    </row>
    <row r="520" spans="6:30">
      <c r="F520" s="6"/>
      <c r="L520" s="6"/>
      <c r="R520" s="6"/>
      <c r="X520" s="6"/>
      <c r="AD520" s="6"/>
    </row>
    <row r="521" spans="6:30">
      <c r="F521" s="6"/>
      <c r="L521" s="6"/>
      <c r="R521" s="6"/>
      <c r="X521" s="6"/>
      <c r="AD521" s="6"/>
    </row>
    <row r="522" spans="6:30">
      <c r="F522" s="6"/>
      <c r="L522" s="6"/>
      <c r="R522" s="6"/>
      <c r="X522" s="6"/>
      <c r="AD522" s="6"/>
    </row>
    <row r="523" spans="6:30">
      <c r="F523" s="6"/>
      <c r="L523" s="6"/>
      <c r="R523" s="6"/>
      <c r="X523" s="6"/>
      <c r="AD523" s="6"/>
    </row>
    <row r="524" spans="6:30">
      <c r="F524" s="6"/>
      <c r="L524" s="6"/>
      <c r="R524" s="6"/>
      <c r="X524" s="6"/>
      <c r="AD524" s="6"/>
    </row>
    <row r="525" spans="6:30">
      <c r="F525" s="6"/>
      <c r="L525" s="6"/>
      <c r="R525" s="6"/>
      <c r="X525" s="6"/>
      <c r="AD525" s="6"/>
    </row>
    <row r="526" spans="6:30">
      <c r="F526" s="6"/>
      <c r="L526" s="6"/>
      <c r="R526" s="6"/>
      <c r="X526" s="6"/>
      <c r="AD526" s="6"/>
    </row>
    <row r="527" spans="6:30">
      <c r="F527" s="6"/>
      <c r="L527" s="6"/>
      <c r="R527" s="6"/>
      <c r="X527" s="6"/>
      <c r="AD527" s="6"/>
    </row>
    <row r="528" spans="6:30">
      <c r="F528" s="6"/>
      <c r="L528" s="6"/>
      <c r="R528" s="6"/>
      <c r="X528" s="6"/>
      <c r="AD528" s="6"/>
    </row>
    <row r="529" spans="6:30">
      <c r="F529" s="6"/>
      <c r="L529" s="6"/>
      <c r="R529" s="6"/>
      <c r="X529" s="6"/>
      <c r="AD529" s="6"/>
    </row>
    <row r="530" spans="6:30">
      <c r="F530" s="6"/>
      <c r="L530" s="6"/>
      <c r="R530" s="6"/>
      <c r="X530" s="6"/>
      <c r="AD530" s="6"/>
    </row>
    <row r="531" spans="6:30">
      <c r="F531" s="6"/>
      <c r="L531" s="6"/>
      <c r="R531" s="6"/>
      <c r="X531" s="6"/>
      <c r="AD531" s="6"/>
    </row>
    <row r="532" spans="6:30">
      <c r="F532" s="6"/>
      <c r="L532" s="6"/>
      <c r="R532" s="6"/>
      <c r="X532" s="6"/>
      <c r="AD532" s="6"/>
    </row>
    <row r="533" spans="6:30">
      <c r="F533" s="6"/>
      <c r="L533" s="6"/>
      <c r="R533" s="6"/>
      <c r="X533" s="6"/>
      <c r="AD533" s="6"/>
    </row>
    <row r="534" spans="6:30">
      <c r="F534" s="6"/>
      <c r="L534" s="6"/>
      <c r="R534" s="6"/>
      <c r="X534" s="6"/>
      <c r="AD534" s="6"/>
    </row>
    <row r="535" spans="6:30">
      <c r="F535" s="6"/>
      <c r="L535" s="6"/>
      <c r="R535" s="6"/>
      <c r="X535" s="6"/>
      <c r="AD535" s="6"/>
    </row>
    <row r="536" spans="6:30">
      <c r="F536" s="6"/>
      <c r="L536" s="6"/>
      <c r="R536" s="6"/>
      <c r="X536" s="6"/>
      <c r="AD536" s="6"/>
    </row>
    <row r="537" spans="6:30">
      <c r="F537" s="6"/>
      <c r="L537" s="6"/>
      <c r="R537" s="6"/>
      <c r="X537" s="6"/>
      <c r="AD537" s="6"/>
    </row>
    <row r="538" spans="6:30">
      <c r="F538" s="6"/>
      <c r="L538" s="6"/>
      <c r="R538" s="6"/>
      <c r="X538" s="6"/>
      <c r="AD538" s="6"/>
    </row>
    <row r="539" spans="6:30">
      <c r="F539" s="6"/>
      <c r="L539" s="6"/>
      <c r="R539" s="6"/>
      <c r="X539" s="6"/>
      <c r="AD539" s="6"/>
    </row>
    <row r="540" spans="6:30">
      <c r="F540" s="6"/>
      <c r="L540" s="6"/>
      <c r="R540" s="6"/>
      <c r="X540" s="6"/>
      <c r="AD540" s="6"/>
    </row>
    <row r="541" spans="6:30">
      <c r="F541" s="6"/>
      <c r="L541" s="6"/>
      <c r="R541" s="6"/>
      <c r="X541" s="6"/>
      <c r="AD541" s="6"/>
    </row>
    <row r="542" spans="6:30">
      <c r="F542" s="6"/>
      <c r="L542" s="6"/>
      <c r="R542" s="6"/>
      <c r="X542" s="6"/>
      <c r="AD542" s="6"/>
    </row>
    <row r="543" spans="6:30">
      <c r="F543" s="6"/>
      <c r="L543" s="6"/>
      <c r="R543" s="6"/>
      <c r="X543" s="6"/>
      <c r="AD543" s="6"/>
    </row>
    <row r="544" spans="6:30">
      <c r="F544" s="6"/>
      <c r="L544" s="6"/>
      <c r="R544" s="6"/>
      <c r="X544" s="6"/>
      <c r="AD544" s="6"/>
    </row>
    <row r="545" spans="6:30">
      <c r="F545" s="6"/>
      <c r="L545" s="6"/>
      <c r="R545" s="6"/>
      <c r="X545" s="6"/>
      <c r="AD545" s="6"/>
    </row>
    <row r="546" spans="6:30">
      <c r="F546" s="6"/>
      <c r="L546" s="6"/>
      <c r="R546" s="6"/>
      <c r="X546" s="6"/>
      <c r="AD546" s="6"/>
    </row>
    <row r="547" spans="6:30">
      <c r="F547" s="6"/>
      <c r="L547" s="6"/>
      <c r="R547" s="6"/>
      <c r="X547" s="6"/>
      <c r="AD547" s="6"/>
    </row>
    <row r="548" spans="6:30">
      <c r="F548" s="6"/>
      <c r="L548" s="6"/>
      <c r="R548" s="6"/>
      <c r="X548" s="6"/>
      <c r="AD548" s="6"/>
    </row>
    <row r="549" spans="6:30">
      <c r="F549" s="6"/>
      <c r="L549" s="6"/>
      <c r="R549" s="6"/>
      <c r="X549" s="6"/>
      <c r="AD549" s="6"/>
    </row>
    <row r="550" spans="6:30">
      <c r="F550" s="6"/>
      <c r="L550" s="6"/>
      <c r="R550" s="6"/>
      <c r="X550" s="6"/>
      <c r="AD550" s="6"/>
    </row>
    <row r="551" spans="6:30">
      <c r="F551" s="6"/>
      <c r="L551" s="6"/>
      <c r="R551" s="6"/>
      <c r="X551" s="6"/>
      <c r="AD551" s="6"/>
    </row>
    <row r="552" spans="6:30">
      <c r="F552" s="6"/>
      <c r="L552" s="6"/>
      <c r="R552" s="6"/>
      <c r="X552" s="6"/>
      <c r="AD552" s="6"/>
    </row>
    <row r="553" spans="6:30">
      <c r="F553" s="6"/>
      <c r="L553" s="6"/>
      <c r="R553" s="6"/>
      <c r="X553" s="6"/>
      <c r="AD553" s="6"/>
    </row>
    <row r="554" spans="6:30">
      <c r="F554" s="6"/>
      <c r="L554" s="6"/>
      <c r="R554" s="6"/>
      <c r="X554" s="6"/>
      <c r="AD554" s="6"/>
    </row>
    <row r="555" spans="6:30">
      <c r="F555" s="6"/>
      <c r="L555" s="6"/>
      <c r="R555" s="6"/>
      <c r="X555" s="6"/>
      <c r="AD555" s="6"/>
    </row>
    <row r="556" spans="6:30">
      <c r="F556" s="6"/>
      <c r="L556" s="6"/>
      <c r="R556" s="6"/>
      <c r="X556" s="6"/>
      <c r="AD556" s="6"/>
    </row>
    <row r="557" spans="6:30">
      <c r="F557" s="6"/>
      <c r="L557" s="6"/>
      <c r="R557" s="6"/>
      <c r="X557" s="6"/>
      <c r="AD557" s="6"/>
    </row>
    <row r="558" spans="6:30">
      <c r="F558" s="6"/>
      <c r="L558" s="6"/>
      <c r="R558" s="6"/>
      <c r="X558" s="6"/>
      <c r="AD558" s="6"/>
    </row>
    <row r="559" spans="6:30">
      <c r="F559" s="6"/>
      <c r="L559" s="6"/>
      <c r="R559" s="6"/>
      <c r="X559" s="6"/>
      <c r="AD559" s="6"/>
    </row>
    <row r="560" spans="6:30">
      <c r="F560" s="6"/>
      <c r="L560" s="6"/>
      <c r="R560" s="6"/>
      <c r="X560" s="6"/>
      <c r="AD560" s="6"/>
    </row>
    <row r="561" spans="6:30">
      <c r="F561" s="6"/>
      <c r="L561" s="6"/>
      <c r="R561" s="6"/>
      <c r="X561" s="6"/>
      <c r="AD561" s="6"/>
    </row>
    <row r="562" spans="6:30">
      <c r="F562" s="6"/>
      <c r="L562" s="6"/>
      <c r="R562" s="6"/>
      <c r="X562" s="6"/>
      <c r="AD562" s="6"/>
    </row>
    <row r="563" spans="6:30">
      <c r="F563" s="6"/>
      <c r="L563" s="6"/>
      <c r="R563" s="6"/>
      <c r="X563" s="6"/>
      <c r="AD563" s="6"/>
    </row>
    <row r="564" spans="6:30">
      <c r="F564" s="6"/>
      <c r="L564" s="6"/>
      <c r="R564" s="6"/>
      <c r="X564" s="6"/>
      <c r="AD564" s="6"/>
    </row>
    <row r="565" spans="6:30">
      <c r="F565" s="6"/>
      <c r="L565" s="6"/>
      <c r="R565" s="6"/>
      <c r="X565" s="6"/>
      <c r="AD565" s="6"/>
    </row>
    <row r="566" spans="6:30">
      <c r="F566" s="6"/>
      <c r="L566" s="6"/>
      <c r="R566" s="6"/>
      <c r="X566" s="6"/>
      <c r="AD566" s="6"/>
    </row>
    <row r="567" spans="6:30">
      <c r="F567" s="6"/>
      <c r="L567" s="6"/>
      <c r="R567" s="6"/>
      <c r="X567" s="6"/>
      <c r="AD567" s="6"/>
    </row>
    <row r="568" spans="6:30">
      <c r="F568" s="6"/>
      <c r="L568" s="6"/>
      <c r="R568" s="6"/>
      <c r="X568" s="6"/>
      <c r="AD568" s="6"/>
    </row>
    <row r="569" spans="6:30">
      <c r="F569" s="6"/>
      <c r="L569" s="6"/>
      <c r="R569" s="6"/>
      <c r="X569" s="6"/>
      <c r="AD569" s="6"/>
    </row>
    <row r="570" spans="6:30">
      <c r="F570" s="6"/>
      <c r="L570" s="6"/>
      <c r="R570" s="6"/>
      <c r="X570" s="6"/>
      <c r="AD570" s="6"/>
    </row>
    <row r="571" spans="6:30">
      <c r="F571" s="6"/>
      <c r="L571" s="6"/>
      <c r="R571" s="6"/>
      <c r="X571" s="6"/>
      <c r="AD571" s="6"/>
    </row>
    <row r="572" spans="6:30">
      <c r="F572" s="6"/>
      <c r="L572" s="6"/>
      <c r="R572" s="6"/>
      <c r="X572" s="6"/>
      <c r="AD572" s="6"/>
    </row>
    <row r="573" spans="6:30">
      <c r="F573" s="6"/>
      <c r="L573" s="6"/>
      <c r="R573" s="6"/>
      <c r="X573" s="6"/>
      <c r="AD573" s="6"/>
    </row>
    <row r="574" spans="6:30">
      <c r="F574" s="6"/>
      <c r="L574" s="6"/>
      <c r="R574" s="6"/>
      <c r="X574" s="6"/>
      <c r="AD574" s="6"/>
    </row>
    <row r="575" spans="6:30">
      <c r="F575" s="6"/>
      <c r="L575" s="6"/>
      <c r="R575" s="6"/>
      <c r="X575" s="6"/>
      <c r="AD575" s="6"/>
    </row>
    <row r="576" spans="6:30">
      <c r="F576" s="6"/>
      <c r="L576" s="6"/>
      <c r="R576" s="6"/>
      <c r="X576" s="6"/>
      <c r="AD576" s="6"/>
    </row>
    <row r="577" spans="6:30">
      <c r="F577" s="6"/>
      <c r="L577" s="6"/>
      <c r="R577" s="6"/>
      <c r="X577" s="6"/>
      <c r="AD577" s="6"/>
    </row>
    <row r="578" spans="6:30">
      <c r="F578" s="6"/>
      <c r="L578" s="6"/>
      <c r="R578" s="6"/>
      <c r="X578" s="6"/>
      <c r="AD578" s="6"/>
    </row>
    <row r="579" spans="6:30">
      <c r="F579" s="6"/>
      <c r="L579" s="6"/>
      <c r="R579" s="6"/>
      <c r="X579" s="6"/>
      <c r="AD579" s="6"/>
    </row>
    <row r="580" spans="6:30">
      <c r="F580" s="6"/>
      <c r="L580" s="6"/>
      <c r="R580" s="6"/>
      <c r="X580" s="6"/>
      <c r="AD580" s="6"/>
    </row>
    <row r="581" spans="6:30">
      <c r="F581" s="6"/>
      <c r="L581" s="6"/>
      <c r="R581" s="6"/>
      <c r="X581" s="6"/>
      <c r="AD581" s="6"/>
    </row>
    <row r="582" spans="6:30">
      <c r="F582" s="6"/>
      <c r="L582" s="6"/>
      <c r="R582" s="6"/>
      <c r="X582" s="6"/>
      <c r="AD582" s="6"/>
    </row>
    <row r="583" spans="6:30">
      <c r="F583" s="6"/>
      <c r="L583" s="6"/>
      <c r="R583" s="6"/>
      <c r="X583" s="6"/>
      <c r="AD583" s="6"/>
    </row>
    <row r="584" spans="6:30">
      <c r="F584" s="6"/>
      <c r="L584" s="6"/>
      <c r="R584" s="6"/>
      <c r="X584" s="6"/>
      <c r="AD584" s="6"/>
    </row>
    <row r="585" spans="6:30">
      <c r="F585" s="6"/>
      <c r="L585" s="6"/>
      <c r="R585" s="6"/>
      <c r="X585" s="6"/>
      <c r="AD585" s="6"/>
    </row>
    <row r="586" spans="6:30">
      <c r="F586" s="6"/>
      <c r="L586" s="6"/>
      <c r="R586" s="6"/>
      <c r="X586" s="6"/>
      <c r="AD586" s="6"/>
    </row>
    <row r="587" spans="6:30">
      <c r="F587" s="6"/>
      <c r="L587" s="6"/>
      <c r="R587" s="6"/>
      <c r="X587" s="6"/>
      <c r="AD587" s="6"/>
    </row>
    <row r="588" spans="6:30">
      <c r="F588" s="6"/>
      <c r="L588" s="6"/>
      <c r="R588" s="6"/>
      <c r="X588" s="6"/>
      <c r="AD588" s="6"/>
    </row>
    <row r="589" spans="6:30">
      <c r="F589" s="6"/>
      <c r="L589" s="6"/>
      <c r="R589" s="6"/>
      <c r="X589" s="6"/>
      <c r="AD589" s="6"/>
    </row>
    <row r="590" spans="6:30">
      <c r="F590" s="6"/>
      <c r="L590" s="6"/>
      <c r="R590" s="6"/>
      <c r="X590" s="6"/>
      <c r="AD590" s="6"/>
    </row>
    <row r="591" spans="6:30">
      <c r="F591" s="6"/>
      <c r="L591" s="6"/>
      <c r="R591" s="6"/>
      <c r="X591" s="6"/>
      <c r="AD591" s="6"/>
    </row>
    <row r="592" spans="6:30">
      <c r="F592" s="6"/>
      <c r="L592" s="6"/>
      <c r="R592" s="6"/>
      <c r="X592" s="6"/>
      <c r="AD592" s="6"/>
    </row>
    <row r="593" spans="6:30">
      <c r="F593" s="6"/>
      <c r="L593" s="6"/>
      <c r="R593" s="6"/>
      <c r="X593" s="6"/>
      <c r="AD593" s="6"/>
    </row>
    <row r="594" spans="6:30">
      <c r="F594" s="6"/>
      <c r="L594" s="6"/>
      <c r="R594" s="6"/>
      <c r="X594" s="6"/>
      <c r="AD594" s="6"/>
    </row>
    <row r="595" spans="6:30">
      <c r="F595" s="6"/>
      <c r="L595" s="6"/>
      <c r="R595" s="6"/>
      <c r="X595" s="6"/>
      <c r="AD595" s="6"/>
    </row>
    <row r="596" spans="6:30">
      <c r="F596" s="6"/>
      <c r="L596" s="6"/>
      <c r="R596" s="6"/>
      <c r="X596" s="6"/>
      <c r="AD596" s="6"/>
    </row>
    <row r="597" spans="6:30">
      <c r="F597" s="6"/>
      <c r="L597" s="6"/>
      <c r="R597" s="6"/>
      <c r="X597" s="6"/>
      <c r="AD597" s="6"/>
    </row>
    <row r="598" spans="6:30">
      <c r="F598" s="6"/>
      <c r="L598" s="6"/>
      <c r="R598" s="6"/>
      <c r="X598" s="6"/>
      <c r="AD598" s="6"/>
    </row>
    <row r="599" spans="6:30">
      <c r="F599" s="6"/>
      <c r="L599" s="6"/>
      <c r="R599" s="6"/>
      <c r="X599" s="6"/>
      <c r="AD599" s="6"/>
    </row>
    <row r="600" spans="6:30">
      <c r="F600" s="6"/>
      <c r="L600" s="6"/>
      <c r="R600" s="6"/>
      <c r="X600" s="6"/>
      <c r="AD600" s="6"/>
    </row>
    <row r="601" spans="6:30">
      <c r="F601" s="6"/>
      <c r="L601" s="6"/>
      <c r="R601" s="6"/>
      <c r="X601" s="6"/>
      <c r="AD601" s="6"/>
    </row>
    <row r="602" spans="6:30">
      <c r="F602" s="6"/>
      <c r="L602" s="6"/>
      <c r="R602" s="6"/>
      <c r="X602" s="6"/>
      <c r="AD602" s="6"/>
    </row>
    <row r="603" spans="6:30">
      <c r="F603" s="6"/>
      <c r="L603" s="6"/>
      <c r="R603" s="6"/>
      <c r="X603" s="6"/>
      <c r="AD603" s="6"/>
    </row>
    <row r="604" spans="6:30">
      <c r="F604" s="6"/>
      <c r="L604" s="6"/>
      <c r="R604" s="6"/>
      <c r="X604" s="6"/>
      <c r="AD604" s="6"/>
    </row>
    <row r="605" spans="6:30">
      <c r="F605" s="6"/>
      <c r="L605" s="6"/>
      <c r="R605" s="6"/>
      <c r="X605" s="6"/>
      <c r="AD605" s="6"/>
    </row>
    <row r="606" spans="6:30">
      <c r="F606" s="6"/>
      <c r="L606" s="6"/>
      <c r="R606" s="6"/>
      <c r="X606" s="6"/>
      <c r="AD606" s="6"/>
    </row>
    <row r="607" spans="6:30">
      <c r="F607" s="6"/>
      <c r="L607" s="6"/>
      <c r="R607" s="6"/>
      <c r="X607" s="6"/>
      <c r="AD607" s="6"/>
    </row>
    <row r="608" spans="6:30">
      <c r="F608" s="6"/>
      <c r="L608" s="6"/>
      <c r="R608" s="6"/>
      <c r="X608" s="6"/>
      <c r="AD608" s="6"/>
    </row>
    <row r="609" spans="6:30">
      <c r="F609" s="6"/>
      <c r="L609" s="6"/>
      <c r="R609" s="6"/>
      <c r="X609" s="6"/>
      <c r="AD609" s="6"/>
    </row>
    <row r="610" spans="6:30">
      <c r="F610" s="6"/>
      <c r="L610" s="6"/>
      <c r="R610" s="6"/>
      <c r="X610" s="6"/>
      <c r="AD610" s="6"/>
    </row>
    <row r="611" spans="6:30">
      <c r="F611" s="6"/>
      <c r="L611" s="6"/>
      <c r="R611" s="6"/>
      <c r="X611" s="6"/>
      <c r="AD611" s="6"/>
    </row>
    <row r="612" spans="6:30">
      <c r="F612" s="6"/>
      <c r="L612" s="6"/>
      <c r="R612" s="6"/>
      <c r="X612" s="6"/>
      <c r="AD612" s="6"/>
    </row>
    <row r="613" spans="6:30">
      <c r="F613" s="6"/>
      <c r="L613" s="6"/>
      <c r="R613" s="6"/>
      <c r="X613" s="6"/>
      <c r="AD613" s="6"/>
    </row>
    <row r="614" spans="6:30">
      <c r="F614" s="6"/>
      <c r="L614" s="6"/>
      <c r="R614" s="6"/>
      <c r="X614" s="6"/>
      <c r="AD614" s="6"/>
    </row>
    <row r="615" spans="6:30">
      <c r="F615" s="6"/>
      <c r="L615" s="6"/>
      <c r="R615" s="6"/>
      <c r="X615" s="6"/>
      <c r="AD615" s="6"/>
    </row>
    <row r="616" spans="6:30">
      <c r="F616" s="6"/>
      <c r="L616" s="6"/>
      <c r="R616" s="6"/>
      <c r="X616" s="6"/>
      <c r="AD616" s="6"/>
    </row>
    <row r="617" spans="6:30">
      <c r="F617" s="6"/>
      <c r="L617" s="6"/>
      <c r="R617" s="6"/>
      <c r="X617" s="6"/>
      <c r="AD617" s="6"/>
    </row>
    <row r="618" spans="6:30">
      <c r="F618" s="6"/>
      <c r="L618" s="6"/>
      <c r="R618" s="6"/>
      <c r="X618" s="6"/>
      <c r="AD618" s="6"/>
    </row>
    <row r="619" spans="6:30">
      <c r="F619" s="6"/>
      <c r="L619" s="6"/>
      <c r="R619" s="6"/>
      <c r="X619" s="6"/>
      <c r="AD619" s="6"/>
    </row>
    <row r="620" spans="6:30">
      <c r="F620" s="6"/>
      <c r="L620" s="6"/>
      <c r="R620" s="6"/>
      <c r="X620" s="6"/>
      <c r="AD620" s="6"/>
    </row>
    <row r="621" spans="6:30">
      <c r="F621" s="6"/>
      <c r="L621" s="6"/>
      <c r="R621" s="6"/>
      <c r="X621" s="6"/>
      <c r="AD621" s="6"/>
    </row>
    <row r="622" spans="6:30">
      <c r="F622" s="6"/>
      <c r="L622" s="6"/>
      <c r="R622" s="6"/>
      <c r="X622" s="6"/>
      <c r="AD622" s="6"/>
    </row>
    <row r="623" spans="6:30">
      <c r="F623" s="6"/>
      <c r="L623" s="6"/>
      <c r="R623" s="6"/>
      <c r="X623" s="6"/>
      <c r="AD623" s="6"/>
    </row>
    <row r="624" spans="6:30">
      <c r="F624" s="6"/>
      <c r="L624" s="6"/>
      <c r="R624" s="6"/>
      <c r="X624" s="6"/>
      <c r="AD624" s="6"/>
    </row>
    <row r="625" spans="6:30">
      <c r="F625" s="6"/>
      <c r="L625" s="6"/>
      <c r="R625" s="6"/>
      <c r="X625" s="6"/>
      <c r="AD625" s="6"/>
    </row>
    <row r="626" spans="6:30">
      <c r="F626" s="6"/>
      <c r="L626" s="6"/>
      <c r="R626" s="6"/>
      <c r="X626" s="6"/>
      <c r="AD626" s="6"/>
    </row>
    <row r="627" spans="6:30">
      <c r="F627" s="6"/>
      <c r="L627" s="6"/>
      <c r="R627" s="6"/>
      <c r="X627" s="6"/>
      <c r="AD627" s="6"/>
    </row>
    <row r="628" spans="6:30">
      <c r="F628" s="6"/>
      <c r="L628" s="6"/>
      <c r="R628" s="6"/>
      <c r="X628" s="6"/>
      <c r="AD628" s="6"/>
    </row>
    <row r="629" spans="6:30">
      <c r="F629" s="6"/>
      <c r="L629" s="6"/>
      <c r="R629" s="6"/>
      <c r="X629" s="6"/>
      <c r="AD629" s="6"/>
    </row>
    <row r="630" spans="6:30">
      <c r="F630" s="6"/>
      <c r="L630" s="6"/>
      <c r="R630" s="6"/>
      <c r="X630" s="6"/>
      <c r="AD630" s="6"/>
    </row>
    <row r="631" spans="6:30">
      <c r="F631" s="6"/>
      <c r="L631" s="6"/>
      <c r="R631" s="6"/>
      <c r="X631" s="6"/>
      <c r="AD631" s="6"/>
    </row>
    <row r="632" spans="6:30">
      <c r="F632" s="6"/>
      <c r="L632" s="6"/>
      <c r="R632" s="6"/>
      <c r="X632" s="6"/>
      <c r="AD632" s="6"/>
    </row>
    <row r="633" spans="6:30">
      <c r="F633" s="6"/>
      <c r="L633" s="6"/>
      <c r="R633" s="6"/>
      <c r="X633" s="6"/>
      <c r="AD633" s="6"/>
    </row>
    <row r="634" spans="6:30">
      <c r="F634" s="6"/>
      <c r="L634" s="6"/>
      <c r="R634" s="6"/>
      <c r="X634" s="6"/>
      <c r="AD634" s="6"/>
    </row>
    <row r="635" spans="6:30">
      <c r="F635" s="6"/>
      <c r="L635" s="6"/>
      <c r="R635" s="6"/>
      <c r="X635" s="6"/>
      <c r="AD635" s="6"/>
    </row>
    <row r="636" spans="6:30">
      <c r="F636" s="6"/>
      <c r="L636" s="6"/>
      <c r="R636" s="6"/>
      <c r="X636" s="6"/>
      <c r="AD636" s="6"/>
    </row>
    <row r="637" spans="6:30">
      <c r="F637" s="6"/>
      <c r="L637" s="6"/>
      <c r="R637" s="6"/>
      <c r="X637" s="6"/>
      <c r="AD637" s="6"/>
    </row>
    <row r="638" spans="6:30">
      <c r="F638" s="6"/>
      <c r="L638" s="6"/>
      <c r="R638" s="6"/>
      <c r="X638" s="6"/>
      <c r="AD638" s="6"/>
    </row>
    <row r="639" spans="6:30">
      <c r="F639" s="6"/>
      <c r="L639" s="6"/>
      <c r="R639" s="6"/>
      <c r="X639" s="6"/>
      <c r="AD639" s="6"/>
    </row>
    <row r="640" spans="6:30">
      <c r="F640" s="6"/>
      <c r="L640" s="6"/>
      <c r="R640" s="6"/>
      <c r="X640" s="6"/>
      <c r="AD640" s="6"/>
    </row>
    <row r="641" spans="6:30">
      <c r="F641" s="6"/>
      <c r="L641" s="6"/>
      <c r="R641" s="6"/>
      <c r="X641" s="6"/>
      <c r="AD641" s="6"/>
    </row>
    <row r="642" spans="6:30">
      <c r="F642" s="6"/>
      <c r="L642" s="6"/>
      <c r="R642" s="6"/>
      <c r="X642" s="6"/>
      <c r="AD642" s="6"/>
    </row>
    <row r="643" spans="6:30">
      <c r="F643" s="6"/>
      <c r="L643" s="6"/>
      <c r="R643" s="6"/>
      <c r="X643" s="6"/>
      <c r="AD643" s="6"/>
    </row>
    <row r="644" spans="6:30">
      <c r="F644" s="6"/>
      <c r="L644" s="6"/>
      <c r="R644" s="6"/>
      <c r="X644" s="6"/>
      <c r="AD644" s="6"/>
    </row>
    <row r="645" spans="6:30">
      <c r="F645" s="6"/>
      <c r="L645" s="6"/>
      <c r="R645" s="6"/>
      <c r="X645" s="6"/>
      <c r="AD645" s="6"/>
    </row>
    <row r="646" spans="6:30">
      <c r="F646" s="6"/>
      <c r="L646" s="6"/>
      <c r="R646" s="6"/>
      <c r="X646" s="6"/>
      <c r="AD646" s="6"/>
    </row>
    <row r="647" spans="6:30">
      <c r="F647" s="6"/>
      <c r="L647" s="6"/>
      <c r="R647" s="6"/>
      <c r="X647" s="6"/>
      <c r="AD647" s="6"/>
    </row>
    <row r="648" spans="6:30">
      <c r="F648" s="6"/>
      <c r="L648" s="6"/>
      <c r="R648" s="6"/>
      <c r="X648" s="6"/>
      <c r="AD648" s="6"/>
    </row>
    <row r="649" spans="6:30">
      <c r="F649" s="6"/>
      <c r="L649" s="6"/>
      <c r="R649" s="6"/>
      <c r="X649" s="6"/>
      <c r="AD649" s="6"/>
    </row>
    <row r="650" spans="6:30">
      <c r="F650" s="6"/>
      <c r="L650" s="6"/>
      <c r="R650" s="6"/>
      <c r="X650" s="6"/>
      <c r="AD650" s="6"/>
    </row>
    <row r="651" spans="6:30">
      <c r="F651" s="6"/>
      <c r="L651" s="6"/>
      <c r="R651" s="6"/>
      <c r="X651" s="6"/>
      <c r="AD651" s="6"/>
    </row>
    <row r="652" spans="6:30">
      <c r="F652" s="6"/>
      <c r="L652" s="6"/>
      <c r="R652" s="6"/>
      <c r="X652" s="6"/>
      <c r="AD652" s="6"/>
    </row>
    <row r="653" spans="6:30">
      <c r="F653" s="6"/>
      <c r="L653" s="6"/>
      <c r="R653" s="6"/>
      <c r="X653" s="6"/>
      <c r="AD653" s="6"/>
    </row>
    <row r="654" spans="6:30">
      <c r="F654" s="6"/>
      <c r="L654" s="6"/>
      <c r="R654" s="6"/>
      <c r="X654" s="6"/>
      <c r="AD654" s="6"/>
    </row>
    <row r="655" spans="6:30">
      <c r="F655" s="6"/>
      <c r="L655" s="6"/>
      <c r="R655" s="6"/>
      <c r="X655" s="6"/>
      <c r="AD655" s="6"/>
    </row>
    <row r="656" spans="6:30">
      <c r="F656" s="6"/>
      <c r="L656" s="6"/>
      <c r="R656" s="6"/>
      <c r="X656" s="6"/>
      <c r="AD656" s="6"/>
    </row>
    <row r="657" spans="6:30">
      <c r="F657" s="6"/>
      <c r="L657" s="6"/>
      <c r="R657" s="6"/>
      <c r="X657" s="6"/>
      <c r="AD657" s="6"/>
    </row>
    <row r="658" spans="6:30">
      <c r="F658" s="6"/>
      <c r="L658" s="6"/>
      <c r="R658" s="6"/>
      <c r="X658" s="6"/>
      <c r="AD658" s="6"/>
    </row>
    <row r="659" spans="6:30">
      <c r="F659" s="6"/>
      <c r="L659" s="6"/>
      <c r="R659" s="6"/>
      <c r="X659" s="6"/>
      <c r="AD659" s="6"/>
    </row>
    <row r="660" spans="6:30">
      <c r="F660" s="6"/>
      <c r="L660" s="6"/>
      <c r="R660" s="6"/>
      <c r="X660" s="6"/>
      <c r="AD660" s="6"/>
    </row>
    <row r="661" spans="6:30">
      <c r="F661" s="6"/>
      <c r="L661" s="6"/>
      <c r="R661" s="6"/>
      <c r="X661" s="6"/>
      <c r="AD661" s="6"/>
    </row>
    <row r="662" spans="6:30">
      <c r="F662" s="6"/>
      <c r="L662" s="6"/>
      <c r="R662" s="6"/>
      <c r="X662" s="6"/>
      <c r="AD662" s="6"/>
    </row>
    <row r="663" spans="6:30">
      <c r="F663" s="6"/>
      <c r="L663" s="6"/>
      <c r="R663" s="6"/>
      <c r="X663" s="6"/>
      <c r="AD663" s="6"/>
    </row>
    <row r="664" spans="6:30">
      <c r="F664" s="6"/>
      <c r="L664" s="6"/>
      <c r="R664" s="6"/>
      <c r="X664" s="6"/>
      <c r="AD664" s="6"/>
    </row>
    <row r="665" spans="6:30">
      <c r="F665" s="6"/>
      <c r="L665" s="6"/>
      <c r="R665" s="6"/>
      <c r="X665" s="6"/>
      <c r="AD665" s="6"/>
    </row>
    <row r="666" spans="6:30">
      <c r="F666" s="6"/>
      <c r="L666" s="6"/>
      <c r="R666" s="6"/>
      <c r="X666" s="6"/>
      <c r="AD666" s="6"/>
    </row>
    <row r="667" spans="6:30">
      <c r="F667" s="6"/>
      <c r="L667" s="6"/>
      <c r="R667" s="6"/>
      <c r="X667" s="6"/>
      <c r="AD667" s="6"/>
    </row>
    <row r="668" spans="6:30">
      <c r="F668" s="6"/>
      <c r="L668" s="6"/>
      <c r="R668" s="6"/>
      <c r="X668" s="6"/>
      <c r="AD668" s="6"/>
    </row>
    <row r="669" spans="6:30">
      <c r="F669" s="6"/>
      <c r="L669" s="6"/>
      <c r="R669" s="6"/>
      <c r="X669" s="6"/>
      <c r="AD669" s="6"/>
    </row>
    <row r="670" spans="6:30">
      <c r="F670" s="6"/>
      <c r="L670" s="6"/>
      <c r="R670" s="6"/>
      <c r="X670" s="6"/>
      <c r="AD670" s="6"/>
    </row>
    <row r="671" spans="6:30">
      <c r="F671" s="6"/>
      <c r="L671" s="6"/>
      <c r="R671" s="6"/>
      <c r="X671" s="6"/>
      <c r="AD671" s="6"/>
    </row>
    <row r="672" spans="6:30">
      <c r="F672" s="6"/>
      <c r="L672" s="6"/>
      <c r="R672" s="6"/>
      <c r="X672" s="6"/>
      <c r="AD672" s="6"/>
    </row>
    <row r="673" spans="6:30">
      <c r="F673" s="6"/>
      <c r="L673" s="6"/>
      <c r="R673" s="6"/>
      <c r="X673" s="6"/>
      <c r="AD673" s="6"/>
    </row>
    <row r="674" spans="6:30">
      <c r="F674" s="6"/>
      <c r="L674" s="6"/>
      <c r="R674" s="6"/>
      <c r="X674" s="6"/>
      <c r="AD674" s="6"/>
    </row>
    <row r="675" spans="6:30">
      <c r="F675" s="6"/>
      <c r="L675" s="6"/>
      <c r="R675" s="6"/>
      <c r="X675" s="6"/>
      <c r="AD675" s="6"/>
    </row>
    <row r="676" spans="6:30">
      <c r="F676" s="6"/>
      <c r="L676" s="6"/>
      <c r="R676" s="6"/>
      <c r="X676" s="6"/>
      <c r="AD676" s="6"/>
    </row>
    <row r="677" spans="6:30">
      <c r="F677" s="6"/>
      <c r="L677" s="6"/>
      <c r="R677" s="6"/>
      <c r="X677" s="6"/>
      <c r="AD677" s="6"/>
    </row>
    <row r="678" spans="6:30">
      <c r="F678" s="6"/>
      <c r="L678" s="6"/>
      <c r="R678" s="6"/>
      <c r="X678" s="6"/>
      <c r="AD678" s="6"/>
    </row>
    <row r="679" spans="6:30">
      <c r="F679" s="6"/>
      <c r="L679" s="6"/>
      <c r="R679" s="6"/>
      <c r="X679" s="6"/>
      <c r="AD679" s="6"/>
    </row>
    <row r="680" spans="6:30">
      <c r="F680" s="6"/>
      <c r="L680" s="6"/>
      <c r="R680" s="6"/>
      <c r="X680" s="6"/>
      <c r="AD680" s="6"/>
    </row>
    <row r="681" spans="6:30">
      <c r="F681" s="6"/>
      <c r="L681" s="6"/>
      <c r="R681" s="6"/>
      <c r="X681" s="6"/>
      <c r="AD681" s="6"/>
    </row>
    <row r="682" spans="6:30">
      <c r="F682" s="6"/>
      <c r="L682" s="6"/>
      <c r="R682" s="6"/>
      <c r="X682" s="6"/>
      <c r="AD682" s="6"/>
    </row>
    <row r="683" spans="6:30">
      <c r="F683" s="6"/>
      <c r="L683" s="6"/>
      <c r="R683" s="6"/>
      <c r="X683" s="6"/>
      <c r="AD683" s="6"/>
    </row>
    <row r="684" spans="6:30">
      <c r="F684" s="6"/>
      <c r="L684" s="6"/>
      <c r="R684" s="6"/>
      <c r="X684" s="6"/>
      <c r="AD684" s="6"/>
    </row>
    <row r="685" spans="6:30">
      <c r="F685" s="6"/>
      <c r="L685" s="6"/>
      <c r="R685" s="6"/>
      <c r="X685" s="6"/>
      <c r="AD685" s="6"/>
    </row>
    <row r="686" spans="6:30">
      <c r="F686" s="6"/>
      <c r="L686" s="6"/>
      <c r="R686" s="6"/>
      <c r="X686" s="6"/>
      <c r="AD686" s="6"/>
    </row>
    <row r="687" spans="6:30">
      <c r="F687" s="6"/>
      <c r="L687" s="6"/>
      <c r="R687" s="6"/>
      <c r="X687" s="6"/>
      <c r="AD687" s="6"/>
    </row>
    <row r="688" spans="6:30">
      <c r="F688" s="6"/>
      <c r="L688" s="6"/>
      <c r="R688" s="6"/>
      <c r="X688" s="6"/>
      <c r="AD688" s="6"/>
    </row>
    <row r="689" spans="6:30">
      <c r="F689" s="6"/>
      <c r="L689" s="6"/>
      <c r="R689" s="6"/>
      <c r="X689" s="6"/>
      <c r="AD689" s="6"/>
    </row>
    <row r="690" spans="6:30">
      <c r="F690" s="6"/>
      <c r="L690" s="6"/>
      <c r="R690" s="6"/>
      <c r="X690" s="6"/>
      <c r="AD690" s="6"/>
    </row>
    <row r="691" spans="6:30">
      <c r="F691" s="6"/>
      <c r="L691" s="6"/>
      <c r="R691" s="6"/>
      <c r="X691" s="6"/>
      <c r="AD691" s="6"/>
    </row>
    <row r="692" spans="6:30">
      <c r="F692" s="6"/>
      <c r="L692" s="6"/>
      <c r="R692" s="6"/>
      <c r="X692" s="6"/>
      <c r="AD692" s="6"/>
    </row>
    <row r="693" spans="6:30">
      <c r="F693" s="6"/>
      <c r="L693" s="6"/>
      <c r="R693" s="6"/>
      <c r="X693" s="6"/>
      <c r="AD693" s="6"/>
    </row>
    <row r="694" spans="6:30">
      <c r="F694" s="6"/>
      <c r="L694" s="6"/>
      <c r="R694" s="6"/>
      <c r="X694" s="6"/>
      <c r="AD694" s="6"/>
    </row>
    <row r="695" spans="6:30">
      <c r="F695" s="6"/>
      <c r="L695" s="6"/>
      <c r="R695" s="6"/>
      <c r="X695" s="6"/>
      <c r="AD695" s="6"/>
    </row>
    <row r="696" spans="6:30">
      <c r="F696" s="6"/>
      <c r="L696" s="6"/>
      <c r="R696" s="6"/>
      <c r="X696" s="6"/>
      <c r="AD696" s="6"/>
    </row>
    <row r="697" spans="6:30">
      <c r="F697" s="6"/>
      <c r="L697" s="6"/>
      <c r="R697" s="6"/>
      <c r="X697" s="6"/>
      <c r="AD697" s="6"/>
    </row>
    <row r="698" spans="6:30">
      <c r="F698" s="6"/>
      <c r="L698" s="6"/>
      <c r="R698" s="6"/>
      <c r="X698" s="6"/>
      <c r="AD698" s="6"/>
    </row>
    <row r="699" spans="6:30">
      <c r="F699" s="6"/>
      <c r="L699" s="6"/>
      <c r="R699" s="6"/>
      <c r="X699" s="6"/>
      <c r="AD699" s="6"/>
    </row>
    <row r="700" spans="6:30">
      <c r="F700" s="6"/>
      <c r="L700" s="6"/>
      <c r="R700" s="6"/>
      <c r="X700" s="6"/>
      <c r="AD700" s="6"/>
    </row>
    <row r="701" spans="6:30">
      <c r="F701" s="6"/>
      <c r="L701" s="6"/>
      <c r="R701" s="6"/>
      <c r="X701" s="6"/>
      <c r="AD701" s="6"/>
    </row>
    <row r="702" spans="6:30">
      <c r="F702" s="6"/>
      <c r="L702" s="6"/>
      <c r="R702" s="6"/>
      <c r="X702" s="6"/>
      <c r="AD702" s="6"/>
    </row>
    <row r="703" spans="6:30">
      <c r="F703" s="6"/>
      <c r="L703" s="6"/>
      <c r="R703" s="6"/>
      <c r="X703" s="6"/>
      <c r="AD703" s="6"/>
    </row>
    <row r="704" spans="6:30">
      <c r="F704" s="6"/>
      <c r="L704" s="6"/>
      <c r="R704" s="6"/>
      <c r="X704" s="6"/>
      <c r="AD704" s="6"/>
    </row>
    <row r="705" spans="6:30">
      <c r="F705" s="6"/>
      <c r="L705" s="6"/>
      <c r="R705" s="6"/>
      <c r="X705" s="6"/>
      <c r="AD705" s="6"/>
    </row>
    <row r="706" spans="6:30">
      <c r="F706" s="6"/>
      <c r="L706" s="6"/>
      <c r="R706" s="6"/>
      <c r="X706" s="6"/>
      <c r="AD706" s="6"/>
    </row>
    <row r="707" spans="6:30">
      <c r="F707" s="6"/>
      <c r="L707" s="6"/>
      <c r="R707" s="6"/>
      <c r="X707" s="6"/>
      <c r="AD707" s="6"/>
    </row>
    <row r="708" spans="6:30">
      <c r="F708" s="6"/>
      <c r="L708" s="6"/>
      <c r="R708" s="6"/>
      <c r="X708" s="6"/>
      <c r="AD708" s="6"/>
    </row>
    <row r="709" spans="6:30">
      <c r="F709" s="6"/>
      <c r="L709" s="6"/>
      <c r="R709" s="6"/>
      <c r="X709" s="6"/>
      <c r="AD709" s="6"/>
    </row>
    <row r="710" spans="6:30">
      <c r="F710" s="6"/>
      <c r="L710" s="6"/>
      <c r="R710" s="6"/>
      <c r="X710" s="6"/>
      <c r="AD710" s="6"/>
    </row>
    <row r="711" spans="6:30">
      <c r="F711" s="6"/>
      <c r="L711" s="6"/>
      <c r="R711" s="6"/>
      <c r="X711" s="6"/>
      <c r="AD711" s="6"/>
    </row>
    <row r="712" spans="6:30">
      <c r="F712" s="6"/>
      <c r="L712" s="6"/>
      <c r="R712" s="6"/>
      <c r="X712" s="6"/>
      <c r="AD712" s="6"/>
    </row>
    <row r="713" spans="6:30">
      <c r="F713" s="6"/>
      <c r="L713" s="6"/>
      <c r="R713" s="6"/>
      <c r="X713" s="6"/>
      <c r="AD713" s="6"/>
    </row>
    <row r="714" spans="6:30">
      <c r="F714" s="6"/>
      <c r="L714" s="6"/>
      <c r="R714" s="6"/>
      <c r="X714" s="6"/>
      <c r="AD714" s="6"/>
    </row>
    <row r="715" spans="6:30">
      <c r="F715" s="6"/>
      <c r="L715" s="6"/>
      <c r="R715" s="6"/>
      <c r="X715" s="6"/>
      <c r="AD715" s="6"/>
    </row>
    <row r="716" spans="6:30">
      <c r="F716" s="6"/>
      <c r="L716" s="6"/>
      <c r="R716" s="6"/>
      <c r="X716" s="6"/>
      <c r="AD716" s="6"/>
    </row>
    <row r="717" spans="6:30">
      <c r="F717" s="6"/>
      <c r="L717" s="6"/>
      <c r="R717" s="6"/>
      <c r="X717" s="6"/>
      <c r="AD717" s="6"/>
    </row>
    <row r="718" spans="6:30">
      <c r="F718" s="6"/>
      <c r="L718" s="6"/>
      <c r="R718" s="6"/>
      <c r="X718" s="6"/>
      <c r="AD718" s="6"/>
    </row>
    <row r="719" spans="6:30">
      <c r="F719" s="6"/>
      <c r="L719" s="6"/>
      <c r="R719" s="6"/>
      <c r="X719" s="6"/>
      <c r="AD719" s="6"/>
    </row>
    <row r="720" spans="6:30">
      <c r="F720" s="6"/>
      <c r="L720" s="6"/>
      <c r="R720" s="6"/>
      <c r="X720" s="6"/>
      <c r="AD720" s="6"/>
    </row>
    <row r="721" spans="6:30">
      <c r="F721" s="6"/>
      <c r="L721" s="6"/>
      <c r="R721" s="6"/>
      <c r="X721" s="6"/>
      <c r="AD721" s="6"/>
    </row>
    <row r="722" spans="6:30">
      <c r="F722" s="6"/>
      <c r="L722" s="6"/>
      <c r="R722" s="6"/>
      <c r="X722" s="6"/>
      <c r="AD722" s="6"/>
    </row>
    <row r="723" spans="6:30">
      <c r="F723" s="6"/>
      <c r="L723" s="6"/>
      <c r="R723" s="6"/>
      <c r="X723" s="6"/>
      <c r="AD723" s="6"/>
    </row>
    <row r="724" spans="6:30">
      <c r="F724" s="6"/>
      <c r="L724" s="6"/>
      <c r="R724" s="6"/>
      <c r="X724" s="6"/>
      <c r="AD724" s="6"/>
    </row>
    <row r="725" spans="6:30">
      <c r="F725" s="6"/>
      <c r="L725" s="6"/>
      <c r="R725" s="6"/>
      <c r="X725" s="6"/>
      <c r="AD725" s="6"/>
    </row>
    <row r="726" spans="6:30">
      <c r="F726" s="6"/>
      <c r="L726" s="6"/>
      <c r="R726" s="6"/>
      <c r="X726" s="6"/>
      <c r="AD726" s="6"/>
    </row>
    <row r="727" spans="6:30">
      <c r="F727" s="6"/>
      <c r="L727" s="6"/>
      <c r="R727" s="6"/>
      <c r="X727" s="6"/>
      <c r="AD727" s="6"/>
    </row>
    <row r="728" spans="6:30">
      <c r="F728" s="6"/>
      <c r="L728" s="6"/>
      <c r="R728" s="6"/>
      <c r="X728" s="6"/>
      <c r="AD728" s="6"/>
    </row>
    <row r="729" spans="6:30">
      <c r="F729" s="6"/>
      <c r="L729" s="6"/>
      <c r="R729" s="6"/>
      <c r="X729" s="6"/>
      <c r="AD729" s="6"/>
    </row>
    <row r="730" spans="6:30">
      <c r="F730" s="6"/>
      <c r="L730" s="6"/>
      <c r="R730" s="6"/>
      <c r="X730" s="6"/>
      <c r="AD730" s="6"/>
    </row>
    <row r="731" spans="6:30">
      <c r="F731" s="6"/>
      <c r="L731" s="6"/>
      <c r="R731" s="6"/>
      <c r="X731" s="6"/>
      <c r="AD731" s="6"/>
    </row>
    <row r="732" spans="6:30">
      <c r="F732" s="6"/>
      <c r="L732" s="6"/>
      <c r="R732" s="6"/>
      <c r="X732" s="6"/>
      <c r="AD732" s="6"/>
    </row>
    <row r="733" spans="6:30">
      <c r="F733" s="6"/>
      <c r="L733" s="6"/>
      <c r="R733" s="6"/>
      <c r="X733" s="6"/>
      <c r="AD733" s="6"/>
    </row>
    <row r="734" spans="6:30">
      <c r="F734" s="6"/>
      <c r="L734" s="6"/>
      <c r="R734" s="6"/>
      <c r="X734" s="6"/>
      <c r="AD734" s="6"/>
    </row>
    <row r="735" spans="6:30">
      <c r="F735" s="6"/>
      <c r="L735" s="6"/>
      <c r="R735" s="6"/>
      <c r="X735" s="6"/>
      <c r="AD735" s="6"/>
    </row>
    <row r="736" spans="6:30">
      <c r="F736" s="6"/>
      <c r="L736" s="6"/>
      <c r="R736" s="6"/>
      <c r="X736" s="6"/>
      <c r="AD736" s="6"/>
    </row>
    <row r="737" spans="6:30">
      <c r="F737" s="6"/>
      <c r="L737" s="6"/>
      <c r="R737" s="6"/>
      <c r="X737" s="6"/>
      <c r="AD737" s="6"/>
    </row>
    <row r="738" spans="6:30">
      <c r="F738" s="6"/>
      <c r="L738" s="6"/>
      <c r="R738" s="6"/>
      <c r="X738" s="6"/>
      <c r="AD738" s="6"/>
    </row>
    <row r="739" spans="6:30">
      <c r="F739" s="6"/>
      <c r="L739" s="6"/>
      <c r="R739" s="6"/>
      <c r="X739" s="6"/>
      <c r="AD739" s="6"/>
    </row>
    <row r="740" spans="6:30">
      <c r="F740" s="6"/>
      <c r="L740" s="6"/>
      <c r="R740" s="6"/>
      <c r="X740" s="6"/>
      <c r="AD740" s="6"/>
    </row>
    <row r="741" spans="6:30">
      <c r="F741" s="6"/>
      <c r="L741" s="6"/>
      <c r="R741" s="6"/>
      <c r="X741" s="6"/>
      <c r="AD741" s="6"/>
    </row>
    <row r="742" spans="6:30">
      <c r="F742" s="6"/>
      <c r="L742" s="6"/>
      <c r="R742" s="6"/>
      <c r="X742" s="6"/>
      <c r="AD742" s="6"/>
    </row>
    <row r="743" spans="6:30">
      <c r="F743" s="6"/>
      <c r="L743" s="6"/>
      <c r="R743" s="6"/>
      <c r="X743" s="6"/>
      <c r="AD743" s="6"/>
    </row>
    <row r="744" spans="6:30">
      <c r="F744" s="6"/>
      <c r="L744" s="6"/>
      <c r="R744" s="6"/>
      <c r="X744" s="6"/>
      <c r="AD744" s="6"/>
    </row>
    <row r="745" spans="6:30">
      <c r="F745" s="6"/>
      <c r="L745" s="6"/>
      <c r="R745" s="6"/>
      <c r="X745" s="6"/>
      <c r="AD745" s="6"/>
    </row>
    <row r="746" spans="6:30">
      <c r="F746" s="6"/>
      <c r="L746" s="6"/>
      <c r="R746" s="6"/>
      <c r="X746" s="6"/>
      <c r="AD746" s="6"/>
    </row>
    <row r="747" spans="6:30">
      <c r="F747" s="6"/>
      <c r="L747" s="6"/>
      <c r="R747" s="6"/>
      <c r="X747" s="6"/>
      <c r="AD747" s="6"/>
    </row>
    <row r="748" spans="6:30">
      <c r="F748" s="6"/>
      <c r="L748" s="6"/>
      <c r="R748" s="6"/>
      <c r="X748" s="6"/>
      <c r="AD748" s="6"/>
    </row>
    <row r="749" spans="6:30">
      <c r="F749" s="6"/>
      <c r="L749" s="6"/>
      <c r="R749" s="6"/>
      <c r="X749" s="6"/>
      <c r="AD749" s="6"/>
    </row>
    <row r="750" spans="6:30">
      <c r="F750" s="6"/>
      <c r="L750" s="6"/>
      <c r="R750" s="6"/>
      <c r="X750" s="6"/>
      <c r="AD750" s="6"/>
    </row>
    <row r="751" spans="6:30">
      <c r="F751" s="6"/>
      <c r="L751" s="6"/>
      <c r="R751" s="6"/>
      <c r="X751" s="6"/>
      <c r="AD751" s="6"/>
    </row>
    <row r="752" spans="6:30">
      <c r="F752" s="6"/>
      <c r="L752" s="6"/>
      <c r="R752" s="6"/>
      <c r="X752" s="6"/>
      <c r="AD752" s="6"/>
    </row>
    <row r="753" spans="6:30">
      <c r="F753" s="6"/>
      <c r="L753" s="6"/>
      <c r="R753" s="6"/>
      <c r="X753" s="6"/>
      <c r="AD753" s="6"/>
    </row>
    <row r="754" spans="6:30">
      <c r="F754" s="6"/>
      <c r="L754" s="6"/>
      <c r="R754" s="6"/>
      <c r="X754" s="6"/>
      <c r="AD754" s="6"/>
    </row>
    <row r="755" spans="6:30">
      <c r="F755" s="6"/>
      <c r="L755" s="6"/>
      <c r="R755" s="6"/>
      <c r="X755" s="6"/>
      <c r="AD755" s="6"/>
    </row>
    <row r="756" spans="6:30">
      <c r="F756" s="6"/>
      <c r="L756" s="6"/>
      <c r="R756" s="6"/>
      <c r="X756" s="6"/>
      <c r="AD756" s="6"/>
    </row>
    <row r="757" spans="6:30">
      <c r="F757" s="6"/>
      <c r="L757" s="6"/>
      <c r="R757" s="6"/>
      <c r="X757" s="6"/>
      <c r="AD757" s="6"/>
    </row>
    <row r="758" spans="6:30">
      <c r="F758" s="6"/>
      <c r="L758" s="6"/>
      <c r="R758" s="6"/>
      <c r="X758" s="6"/>
      <c r="AD758" s="6"/>
    </row>
    <row r="759" spans="6:30">
      <c r="F759" s="6"/>
      <c r="L759" s="6"/>
      <c r="R759" s="6"/>
      <c r="X759" s="6"/>
      <c r="AD759" s="6"/>
    </row>
    <row r="760" spans="6:30">
      <c r="F760" s="6"/>
      <c r="L760" s="6"/>
      <c r="R760" s="6"/>
      <c r="X760" s="6"/>
      <c r="AD760" s="6"/>
    </row>
    <row r="761" spans="6:30">
      <c r="F761" s="6"/>
      <c r="L761" s="6"/>
      <c r="R761" s="6"/>
      <c r="X761" s="6"/>
      <c r="AD761" s="6"/>
    </row>
    <row r="762" spans="6:30">
      <c r="F762" s="6"/>
      <c r="L762" s="6"/>
      <c r="R762" s="6"/>
      <c r="X762" s="6"/>
      <c r="AD762" s="6"/>
    </row>
    <row r="763" spans="6:30">
      <c r="F763" s="6"/>
      <c r="L763" s="6"/>
      <c r="R763" s="6"/>
      <c r="X763" s="6"/>
      <c r="AD763" s="6"/>
    </row>
    <row r="764" spans="6:30">
      <c r="F764" s="6"/>
      <c r="L764" s="6"/>
      <c r="R764" s="6"/>
      <c r="X764" s="6"/>
      <c r="AD764" s="6"/>
    </row>
    <row r="765" spans="6:30">
      <c r="F765" s="6"/>
      <c r="L765" s="6"/>
      <c r="R765" s="6"/>
      <c r="X765" s="6"/>
      <c r="AD765" s="6"/>
    </row>
    <row r="766" spans="6:30">
      <c r="F766" s="6"/>
      <c r="L766" s="6"/>
      <c r="R766" s="6"/>
      <c r="X766" s="6"/>
      <c r="AD766" s="6"/>
    </row>
    <row r="767" spans="6:30">
      <c r="F767" s="6"/>
      <c r="L767" s="6"/>
      <c r="R767" s="6"/>
      <c r="X767" s="6"/>
      <c r="AD767" s="6"/>
    </row>
    <row r="768" spans="6:30">
      <c r="F768" s="6"/>
      <c r="L768" s="6"/>
      <c r="R768" s="6"/>
      <c r="X768" s="6"/>
      <c r="AD768" s="6"/>
    </row>
    <row r="769" spans="6:30">
      <c r="F769" s="6"/>
      <c r="L769" s="6"/>
      <c r="R769" s="6"/>
      <c r="X769" s="6"/>
      <c r="AD769" s="6"/>
    </row>
    <row r="770" spans="6:30">
      <c r="F770" s="6"/>
      <c r="L770" s="6"/>
      <c r="R770" s="6"/>
      <c r="X770" s="6"/>
      <c r="AD770" s="6"/>
    </row>
    <row r="771" spans="6:30">
      <c r="F771" s="6"/>
      <c r="L771" s="6"/>
      <c r="R771" s="6"/>
      <c r="X771" s="6"/>
      <c r="AD771" s="6"/>
    </row>
    <row r="772" spans="6:30">
      <c r="F772" s="6"/>
      <c r="L772" s="6"/>
      <c r="R772" s="6"/>
      <c r="X772" s="6"/>
      <c r="AD772" s="6"/>
    </row>
    <row r="773" spans="6:30">
      <c r="F773" s="6"/>
      <c r="L773" s="6"/>
      <c r="R773" s="6"/>
      <c r="X773" s="6"/>
      <c r="AD773" s="6"/>
    </row>
    <row r="774" spans="6:30">
      <c r="F774" s="6"/>
      <c r="L774" s="6"/>
      <c r="R774" s="6"/>
      <c r="X774" s="6"/>
      <c r="AD774" s="6"/>
    </row>
    <row r="775" spans="6:30">
      <c r="F775" s="6"/>
      <c r="L775" s="6"/>
      <c r="R775" s="6"/>
      <c r="X775" s="6"/>
      <c r="AD775" s="6"/>
    </row>
    <row r="776" spans="6:30">
      <c r="F776" s="6"/>
      <c r="L776" s="6"/>
      <c r="R776" s="6"/>
      <c r="X776" s="6"/>
      <c r="AD776" s="6"/>
    </row>
    <row r="777" spans="6:30">
      <c r="F777" s="6"/>
      <c r="L777" s="6"/>
      <c r="R777" s="6"/>
      <c r="X777" s="6"/>
      <c r="AD777" s="6"/>
    </row>
    <row r="778" spans="6:30">
      <c r="F778" s="6"/>
      <c r="L778" s="6"/>
      <c r="R778" s="6"/>
      <c r="X778" s="6"/>
      <c r="AD778" s="6"/>
    </row>
    <row r="779" spans="6:30">
      <c r="F779" s="6"/>
      <c r="L779" s="6"/>
      <c r="R779" s="6"/>
      <c r="X779" s="6"/>
      <c r="AD779" s="6"/>
    </row>
    <row r="780" spans="6:30">
      <c r="F780" s="6"/>
      <c r="L780" s="6"/>
      <c r="R780" s="6"/>
      <c r="X780" s="6"/>
      <c r="AD780" s="6"/>
    </row>
    <row r="781" spans="6:30">
      <c r="F781" s="6"/>
      <c r="L781" s="6"/>
      <c r="R781" s="6"/>
      <c r="X781" s="6"/>
      <c r="AD781" s="6"/>
    </row>
    <row r="782" spans="6:30">
      <c r="F782" s="6"/>
      <c r="L782" s="6"/>
      <c r="R782" s="6"/>
      <c r="X782" s="6"/>
      <c r="AD782" s="6"/>
    </row>
    <row r="783" spans="6:30">
      <c r="F783" s="6"/>
      <c r="L783" s="6"/>
      <c r="R783" s="6"/>
      <c r="X783" s="6"/>
      <c r="AD783" s="6"/>
    </row>
    <row r="784" spans="6:30">
      <c r="F784" s="6"/>
      <c r="L784" s="6"/>
      <c r="R784" s="6"/>
      <c r="X784" s="6"/>
      <c r="AD784" s="6"/>
    </row>
    <row r="785" spans="6:30">
      <c r="F785" s="6"/>
      <c r="L785" s="6"/>
      <c r="R785" s="6"/>
      <c r="X785" s="6"/>
      <c r="AD785" s="6"/>
    </row>
    <row r="786" spans="6:30">
      <c r="F786" s="6"/>
      <c r="L786" s="6"/>
      <c r="R786" s="6"/>
      <c r="X786" s="6"/>
      <c r="AD786" s="6"/>
    </row>
    <row r="787" spans="6:30">
      <c r="F787" s="6"/>
      <c r="L787" s="6"/>
      <c r="R787" s="6"/>
      <c r="X787" s="6"/>
      <c r="AD787" s="6"/>
    </row>
    <row r="788" spans="6:30">
      <c r="F788" s="6"/>
      <c r="L788" s="6"/>
      <c r="R788" s="6"/>
      <c r="X788" s="6"/>
      <c r="AD788" s="6"/>
    </row>
    <row r="789" spans="6:30">
      <c r="F789" s="6"/>
      <c r="L789" s="6"/>
      <c r="R789" s="6"/>
      <c r="X789" s="6"/>
      <c r="AD789" s="6"/>
    </row>
    <row r="790" spans="6:30">
      <c r="F790" s="6"/>
      <c r="L790" s="6"/>
      <c r="R790" s="6"/>
      <c r="X790" s="6"/>
      <c r="AD790" s="6"/>
    </row>
    <row r="791" spans="6:30">
      <c r="F791" s="6"/>
      <c r="L791" s="6"/>
      <c r="R791" s="6"/>
      <c r="X791" s="6"/>
      <c r="AD791" s="6"/>
    </row>
    <row r="792" spans="6:30">
      <c r="F792" s="6"/>
      <c r="L792" s="6"/>
      <c r="R792" s="6"/>
      <c r="X792" s="6"/>
      <c r="AD792" s="6"/>
    </row>
    <row r="793" spans="6:30">
      <c r="F793" s="6"/>
      <c r="L793" s="6"/>
      <c r="R793" s="6"/>
      <c r="X793" s="6"/>
      <c r="AD793" s="6"/>
    </row>
    <row r="794" spans="6:30">
      <c r="F794" s="6"/>
      <c r="L794" s="6"/>
      <c r="R794" s="6"/>
      <c r="X794" s="6"/>
      <c r="AD794" s="6"/>
    </row>
    <row r="795" spans="6:30">
      <c r="F795" s="6"/>
      <c r="L795" s="6"/>
      <c r="R795" s="6"/>
      <c r="X795" s="6"/>
      <c r="AD795" s="6"/>
    </row>
    <row r="796" spans="6:30">
      <c r="F796" s="6"/>
      <c r="L796" s="6"/>
      <c r="R796" s="6"/>
      <c r="X796" s="6"/>
      <c r="AD796" s="6"/>
    </row>
    <row r="797" spans="6:30">
      <c r="F797" s="6"/>
      <c r="L797" s="6"/>
      <c r="R797" s="6"/>
      <c r="X797" s="6"/>
      <c r="AD797" s="6"/>
    </row>
    <row r="798" spans="6:30">
      <c r="F798" s="6"/>
      <c r="L798" s="6"/>
      <c r="R798" s="6"/>
      <c r="X798" s="6"/>
      <c r="AD798" s="6"/>
    </row>
    <row r="799" spans="6:30">
      <c r="F799" s="6"/>
      <c r="L799" s="6"/>
      <c r="R799" s="6"/>
      <c r="X799" s="6"/>
      <c r="AD799" s="6"/>
    </row>
    <row r="800" spans="6:30">
      <c r="F800" s="6"/>
      <c r="L800" s="6"/>
      <c r="R800" s="6"/>
      <c r="X800" s="6"/>
      <c r="AD800" s="6"/>
    </row>
    <row r="801" spans="6:30">
      <c r="F801" s="6"/>
      <c r="L801" s="6"/>
      <c r="R801" s="6"/>
      <c r="X801" s="6"/>
      <c r="AD801" s="6"/>
    </row>
    <row r="802" spans="6:30">
      <c r="F802" s="6"/>
      <c r="L802" s="6"/>
      <c r="R802" s="6"/>
      <c r="X802" s="6"/>
      <c r="AD802" s="6"/>
    </row>
    <row r="803" spans="6:30">
      <c r="F803" s="6"/>
      <c r="L803" s="6"/>
      <c r="R803" s="6"/>
      <c r="X803" s="6"/>
      <c r="AD803" s="6"/>
    </row>
    <row r="804" spans="6:30">
      <c r="F804" s="6"/>
      <c r="L804" s="6"/>
      <c r="R804" s="6"/>
      <c r="X804" s="6"/>
      <c r="AD804" s="6"/>
    </row>
    <row r="805" spans="6:30">
      <c r="F805" s="6"/>
      <c r="L805" s="6"/>
      <c r="R805" s="6"/>
      <c r="X805" s="6"/>
      <c r="AD805" s="6"/>
    </row>
    <row r="806" spans="6:30">
      <c r="F806" s="6"/>
      <c r="L806" s="6"/>
      <c r="R806" s="6"/>
      <c r="X806" s="6"/>
      <c r="AD806" s="6"/>
    </row>
    <row r="807" spans="6:30">
      <c r="F807" s="6"/>
      <c r="L807" s="6"/>
      <c r="R807" s="6"/>
      <c r="X807" s="6"/>
      <c r="AD807" s="6"/>
    </row>
    <row r="808" spans="6:30">
      <c r="F808" s="6"/>
      <c r="L808" s="6"/>
      <c r="R808" s="6"/>
      <c r="X808" s="6"/>
      <c r="AD808" s="6"/>
    </row>
    <row r="809" spans="6:30">
      <c r="F809" s="6"/>
      <c r="L809" s="6"/>
      <c r="R809" s="6"/>
      <c r="X809" s="6"/>
      <c r="AD809" s="6"/>
    </row>
    <row r="810" spans="6:30">
      <c r="F810" s="6"/>
      <c r="L810" s="6"/>
      <c r="R810" s="6"/>
      <c r="X810" s="6"/>
      <c r="AD810" s="6"/>
    </row>
    <row r="811" spans="6:30">
      <c r="F811" s="6"/>
      <c r="L811" s="6"/>
      <c r="R811" s="6"/>
      <c r="X811" s="6"/>
      <c r="AD811" s="6"/>
    </row>
    <row r="812" spans="6:30">
      <c r="F812" s="6"/>
      <c r="L812" s="6"/>
      <c r="R812" s="6"/>
      <c r="X812" s="6"/>
      <c r="AD812" s="6"/>
    </row>
    <row r="813" spans="6:30">
      <c r="F813" s="6"/>
      <c r="L813" s="6"/>
      <c r="R813" s="6"/>
      <c r="X813" s="6"/>
      <c r="AD813" s="6"/>
    </row>
    <row r="814" spans="6:30">
      <c r="F814" s="6"/>
      <c r="L814" s="6"/>
      <c r="R814" s="6"/>
      <c r="X814" s="6"/>
      <c r="AD814" s="6"/>
    </row>
    <row r="815" spans="6:30">
      <c r="F815" s="6"/>
      <c r="L815" s="6"/>
      <c r="R815" s="6"/>
      <c r="X815" s="6"/>
      <c r="AD815" s="6"/>
    </row>
    <row r="816" spans="6:30">
      <c r="F816" s="6"/>
      <c r="L816" s="6"/>
      <c r="R816" s="6"/>
      <c r="X816" s="6"/>
      <c r="AD816" s="6"/>
    </row>
    <row r="817" spans="6:30">
      <c r="F817" s="6"/>
      <c r="L817" s="6"/>
      <c r="R817" s="6"/>
      <c r="X817" s="6"/>
      <c r="AD817" s="6"/>
    </row>
    <row r="818" spans="6:30">
      <c r="F818" s="6"/>
      <c r="L818" s="6"/>
      <c r="R818" s="6"/>
      <c r="X818" s="6"/>
      <c r="AD818" s="6"/>
    </row>
    <row r="819" spans="6:30">
      <c r="F819" s="6"/>
      <c r="L819" s="6"/>
      <c r="R819" s="6"/>
      <c r="X819" s="6"/>
      <c r="AD819" s="6"/>
    </row>
    <row r="820" spans="6:30">
      <c r="F820" s="6"/>
      <c r="L820" s="6"/>
      <c r="R820" s="6"/>
      <c r="X820" s="6"/>
      <c r="AD820" s="6"/>
    </row>
    <row r="821" spans="6:30">
      <c r="F821" s="6"/>
      <c r="L821" s="6"/>
      <c r="R821" s="6"/>
      <c r="X821" s="6"/>
      <c r="AD821" s="6"/>
    </row>
    <row r="822" spans="6:30">
      <c r="F822" s="6"/>
      <c r="L822" s="6"/>
      <c r="R822" s="6"/>
      <c r="X822" s="6"/>
      <c r="AD822" s="6"/>
    </row>
    <row r="823" spans="6:30">
      <c r="F823" s="6"/>
      <c r="L823" s="6"/>
      <c r="R823" s="6"/>
      <c r="X823" s="6"/>
      <c r="AD823" s="6"/>
    </row>
    <row r="824" spans="6:30">
      <c r="F824" s="6"/>
      <c r="L824" s="6"/>
      <c r="R824" s="6"/>
      <c r="X824" s="6"/>
      <c r="AD824" s="6"/>
    </row>
    <row r="825" spans="6:30">
      <c r="F825" s="6"/>
      <c r="L825" s="6"/>
      <c r="R825" s="6"/>
      <c r="X825" s="6"/>
      <c r="AD825" s="6"/>
    </row>
    <row r="826" spans="6:30">
      <c r="F826" s="6"/>
      <c r="L826" s="6"/>
      <c r="R826" s="6"/>
      <c r="X826" s="6"/>
      <c r="AD826" s="6"/>
    </row>
    <row r="827" spans="6:30">
      <c r="F827" s="6"/>
      <c r="L827" s="6"/>
      <c r="R827" s="6"/>
      <c r="X827" s="6"/>
      <c r="AD827" s="6"/>
    </row>
    <row r="828" spans="6:30">
      <c r="F828" s="6"/>
      <c r="L828" s="6"/>
      <c r="R828" s="6"/>
      <c r="X828" s="6"/>
      <c r="AD828" s="6"/>
    </row>
    <row r="829" spans="6:30">
      <c r="F829" s="6"/>
      <c r="L829" s="6"/>
      <c r="R829" s="6"/>
      <c r="X829" s="6"/>
      <c r="AD829" s="6"/>
    </row>
    <row r="830" spans="6:30">
      <c r="F830" s="6"/>
      <c r="L830" s="6"/>
      <c r="R830" s="6"/>
      <c r="X830" s="6"/>
      <c r="AD830" s="6"/>
    </row>
    <row r="831" spans="6:30">
      <c r="F831" s="6"/>
      <c r="L831" s="6"/>
      <c r="R831" s="6"/>
      <c r="X831" s="6"/>
      <c r="AD831" s="6"/>
    </row>
    <row r="832" spans="6:30">
      <c r="F832" s="6"/>
      <c r="L832" s="6"/>
      <c r="R832" s="6"/>
      <c r="X832" s="6"/>
      <c r="AD832" s="6"/>
    </row>
    <row r="833" spans="6:30">
      <c r="F833" s="6"/>
      <c r="L833" s="6"/>
      <c r="R833" s="6"/>
      <c r="X833" s="6"/>
      <c r="AD833" s="6"/>
    </row>
    <row r="834" spans="6:30">
      <c r="F834" s="6"/>
      <c r="L834" s="6"/>
      <c r="R834" s="6"/>
      <c r="X834" s="6"/>
      <c r="AD834" s="6"/>
    </row>
    <row r="835" spans="6:30">
      <c r="F835" s="6"/>
      <c r="L835" s="6"/>
      <c r="R835" s="6"/>
      <c r="X835" s="6"/>
      <c r="AD835" s="6"/>
    </row>
    <row r="836" spans="6:30">
      <c r="F836" s="6"/>
      <c r="L836" s="6"/>
      <c r="R836" s="6"/>
      <c r="X836" s="6"/>
      <c r="AD836" s="6"/>
    </row>
    <row r="837" spans="6:30">
      <c r="F837" s="6"/>
      <c r="L837" s="6"/>
      <c r="R837" s="6"/>
      <c r="X837" s="6"/>
      <c r="AD837" s="6"/>
    </row>
    <row r="838" spans="6:30">
      <c r="F838" s="6"/>
      <c r="L838" s="6"/>
      <c r="R838" s="6"/>
      <c r="X838" s="6"/>
      <c r="AD838" s="6"/>
    </row>
    <row r="839" spans="6:30">
      <c r="F839" s="6"/>
      <c r="L839" s="6"/>
      <c r="R839" s="6"/>
      <c r="X839" s="6"/>
      <c r="AD839" s="6"/>
    </row>
    <row r="840" spans="6:30">
      <c r="F840" s="6"/>
      <c r="L840" s="6"/>
      <c r="R840" s="6"/>
      <c r="X840" s="6"/>
      <c r="AD840" s="6"/>
    </row>
    <row r="841" spans="6:30">
      <c r="F841" s="6"/>
      <c r="L841" s="6"/>
      <c r="R841" s="6"/>
      <c r="X841" s="6"/>
      <c r="AD841" s="6"/>
    </row>
    <row r="842" spans="6:30">
      <c r="F842" s="6"/>
      <c r="L842" s="6"/>
      <c r="R842" s="6"/>
      <c r="X842" s="6"/>
      <c r="AD842" s="6"/>
    </row>
    <row r="843" spans="6:30">
      <c r="F843" s="6"/>
      <c r="L843" s="6"/>
      <c r="R843" s="6"/>
      <c r="X843" s="6"/>
      <c r="AD843" s="6"/>
    </row>
    <row r="844" spans="6:30">
      <c r="F844" s="6"/>
      <c r="L844" s="6"/>
      <c r="R844" s="6"/>
      <c r="X844" s="6"/>
      <c r="AD844" s="6"/>
    </row>
    <row r="845" spans="6:30">
      <c r="F845" s="6"/>
      <c r="L845" s="6"/>
      <c r="R845" s="6"/>
      <c r="X845" s="6"/>
      <c r="AD845" s="6"/>
    </row>
    <row r="846" spans="6:30">
      <c r="F846" s="6"/>
      <c r="L846" s="6"/>
      <c r="R846" s="6"/>
      <c r="X846" s="6"/>
      <c r="AD846" s="6"/>
    </row>
    <row r="847" spans="6:30">
      <c r="F847" s="6"/>
      <c r="L847" s="6"/>
      <c r="R847" s="6"/>
      <c r="X847" s="6"/>
      <c r="AD847" s="6"/>
    </row>
    <row r="848" spans="6:30">
      <c r="F848" s="6"/>
      <c r="L848" s="6"/>
      <c r="R848" s="6"/>
      <c r="X848" s="6"/>
      <c r="AD848" s="6"/>
    </row>
    <row r="849" spans="6:30">
      <c r="F849" s="6"/>
      <c r="L849" s="6"/>
      <c r="R849" s="6"/>
      <c r="X849" s="6"/>
      <c r="AD849" s="6"/>
    </row>
    <row r="850" spans="6:30">
      <c r="F850" s="6"/>
      <c r="L850" s="6"/>
      <c r="R850" s="6"/>
      <c r="X850" s="6"/>
      <c r="AD850" s="6"/>
    </row>
    <row r="851" spans="6:30">
      <c r="F851" s="6"/>
      <c r="L851" s="6"/>
      <c r="R851" s="6"/>
      <c r="X851" s="6"/>
      <c r="AD851" s="6"/>
    </row>
    <row r="852" spans="6:30">
      <c r="F852" s="6"/>
      <c r="L852" s="6"/>
      <c r="R852" s="6"/>
      <c r="X852" s="6"/>
      <c r="AD852" s="6"/>
    </row>
    <row r="853" spans="6:30">
      <c r="F853" s="6"/>
      <c r="L853" s="6"/>
      <c r="R853" s="6"/>
      <c r="X853" s="6"/>
      <c r="AD853" s="6"/>
    </row>
    <row r="854" spans="6:30">
      <c r="F854" s="6"/>
      <c r="L854" s="6"/>
      <c r="R854" s="6"/>
      <c r="X854" s="6"/>
      <c r="AD854" s="6"/>
    </row>
    <row r="855" spans="6:30">
      <c r="F855" s="6"/>
      <c r="L855" s="6"/>
      <c r="R855" s="6"/>
      <c r="X855" s="6"/>
      <c r="AD855" s="6"/>
    </row>
    <row r="856" spans="6:30">
      <c r="F856" s="6"/>
      <c r="L856" s="6"/>
      <c r="R856" s="6"/>
      <c r="X856" s="6"/>
      <c r="AD856" s="6"/>
    </row>
    <row r="857" spans="6:30">
      <c r="F857" s="6"/>
      <c r="L857" s="6"/>
      <c r="R857" s="6"/>
      <c r="X857" s="6"/>
      <c r="AD857" s="6"/>
    </row>
    <row r="858" spans="6:30">
      <c r="F858" s="6"/>
      <c r="L858" s="6"/>
      <c r="R858" s="6"/>
      <c r="X858" s="6"/>
      <c r="AD858" s="6"/>
    </row>
    <row r="859" spans="6:30">
      <c r="F859" s="6"/>
      <c r="L859" s="6"/>
      <c r="R859" s="6"/>
      <c r="X859" s="6"/>
      <c r="AD859" s="6"/>
    </row>
    <row r="860" spans="6:30">
      <c r="F860" s="6"/>
      <c r="L860" s="6"/>
      <c r="R860" s="6"/>
      <c r="X860" s="6"/>
      <c r="AD860" s="6"/>
    </row>
    <row r="861" spans="6:30">
      <c r="F861" s="6"/>
      <c r="L861" s="6"/>
      <c r="R861" s="6"/>
      <c r="X861" s="6"/>
      <c r="AD861" s="6"/>
    </row>
    <row r="862" spans="6:30">
      <c r="F862" s="6"/>
      <c r="L862" s="6"/>
      <c r="R862" s="6"/>
      <c r="X862" s="6"/>
      <c r="AD862" s="6"/>
    </row>
    <row r="863" spans="6:30">
      <c r="F863" s="6"/>
      <c r="L863" s="6"/>
      <c r="R863" s="6"/>
      <c r="X863" s="6"/>
      <c r="AD863" s="6"/>
    </row>
    <row r="864" spans="6:30">
      <c r="F864" s="6"/>
      <c r="L864" s="6"/>
      <c r="R864" s="6"/>
      <c r="X864" s="6"/>
      <c r="AD864" s="6"/>
    </row>
    <row r="865" spans="6:30">
      <c r="F865" s="6"/>
      <c r="L865" s="6"/>
      <c r="R865" s="6"/>
      <c r="X865" s="6"/>
      <c r="AD865" s="6"/>
    </row>
    <row r="866" spans="6:30">
      <c r="F866" s="6"/>
      <c r="L866" s="6"/>
      <c r="R866" s="6"/>
      <c r="X866" s="6"/>
      <c r="AD866" s="6"/>
    </row>
    <row r="867" spans="6:30">
      <c r="F867" s="6"/>
      <c r="L867" s="6"/>
      <c r="R867" s="6"/>
      <c r="X867" s="6"/>
      <c r="AD867" s="6"/>
    </row>
    <row r="868" spans="6:30">
      <c r="F868" s="6"/>
      <c r="L868" s="6"/>
      <c r="R868" s="6"/>
      <c r="X868" s="6"/>
      <c r="AD868" s="6"/>
    </row>
    <row r="869" spans="6:30">
      <c r="F869" s="6"/>
      <c r="L869" s="6"/>
      <c r="R869" s="6"/>
      <c r="X869" s="6"/>
      <c r="AD869" s="6"/>
    </row>
    <row r="870" spans="6:30">
      <c r="F870" s="6"/>
      <c r="L870" s="6"/>
      <c r="R870" s="6"/>
      <c r="X870" s="6"/>
      <c r="AD870" s="6"/>
    </row>
    <row r="871" spans="6:30">
      <c r="F871" s="6"/>
      <c r="L871" s="6"/>
      <c r="R871" s="6"/>
      <c r="X871" s="6"/>
      <c r="AD871" s="6"/>
    </row>
    <row r="872" spans="6:30">
      <c r="F872" s="6"/>
      <c r="L872" s="6"/>
      <c r="R872" s="6"/>
      <c r="X872" s="6"/>
      <c r="AD872" s="6"/>
    </row>
    <row r="873" spans="6:30">
      <c r="F873" s="6"/>
      <c r="L873" s="6"/>
      <c r="R873" s="6"/>
      <c r="X873" s="6"/>
      <c r="AD873" s="6"/>
    </row>
    <row r="874" spans="6:30">
      <c r="F874" s="6"/>
      <c r="L874" s="6"/>
      <c r="R874" s="6"/>
      <c r="X874" s="6"/>
      <c r="AD874" s="6"/>
    </row>
    <row r="875" spans="6:30">
      <c r="F875" s="6"/>
      <c r="L875" s="6"/>
      <c r="R875" s="6"/>
      <c r="X875" s="6"/>
      <c r="AD875" s="6"/>
    </row>
    <row r="876" spans="6:30">
      <c r="F876" s="6"/>
      <c r="L876" s="6"/>
      <c r="R876" s="6"/>
      <c r="X876" s="6"/>
      <c r="AD876" s="6"/>
    </row>
    <row r="877" spans="6:30">
      <c r="F877" s="6"/>
      <c r="L877" s="6"/>
      <c r="R877" s="6"/>
      <c r="X877" s="6"/>
      <c r="AD877" s="6"/>
    </row>
    <row r="878" spans="6:30">
      <c r="F878" s="6"/>
      <c r="L878" s="6"/>
      <c r="R878" s="6"/>
      <c r="X878" s="6"/>
      <c r="AD878" s="6"/>
    </row>
    <row r="879" spans="6:30">
      <c r="F879" s="6"/>
      <c r="L879" s="6"/>
      <c r="R879" s="6"/>
      <c r="X879" s="6"/>
      <c r="AD879" s="6"/>
    </row>
    <row r="880" spans="6:30">
      <c r="F880" s="6"/>
      <c r="L880" s="6"/>
      <c r="R880" s="6"/>
      <c r="X880" s="6"/>
      <c r="AD880" s="6"/>
    </row>
    <row r="881" spans="6:30">
      <c r="F881" s="6"/>
      <c r="L881" s="6"/>
      <c r="R881" s="6"/>
      <c r="X881" s="6"/>
      <c r="AD881" s="6"/>
    </row>
    <row r="882" spans="6:30">
      <c r="F882" s="6"/>
      <c r="L882" s="6"/>
      <c r="R882" s="6"/>
      <c r="X882" s="6"/>
      <c r="AD882" s="6"/>
    </row>
    <row r="883" spans="6:30">
      <c r="F883" s="6"/>
      <c r="L883" s="6"/>
      <c r="R883" s="6"/>
      <c r="X883" s="6"/>
      <c r="AD883" s="6"/>
    </row>
    <row r="884" spans="6:30">
      <c r="F884" s="6"/>
      <c r="L884" s="6"/>
      <c r="R884" s="6"/>
      <c r="X884" s="6"/>
      <c r="AD884" s="6"/>
    </row>
    <row r="885" spans="6:30">
      <c r="F885" s="6"/>
      <c r="L885" s="6"/>
      <c r="R885" s="6"/>
      <c r="X885" s="6"/>
      <c r="AD885" s="6"/>
    </row>
    <row r="886" spans="6:30">
      <c r="F886" s="6"/>
      <c r="L886" s="6"/>
      <c r="R886" s="6"/>
      <c r="X886" s="6"/>
      <c r="AD886" s="6"/>
    </row>
    <row r="887" spans="6:30">
      <c r="F887" s="6"/>
      <c r="L887" s="6"/>
      <c r="R887" s="6"/>
      <c r="X887" s="6"/>
      <c r="AD887" s="6"/>
    </row>
    <row r="888" spans="6:30">
      <c r="F888" s="6"/>
      <c r="L888" s="6"/>
      <c r="R888" s="6"/>
      <c r="X888" s="6"/>
      <c r="AD888" s="6"/>
    </row>
    <row r="889" spans="6:30">
      <c r="F889" s="6"/>
      <c r="L889" s="6"/>
      <c r="R889" s="6"/>
      <c r="X889" s="6"/>
      <c r="AD889" s="6"/>
    </row>
    <row r="890" spans="6:30">
      <c r="F890" s="6"/>
      <c r="L890" s="6"/>
      <c r="R890" s="6"/>
      <c r="X890" s="6"/>
      <c r="AD890" s="6"/>
    </row>
    <row r="891" spans="6:30">
      <c r="F891" s="6"/>
      <c r="L891" s="6"/>
      <c r="R891" s="6"/>
      <c r="X891" s="6"/>
      <c r="AD891" s="6"/>
    </row>
    <row r="892" spans="6:30">
      <c r="F892" s="6"/>
      <c r="L892" s="6"/>
      <c r="R892" s="6"/>
      <c r="X892" s="6"/>
      <c r="AD892" s="6"/>
    </row>
    <row r="893" spans="6:30">
      <c r="F893" s="6"/>
      <c r="L893" s="6"/>
      <c r="R893" s="6"/>
      <c r="X893" s="6"/>
      <c r="AD893" s="6"/>
    </row>
    <row r="894" spans="6:30">
      <c r="F894" s="6"/>
      <c r="L894" s="6"/>
      <c r="R894" s="6"/>
      <c r="X894" s="6"/>
      <c r="AD894" s="6"/>
    </row>
    <row r="895" spans="6:30">
      <c r="F895" s="6"/>
      <c r="L895" s="6"/>
      <c r="R895" s="6"/>
      <c r="X895" s="6"/>
      <c r="AD895" s="6"/>
    </row>
    <row r="896" spans="6:30">
      <c r="F896" s="6"/>
      <c r="L896" s="6"/>
      <c r="R896" s="6"/>
      <c r="X896" s="6"/>
      <c r="AD896" s="6"/>
    </row>
    <row r="897" spans="6:30">
      <c r="F897" s="6"/>
      <c r="L897" s="6"/>
      <c r="R897" s="6"/>
      <c r="X897" s="6"/>
      <c r="AD897" s="6"/>
    </row>
    <row r="898" spans="6:30">
      <c r="F898" s="6"/>
      <c r="L898" s="6"/>
      <c r="R898" s="6"/>
      <c r="X898" s="6"/>
      <c r="AD898" s="6"/>
    </row>
    <row r="899" spans="6:30">
      <c r="F899" s="6"/>
      <c r="L899" s="6"/>
      <c r="R899" s="6"/>
      <c r="X899" s="6"/>
      <c r="AD899" s="6"/>
    </row>
    <row r="900" spans="6:30">
      <c r="F900" s="6"/>
      <c r="L900" s="6"/>
      <c r="R900" s="6"/>
      <c r="X900" s="6"/>
      <c r="AD900" s="6"/>
    </row>
    <row r="901" spans="6:30">
      <c r="F901" s="6"/>
      <c r="L901" s="6"/>
      <c r="R901" s="6"/>
      <c r="X901" s="6"/>
      <c r="AD901" s="6"/>
    </row>
    <row r="902" spans="6:30">
      <c r="F902" s="6"/>
      <c r="L902" s="6"/>
      <c r="R902" s="6"/>
      <c r="X902" s="6"/>
      <c r="AD902" s="6"/>
    </row>
    <row r="903" spans="6:30">
      <c r="F903" s="6"/>
      <c r="L903" s="6"/>
      <c r="R903" s="6"/>
      <c r="X903" s="6"/>
      <c r="AD903" s="6"/>
    </row>
    <row r="904" spans="6:30">
      <c r="F904" s="6"/>
      <c r="L904" s="6"/>
      <c r="R904" s="6"/>
      <c r="X904" s="6"/>
      <c r="AD904" s="6"/>
    </row>
    <row r="905" spans="6:30">
      <c r="F905" s="6"/>
      <c r="L905" s="6"/>
      <c r="R905" s="6"/>
      <c r="X905" s="6"/>
      <c r="AD905" s="6"/>
    </row>
    <row r="906" spans="6:30">
      <c r="F906" s="6"/>
      <c r="L906" s="6"/>
      <c r="R906" s="6"/>
      <c r="X906" s="6"/>
      <c r="AD906" s="6"/>
    </row>
    <row r="907" spans="6:30">
      <c r="F907" s="6"/>
      <c r="L907" s="6"/>
      <c r="R907" s="6"/>
      <c r="X907" s="6"/>
      <c r="AD907" s="6"/>
    </row>
    <row r="908" spans="6:30">
      <c r="F908" s="6"/>
      <c r="L908" s="6"/>
      <c r="R908" s="6"/>
      <c r="X908" s="6"/>
      <c r="AD908" s="6"/>
    </row>
    <row r="909" spans="6:30">
      <c r="F909" s="6"/>
      <c r="L909" s="6"/>
      <c r="R909" s="6"/>
      <c r="X909" s="6"/>
      <c r="AD909" s="6"/>
    </row>
    <row r="910" spans="6:30">
      <c r="F910" s="6"/>
      <c r="L910" s="6"/>
      <c r="R910" s="6"/>
      <c r="X910" s="6"/>
      <c r="AD910" s="6"/>
    </row>
    <row r="911" spans="6:30">
      <c r="F911" s="6"/>
      <c r="L911" s="6"/>
      <c r="R911" s="6"/>
      <c r="X911" s="6"/>
      <c r="AD911" s="6"/>
    </row>
    <row r="912" spans="6:30">
      <c r="F912" s="6"/>
      <c r="L912" s="6"/>
      <c r="R912" s="6"/>
      <c r="X912" s="6"/>
      <c r="AD912" s="6"/>
    </row>
    <row r="913" spans="6:30">
      <c r="F913" s="6"/>
      <c r="L913" s="6"/>
      <c r="R913" s="6"/>
      <c r="X913" s="6"/>
      <c r="AD913" s="6"/>
    </row>
    <row r="914" spans="6:30">
      <c r="F914" s="6"/>
      <c r="L914" s="6"/>
      <c r="R914" s="6"/>
      <c r="X914" s="6"/>
      <c r="AD914" s="6"/>
    </row>
    <row r="915" spans="6:30">
      <c r="F915" s="6"/>
      <c r="L915" s="6"/>
      <c r="R915" s="6"/>
      <c r="X915" s="6"/>
      <c r="AD915" s="6"/>
    </row>
    <row r="916" spans="6:30">
      <c r="F916" s="6"/>
      <c r="L916" s="6"/>
      <c r="R916" s="6"/>
      <c r="X916" s="6"/>
      <c r="AD916" s="6"/>
    </row>
    <row r="917" spans="6:30">
      <c r="F917" s="6"/>
      <c r="L917" s="6"/>
      <c r="R917" s="6"/>
      <c r="X917" s="6"/>
      <c r="AD917" s="6"/>
    </row>
    <row r="918" spans="6:30">
      <c r="F918" s="6"/>
      <c r="L918" s="6"/>
      <c r="R918" s="6"/>
      <c r="X918" s="6"/>
      <c r="AD918" s="6"/>
    </row>
    <row r="919" spans="6:30">
      <c r="F919" s="6"/>
      <c r="L919" s="6"/>
      <c r="R919" s="6"/>
      <c r="X919" s="6"/>
      <c r="AD919" s="6"/>
    </row>
    <row r="920" spans="6:30">
      <c r="F920" s="6"/>
      <c r="L920" s="6"/>
      <c r="R920" s="6"/>
      <c r="X920" s="6"/>
      <c r="AD920" s="6"/>
    </row>
    <row r="921" spans="6:30">
      <c r="F921" s="6"/>
      <c r="L921" s="6"/>
      <c r="R921" s="6"/>
      <c r="X921" s="6"/>
      <c r="AD921" s="6"/>
    </row>
    <row r="922" spans="6:30">
      <c r="F922" s="6"/>
      <c r="L922" s="6"/>
      <c r="R922" s="6"/>
      <c r="X922" s="6"/>
      <c r="AD922" s="6"/>
    </row>
    <row r="923" spans="6:30">
      <c r="F923" s="6"/>
      <c r="L923" s="6"/>
      <c r="R923" s="6"/>
      <c r="X923" s="6"/>
      <c r="AD923" s="6"/>
    </row>
    <row r="924" spans="6:30">
      <c r="F924" s="6"/>
      <c r="L924" s="6"/>
      <c r="R924" s="6"/>
      <c r="X924" s="6"/>
      <c r="AD924" s="6"/>
    </row>
    <row r="925" spans="6:30">
      <c r="F925" s="6"/>
      <c r="L925" s="6"/>
      <c r="R925" s="6"/>
      <c r="X925" s="6"/>
      <c r="AD925" s="6"/>
    </row>
    <row r="926" spans="6:30">
      <c r="F926" s="6"/>
      <c r="L926" s="6"/>
      <c r="R926" s="6"/>
      <c r="X926" s="6"/>
      <c r="AD926" s="6"/>
    </row>
    <row r="927" spans="6:30">
      <c r="F927" s="6"/>
      <c r="L927" s="6"/>
      <c r="R927" s="6"/>
      <c r="X927" s="6"/>
      <c r="AD927" s="6"/>
    </row>
    <row r="928" spans="6:30">
      <c r="F928" s="6"/>
      <c r="L928" s="6"/>
      <c r="R928" s="6"/>
      <c r="X928" s="6"/>
      <c r="AD928" s="6"/>
    </row>
    <row r="929" spans="6:30">
      <c r="F929" s="6"/>
      <c r="L929" s="6"/>
      <c r="R929" s="6"/>
      <c r="X929" s="6"/>
      <c r="AD929" s="6"/>
    </row>
    <row r="930" spans="6:30">
      <c r="F930" s="6"/>
      <c r="L930" s="6"/>
      <c r="R930" s="6"/>
      <c r="X930" s="6"/>
      <c r="AD930" s="6"/>
    </row>
    <row r="931" spans="6:30">
      <c r="F931" s="6"/>
      <c r="L931" s="6"/>
      <c r="R931" s="6"/>
      <c r="X931" s="6"/>
      <c r="AD931" s="6"/>
    </row>
    <row r="932" spans="6:30">
      <c r="F932" s="6"/>
      <c r="L932" s="6"/>
      <c r="R932" s="6"/>
      <c r="X932" s="6"/>
      <c r="AD932" s="6"/>
    </row>
    <row r="933" spans="6:30">
      <c r="F933" s="6"/>
      <c r="L933" s="6"/>
      <c r="R933" s="6"/>
      <c r="X933" s="6"/>
      <c r="AD933" s="6"/>
    </row>
    <row r="934" spans="6:30">
      <c r="F934" s="6"/>
      <c r="L934" s="6"/>
      <c r="R934" s="6"/>
      <c r="X934" s="6"/>
      <c r="AD934" s="6"/>
    </row>
    <row r="935" spans="6:30">
      <c r="F935" s="6"/>
      <c r="L935" s="6"/>
      <c r="R935" s="6"/>
      <c r="X935" s="6"/>
      <c r="AD935" s="6"/>
    </row>
    <row r="936" spans="6:30">
      <c r="F936" s="6"/>
      <c r="L936" s="6"/>
      <c r="R936" s="6"/>
      <c r="X936" s="6"/>
      <c r="AD936" s="6"/>
    </row>
    <row r="937" spans="6:30">
      <c r="F937" s="6"/>
      <c r="L937" s="6"/>
      <c r="R937" s="6"/>
      <c r="X937" s="6"/>
      <c r="AD937" s="6"/>
    </row>
    <row r="938" spans="6:30">
      <c r="F938" s="6"/>
      <c r="L938" s="6"/>
      <c r="R938" s="6"/>
      <c r="X938" s="6"/>
      <c r="AD938" s="6"/>
    </row>
    <row r="939" spans="6:30">
      <c r="F939" s="6"/>
      <c r="L939" s="6"/>
      <c r="R939" s="6"/>
      <c r="X939" s="6"/>
      <c r="AD939" s="6"/>
    </row>
    <row r="940" spans="6:30">
      <c r="F940" s="6"/>
      <c r="L940" s="6"/>
      <c r="R940" s="6"/>
      <c r="X940" s="6"/>
      <c r="AD940" s="6"/>
    </row>
    <row r="941" spans="6:30">
      <c r="F941" s="6"/>
      <c r="L941" s="6"/>
      <c r="R941" s="6"/>
      <c r="X941" s="6"/>
      <c r="AD941" s="6"/>
    </row>
    <row r="942" spans="6:30">
      <c r="F942" s="6"/>
      <c r="L942" s="6"/>
      <c r="R942" s="6"/>
      <c r="X942" s="6"/>
      <c r="AD942" s="6"/>
    </row>
    <row r="943" spans="6:30">
      <c r="F943" s="6"/>
      <c r="L943" s="6"/>
      <c r="R943" s="6"/>
      <c r="X943" s="6"/>
      <c r="AD943" s="6"/>
    </row>
    <row r="944" spans="6:30">
      <c r="F944" s="6"/>
      <c r="L944" s="6"/>
      <c r="R944" s="6"/>
      <c r="X944" s="6"/>
      <c r="AD944" s="6"/>
    </row>
    <row r="945" spans="6:30">
      <c r="F945" s="6"/>
      <c r="L945" s="6"/>
      <c r="R945" s="6"/>
      <c r="X945" s="6"/>
      <c r="AD945" s="6"/>
    </row>
    <row r="946" spans="6:30">
      <c r="F946" s="6"/>
      <c r="L946" s="6"/>
      <c r="R946" s="6"/>
      <c r="X946" s="6"/>
      <c r="AD946" s="6"/>
    </row>
    <row r="947" spans="6:30">
      <c r="F947" s="6"/>
      <c r="L947" s="6"/>
      <c r="R947" s="6"/>
      <c r="X947" s="6"/>
      <c r="AD947" s="6"/>
    </row>
    <row r="948" spans="6:30">
      <c r="F948" s="6"/>
      <c r="L948" s="6"/>
      <c r="R948" s="6"/>
      <c r="X948" s="6"/>
      <c r="AD948" s="6"/>
    </row>
    <row r="949" spans="6:30">
      <c r="F949" s="6"/>
      <c r="L949" s="6"/>
      <c r="R949" s="6"/>
      <c r="X949" s="6"/>
      <c r="AD949" s="6"/>
    </row>
    <row r="950" spans="6:30">
      <c r="F950" s="6"/>
      <c r="L950" s="6"/>
      <c r="R950" s="6"/>
      <c r="X950" s="6"/>
      <c r="AD950" s="6"/>
    </row>
    <row r="951" spans="6:30">
      <c r="F951" s="6"/>
      <c r="L951" s="6"/>
      <c r="R951" s="6"/>
      <c r="X951" s="6"/>
      <c r="AD951" s="6"/>
    </row>
    <row r="952" spans="6:30">
      <c r="F952" s="6"/>
      <c r="L952" s="6"/>
      <c r="R952" s="6"/>
      <c r="X952" s="6"/>
      <c r="AD952" s="6"/>
    </row>
    <row r="953" spans="6:30">
      <c r="F953" s="6"/>
      <c r="L953" s="6"/>
      <c r="R953" s="6"/>
      <c r="X953" s="6"/>
      <c r="AD953" s="6"/>
    </row>
    <row r="954" spans="6:30">
      <c r="F954" s="6"/>
      <c r="L954" s="6"/>
      <c r="R954" s="6"/>
      <c r="X954" s="6"/>
      <c r="AD954" s="6"/>
    </row>
    <row r="955" spans="6:30">
      <c r="F955" s="6"/>
      <c r="L955" s="6"/>
      <c r="R955" s="6"/>
      <c r="X955" s="6"/>
      <c r="AD955" s="6"/>
    </row>
    <row r="956" spans="6:30">
      <c r="F956" s="6"/>
      <c r="L956" s="6"/>
      <c r="R956" s="6"/>
      <c r="X956" s="6"/>
      <c r="AD956" s="6"/>
    </row>
    <row r="957" spans="6:30">
      <c r="F957" s="6"/>
      <c r="L957" s="6"/>
      <c r="R957" s="6"/>
      <c r="X957" s="6"/>
      <c r="AD957" s="6"/>
    </row>
    <row r="958" spans="6:30">
      <c r="F958" s="6"/>
      <c r="L958" s="6"/>
      <c r="R958" s="6"/>
      <c r="X958" s="6"/>
      <c r="AD958" s="6"/>
    </row>
    <row r="959" spans="6:30">
      <c r="F959" s="6"/>
      <c r="L959" s="6"/>
      <c r="R959" s="6"/>
      <c r="X959" s="6"/>
      <c r="AD959" s="6"/>
    </row>
    <row r="960" spans="6:30">
      <c r="F960" s="6"/>
      <c r="L960" s="6"/>
      <c r="R960" s="6"/>
      <c r="X960" s="6"/>
      <c r="AD960" s="6"/>
    </row>
    <row r="961" spans="6:30">
      <c r="F961" s="6"/>
      <c r="L961" s="6"/>
      <c r="R961" s="6"/>
      <c r="X961" s="6"/>
      <c r="AD961" s="6"/>
    </row>
    <row r="962" spans="6:30">
      <c r="F962" s="6"/>
      <c r="L962" s="6"/>
      <c r="R962" s="6"/>
      <c r="X962" s="6"/>
      <c r="AD962" s="6"/>
    </row>
    <row r="963" spans="6:30">
      <c r="F963" s="6"/>
      <c r="L963" s="6"/>
      <c r="R963" s="6"/>
      <c r="X963" s="6"/>
      <c r="AD963" s="6"/>
    </row>
    <row r="964" spans="6:30">
      <c r="F964" s="6"/>
      <c r="L964" s="6"/>
      <c r="R964" s="6"/>
      <c r="X964" s="6"/>
      <c r="AD964" s="6"/>
    </row>
    <row r="965" spans="6:30">
      <c r="F965" s="6"/>
      <c r="L965" s="6"/>
      <c r="R965" s="6"/>
      <c r="X965" s="6"/>
      <c r="AD965" s="6"/>
    </row>
    <row r="966" spans="6:30">
      <c r="F966" s="6"/>
      <c r="L966" s="6"/>
      <c r="R966" s="6"/>
      <c r="X966" s="6"/>
      <c r="AD966" s="6"/>
    </row>
    <row r="967" spans="6:30">
      <c r="F967" s="6"/>
      <c r="L967" s="6"/>
      <c r="R967" s="6"/>
      <c r="X967" s="6"/>
      <c r="AD967" s="6"/>
    </row>
    <row r="968" spans="6:30">
      <c r="F968" s="6"/>
      <c r="L968" s="6"/>
      <c r="R968" s="6"/>
      <c r="X968" s="6"/>
      <c r="AD968" s="6"/>
    </row>
    <row r="969" spans="6:30">
      <c r="F969" s="6"/>
      <c r="L969" s="6"/>
      <c r="R969" s="6"/>
      <c r="X969" s="6"/>
      <c r="AD969" s="6"/>
    </row>
    <row r="970" spans="6:30">
      <c r="F970" s="6"/>
      <c r="L970" s="6"/>
      <c r="R970" s="6"/>
      <c r="X970" s="6"/>
      <c r="AD970" s="6"/>
    </row>
    <row r="971" spans="6:30">
      <c r="F971" s="6"/>
      <c r="L971" s="6"/>
      <c r="R971" s="6"/>
      <c r="X971" s="6"/>
      <c r="AD971" s="6"/>
    </row>
    <row r="972" spans="6:30">
      <c r="F972" s="6"/>
      <c r="L972" s="6"/>
      <c r="R972" s="6"/>
      <c r="X972" s="6"/>
      <c r="AD972" s="6"/>
    </row>
    <row r="973" spans="6:30">
      <c r="F973" s="6"/>
      <c r="L973" s="6"/>
      <c r="R973" s="6"/>
      <c r="X973" s="6"/>
      <c r="AD973" s="6"/>
    </row>
    <row r="974" spans="6:30">
      <c r="F974" s="6"/>
      <c r="L974" s="6"/>
      <c r="R974" s="6"/>
      <c r="X974" s="6"/>
      <c r="AD974" s="6"/>
    </row>
    <row r="975" spans="6:30">
      <c r="F975" s="6"/>
      <c r="L975" s="6"/>
      <c r="R975" s="6"/>
      <c r="X975" s="6"/>
      <c r="AD975" s="6"/>
    </row>
    <row r="976" spans="6:30">
      <c r="F976" s="6"/>
      <c r="L976" s="6"/>
      <c r="R976" s="6"/>
      <c r="X976" s="6"/>
      <c r="AD976" s="6"/>
    </row>
    <row r="977" spans="6:30">
      <c r="F977" s="6"/>
      <c r="L977" s="6"/>
      <c r="R977" s="6"/>
      <c r="X977" s="6"/>
      <c r="AD977" s="6"/>
    </row>
    <row r="978" spans="6:30">
      <c r="F978" s="6"/>
      <c r="L978" s="6"/>
      <c r="R978" s="6"/>
      <c r="X978" s="6"/>
      <c r="AD978" s="6"/>
    </row>
    <row r="979" spans="6:30">
      <c r="F979" s="6"/>
      <c r="L979" s="6"/>
      <c r="R979" s="6"/>
      <c r="X979" s="6"/>
      <c r="AD979" s="6"/>
    </row>
    <row r="980" spans="6:30">
      <c r="F980" s="6"/>
      <c r="L980" s="6"/>
      <c r="R980" s="6"/>
      <c r="X980" s="6"/>
      <c r="AD980" s="6"/>
    </row>
    <row r="981" spans="6:30">
      <c r="F981" s="6"/>
      <c r="L981" s="6"/>
      <c r="R981" s="6"/>
      <c r="X981" s="6"/>
      <c r="AD981" s="6"/>
    </row>
    <row r="982" spans="6:30">
      <c r="F982" s="6"/>
      <c r="L982" s="6"/>
      <c r="R982" s="6"/>
      <c r="X982" s="6"/>
      <c r="AD982" s="6"/>
    </row>
    <row r="983" spans="6:30">
      <c r="F983" s="6"/>
      <c r="L983" s="6"/>
      <c r="R983" s="6"/>
      <c r="X983" s="6"/>
      <c r="AD983" s="6"/>
    </row>
    <row r="984" spans="6:30">
      <c r="F984" s="6"/>
      <c r="L984" s="6"/>
      <c r="R984" s="6"/>
      <c r="X984" s="6"/>
      <c r="AD984" s="6"/>
    </row>
    <row r="985" spans="6:30">
      <c r="F985" s="6"/>
      <c r="L985" s="6"/>
      <c r="R985" s="6"/>
      <c r="X985" s="6"/>
      <c r="AD985" s="6"/>
    </row>
    <row r="986" spans="6:30">
      <c r="F986" s="6"/>
      <c r="L986" s="6"/>
      <c r="R986" s="6"/>
      <c r="X986" s="6"/>
      <c r="AD986" s="6"/>
    </row>
    <row r="987" spans="6:30">
      <c r="F987" s="6"/>
      <c r="L987" s="6"/>
      <c r="R987" s="6"/>
      <c r="X987" s="6"/>
      <c r="AD987" s="6"/>
    </row>
    <row r="988" spans="6:30">
      <c r="F988" s="6"/>
      <c r="L988" s="6"/>
      <c r="R988" s="6"/>
      <c r="X988" s="6"/>
      <c r="AD988" s="6"/>
    </row>
    <row r="989" spans="6:30">
      <c r="F989" s="6"/>
      <c r="L989" s="6"/>
      <c r="R989" s="6"/>
      <c r="X989" s="6"/>
      <c r="AD989" s="6"/>
    </row>
    <row r="990" spans="6:30">
      <c r="F990" s="6"/>
      <c r="L990" s="6"/>
      <c r="R990" s="6"/>
      <c r="X990" s="6"/>
      <c r="AD990" s="6"/>
    </row>
    <row r="991" spans="6:30">
      <c r="F991" s="6"/>
      <c r="L991" s="6"/>
      <c r="R991" s="6"/>
      <c r="X991" s="6"/>
      <c r="AD991" s="6"/>
    </row>
    <row r="992" spans="6:30">
      <c r="F992" s="6"/>
      <c r="L992" s="6"/>
      <c r="R992" s="6"/>
      <c r="X992" s="6"/>
      <c r="AD992" s="6"/>
    </row>
    <row r="993" spans="6:30">
      <c r="F993" s="6"/>
      <c r="L993" s="6"/>
      <c r="R993" s="6"/>
      <c r="X993" s="6"/>
      <c r="AD993" s="6"/>
    </row>
    <row r="994" spans="6:30">
      <c r="F994" s="6"/>
      <c r="L994" s="6"/>
      <c r="R994" s="6"/>
      <c r="X994" s="6"/>
      <c r="AD994" s="6"/>
    </row>
    <row r="995" spans="6:30">
      <c r="F995" s="6"/>
      <c r="L995" s="6"/>
      <c r="R995" s="6"/>
      <c r="X995" s="6"/>
      <c r="AD995" s="6"/>
    </row>
    <row r="996" spans="6:30">
      <c r="F996" s="6"/>
      <c r="L996" s="6"/>
      <c r="R996" s="6"/>
      <c r="X996" s="6"/>
      <c r="AD996" s="6"/>
    </row>
    <row r="997" spans="6:30">
      <c r="F997" s="6"/>
      <c r="L997" s="6"/>
      <c r="R997" s="6"/>
      <c r="X997" s="6"/>
      <c r="AD997" s="6"/>
    </row>
    <row r="998" spans="6:30">
      <c r="F998" s="6"/>
      <c r="L998" s="6"/>
      <c r="R998" s="6"/>
      <c r="X998" s="6"/>
      <c r="AD998" s="6"/>
    </row>
    <row r="999" spans="6:30">
      <c r="F999" s="6"/>
      <c r="L999" s="6"/>
      <c r="R999" s="6"/>
      <c r="X999" s="6"/>
      <c r="AD999" s="6"/>
    </row>
    <row r="1000" spans="6:30">
      <c r="F1000" s="6"/>
      <c r="L1000" s="6"/>
      <c r="R1000" s="6"/>
      <c r="X1000" s="6"/>
      <c r="AD1000" s="6"/>
    </row>
    <row r="1001" spans="6:30">
      <c r="F1001" s="6"/>
      <c r="L1001" s="6"/>
      <c r="R1001" s="6"/>
      <c r="X1001" s="6"/>
      <c r="AD1001" s="6"/>
    </row>
    <row r="1002" spans="6:30">
      <c r="F1002" s="6"/>
      <c r="L1002" s="6"/>
      <c r="R1002" s="6"/>
      <c r="X1002" s="6"/>
      <c r="AD1002" s="6"/>
    </row>
    <row r="1003" spans="6:30">
      <c r="F1003" s="6"/>
      <c r="L1003" s="6"/>
      <c r="R1003" s="6"/>
      <c r="X1003" s="6"/>
      <c r="AD1003" s="6"/>
    </row>
    <row r="1004" spans="6:30">
      <c r="F1004" s="6"/>
      <c r="L1004" s="6"/>
      <c r="R1004" s="6"/>
      <c r="X1004" s="6"/>
      <c r="AD1004" s="6"/>
    </row>
    <row r="1005" spans="6:30">
      <c r="F1005" s="6"/>
      <c r="L1005" s="6"/>
      <c r="R1005" s="6"/>
      <c r="X1005" s="6"/>
      <c r="AD1005" s="6"/>
    </row>
    <row r="1006" spans="6:30">
      <c r="F1006" s="6"/>
      <c r="L1006" s="6"/>
      <c r="R1006" s="6"/>
      <c r="X1006" s="6"/>
      <c r="AD1006" s="6"/>
    </row>
    <row r="1007" spans="6:30">
      <c r="F1007" s="6"/>
      <c r="L1007" s="6"/>
      <c r="R1007" s="6"/>
      <c r="X1007" s="6"/>
      <c r="AD1007" s="6"/>
    </row>
    <row r="1008" spans="6:30">
      <c r="F1008" s="6"/>
      <c r="L1008" s="6"/>
      <c r="R1008" s="6"/>
      <c r="X1008" s="6"/>
      <c r="AD1008" s="6"/>
    </row>
    <row r="1009" spans="6:30">
      <c r="F1009" s="6"/>
      <c r="L1009" s="6"/>
      <c r="R1009" s="6"/>
      <c r="X1009" s="6"/>
      <c r="AD1009" s="6"/>
    </row>
    <row r="1010" spans="6:30">
      <c r="F1010" s="6"/>
      <c r="L1010" s="6"/>
      <c r="R1010" s="6"/>
      <c r="X1010" s="6"/>
      <c r="AD1010" s="6"/>
    </row>
    <row r="1011" spans="6:30">
      <c r="F1011" s="6"/>
      <c r="L1011" s="6"/>
      <c r="R1011" s="6"/>
      <c r="X1011" s="6"/>
      <c r="AD1011" s="6"/>
    </row>
    <row r="1012" spans="6:30">
      <c r="F1012" s="6"/>
      <c r="L1012" s="6"/>
      <c r="R1012" s="6"/>
      <c r="X1012" s="6"/>
      <c r="AD1012" s="6"/>
    </row>
    <row r="1013" spans="6:30">
      <c r="F1013" s="6"/>
      <c r="L1013" s="6"/>
      <c r="R1013" s="6"/>
      <c r="X1013" s="6"/>
      <c r="AD1013" s="6"/>
    </row>
    <row r="1014" spans="6:30">
      <c r="F1014" s="6"/>
      <c r="L1014" s="6"/>
      <c r="R1014" s="6"/>
      <c r="X1014" s="6"/>
      <c r="AD1014" s="6"/>
    </row>
    <row r="1015" spans="6:30">
      <c r="F1015" s="6"/>
      <c r="L1015" s="6"/>
      <c r="R1015" s="6"/>
      <c r="X1015" s="6"/>
      <c r="AD1015" s="6"/>
    </row>
    <row r="1016" spans="6:30">
      <c r="F1016" s="6"/>
      <c r="L1016" s="6"/>
      <c r="R1016" s="6"/>
      <c r="X1016" s="6"/>
      <c r="AD1016" s="6"/>
    </row>
    <row r="1017" spans="6:30">
      <c r="F1017" s="6"/>
      <c r="L1017" s="6"/>
      <c r="R1017" s="6"/>
      <c r="X1017" s="6"/>
      <c r="AD1017" s="6"/>
    </row>
    <row r="1018" spans="6:30">
      <c r="F1018" s="6"/>
      <c r="L1018" s="6"/>
      <c r="R1018" s="6"/>
      <c r="X1018" s="6"/>
      <c r="AD1018" s="6"/>
    </row>
    <row r="1019" spans="6:30">
      <c r="F1019" s="6"/>
      <c r="L1019" s="6"/>
      <c r="R1019" s="6"/>
      <c r="X1019" s="6"/>
      <c r="AD1019" s="6"/>
    </row>
    <row r="1020" spans="6:30">
      <c r="F1020" s="6"/>
      <c r="L1020" s="6"/>
      <c r="R1020" s="6"/>
      <c r="X1020" s="6"/>
      <c r="AD1020" s="6"/>
    </row>
    <row r="1021" spans="6:30">
      <c r="F1021" s="6"/>
      <c r="L1021" s="6"/>
      <c r="R1021" s="6"/>
      <c r="X1021" s="6"/>
      <c r="AD1021" s="6"/>
    </row>
    <row r="1022" spans="6:30">
      <c r="F1022" s="6"/>
      <c r="L1022" s="6"/>
      <c r="R1022" s="6"/>
      <c r="X1022" s="6"/>
      <c r="AD1022" s="6"/>
    </row>
    <row r="1023" spans="6:30">
      <c r="F1023" s="6"/>
      <c r="L1023" s="6"/>
      <c r="R1023" s="6"/>
      <c r="X1023" s="6"/>
      <c r="AD1023" s="6"/>
    </row>
    <row r="1024" spans="6:30">
      <c r="F1024" s="6"/>
      <c r="L1024" s="6"/>
      <c r="R1024" s="6"/>
      <c r="X1024" s="6"/>
      <c r="AD1024" s="6"/>
    </row>
    <row r="1025" spans="6:30">
      <c r="F1025" s="6"/>
      <c r="L1025" s="6"/>
      <c r="R1025" s="6"/>
      <c r="X1025" s="6"/>
      <c r="AD1025" s="6"/>
    </row>
    <row r="1026" spans="6:30">
      <c r="F1026" s="6"/>
      <c r="L1026" s="6"/>
      <c r="R1026" s="6"/>
      <c r="X1026" s="6"/>
      <c r="AD1026" s="6"/>
    </row>
    <row r="1027" spans="6:30">
      <c r="F1027" s="6"/>
      <c r="L1027" s="6"/>
      <c r="R1027" s="6"/>
      <c r="X1027" s="6"/>
      <c r="AD1027" s="6"/>
    </row>
    <row r="1028" spans="6:30">
      <c r="F1028" s="6"/>
      <c r="L1028" s="6"/>
      <c r="R1028" s="6"/>
      <c r="X1028" s="6"/>
      <c r="AD1028" s="6"/>
    </row>
    <row r="1029" spans="6:30">
      <c r="F1029" s="6"/>
      <c r="L1029" s="6"/>
      <c r="R1029" s="6"/>
      <c r="X1029" s="6"/>
      <c r="AD1029" s="6"/>
    </row>
    <row r="1030" spans="6:30">
      <c r="F1030" s="6"/>
      <c r="L1030" s="6"/>
      <c r="R1030" s="6"/>
      <c r="X1030" s="6"/>
      <c r="AD1030" s="6"/>
    </row>
    <row r="1031" spans="6:30">
      <c r="F1031" s="6"/>
      <c r="L1031" s="6"/>
      <c r="R1031" s="6"/>
      <c r="X1031" s="6"/>
      <c r="AD1031" s="6"/>
    </row>
    <row r="1032" spans="6:30">
      <c r="F1032" s="6"/>
      <c r="L1032" s="6"/>
      <c r="R1032" s="6"/>
      <c r="X1032" s="6"/>
      <c r="AD1032" s="6"/>
    </row>
    <row r="1033" spans="6:30">
      <c r="F1033" s="6"/>
      <c r="L1033" s="6"/>
      <c r="R1033" s="6"/>
      <c r="X1033" s="6"/>
      <c r="AD1033" s="6"/>
    </row>
    <row r="1034" spans="6:30">
      <c r="F1034" s="6"/>
      <c r="L1034" s="6"/>
      <c r="R1034" s="6"/>
      <c r="X1034" s="6"/>
      <c r="AD1034" s="6"/>
    </row>
    <row r="1035" spans="6:30">
      <c r="F1035" s="6"/>
      <c r="L1035" s="6"/>
      <c r="R1035" s="6"/>
      <c r="X1035" s="6"/>
      <c r="AD1035" s="6"/>
    </row>
    <row r="1036" spans="6:30">
      <c r="F1036" s="6"/>
      <c r="L1036" s="6"/>
      <c r="R1036" s="6"/>
      <c r="X1036" s="6"/>
      <c r="AD1036" s="6"/>
    </row>
    <row r="1037" spans="6:30">
      <c r="F1037" s="6"/>
      <c r="L1037" s="6"/>
      <c r="R1037" s="6"/>
      <c r="X1037" s="6"/>
      <c r="AD1037" s="6"/>
    </row>
    <row r="1038" spans="6:30">
      <c r="F1038" s="6"/>
      <c r="L1038" s="6"/>
      <c r="R1038" s="6"/>
      <c r="X1038" s="6"/>
      <c r="AD1038" s="6"/>
    </row>
    <row r="1039" spans="6:30">
      <c r="F1039" s="6"/>
      <c r="L1039" s="6"/>
      <c r="R1039" s="6"/>
      <c r="X1039" s="6"/>
      <c r="AD1039" s="6"/>
    </row>
    <row r="1040" spans="6:30">
      <c r="F1040" s="6"/>
      <c r="L1040" s="6"/>
      <c r="R1040" s="6"/>
      <c r="X1040" s="6"/>
      <c r="AD1040" s="6"/>
    </row>
    <row r="1041" spans="6:30">
      <c r="F1041" s="6"/>
      <c r="L1041" s="6"/>
      <c r="R1041" s="6"/>
      <c r="X1041" s="6"/>
      <c r="AD1041" s="6"/>
    </row>
    <row r="1042" spans="6:30">
      <c r="F1042" s="6"/>
      <c r="L1042" s="6"/>
      <c r="R1042" s="6"/>
      <c r="X1042" s="6"/>
      <c r="AD1042" s="6"/>
    </row>
    <row r="1043" spans="6:30">
      <c r="F1043" s="6"/>
      <c r="L1043" s="6"/>
      <c r="R1043" s="6"/>
      <c r="X1043" s="6"/>
      <c r="AD1043" s="6"/>
    </row>
    <row r="1044" spans="6:30">
      <c r="F1044" s="6"/>
      <c r="L1044" s="6"/>
      <c r="R1044" s="6"/>
      <c r="X1044" s="6"/>
      <c r="AD1044" s="6"/>
    </row>
    <row r="1045" spans="6:30">
      <c r="F1045" s="6"/>
      <c r="L1045" s="6"/>
      <c r="R1045" s="6"/>
      <c r="X1045" s="6"/>
      <c r="AD1045" s="6"/>
    </row>
    <row r="1046" spans="6:30">
      <c r="F1046" s="6"/>
      <c r="L1046" s="6"/>
      <c r="R1046" s="6"/>
      <c r="X1046" s="6"/>
      <c r="AD1046" s="6"/>
    </row>
    <row r="1047" spans="6:30">
      <c r="F1047" s="6"/>
      <c r="L1047" s="6"/>
      <c r="R1047" s="6"/>
      <c r="X1047" s="6"/>
      <c r="AD1047" s="6"/>
    </row>
    <row r="1048" spans="6:30">
      <c r="F1048" s="6"/>
      <c r="L1048" s="6"/>
      <c r="R1048" s="6"/>
      <c r="X1048" s="6"/>
      <c r="AD1048" s="6"/>
    </row>
    <row r="1049" spans="6:30">
      <c r="F1049" s="6"/>
      <c r="L1049" s="6"/>
      <c r="R1049" s="6"/>
      <c r="X1049" s="6"/>
      <c r="AD1049" s="6"/>
    </row>
    <row r="1050" spans="6:30">
      <c r="F1050" s="6"/>
      <c r="L1050" s="6"/>
      <c r="R1050" s="6"/>
      <c r="X1050" s="6"/>
      <c r="AD1050" s="6"/>
    </row>
    <row r="1051" spans="6:30">
      <c r="F1051" s="6"/>
      <c r="L1051" s="6"/>
      <c r="R1051" s="6"/>
      <c r="X1051" s="6"/>
      <c r="AD1051" s="6"/>
    </row>
    <row r="1052" spans="6:30">
      <c r="F1052" s="6"/>
      <c r="L1052" s="6"/>
      <c r="R1052" s="6"/>
      <c r="X1052" s="6"/>
      <c r="AD1052" s="6"/>
    </row>
    <row r="1053" spans="6:30">
      <c r="F1053" s="6"/>
      <c r="L1053" s="6"/>
      <c r="R1053" s="6"/>
      <c r="X1053" s="6"/>
      <c r="AD1053" s="6"/>
    </row>
    <row r="1054" spans="6:30">
      <c r="F1054" s="6"/>
      <c r="L1054" s="6"/>
      <c r="R1054" s="6"/>
      <c r="X1054" s="6"/>
      <c r="AD1054" s="6"/>
    </row>
    <row r="1055" spans="6:30">
      <c r="F1055" s="6"/>
      <c r="L1055" s="6"/>
      <c r="R1055" s="6"/>
      <c r="X1055" s="6"/>
      <c r="AD1055" s="6"/>
    </row>
    <row r="1056" spans="6:30">
      <c r="F1056" s="6"/>
      <c r="L1056" s="6"/>
      <c r="R1056" s="6"/>
      <c r="X1056" s="6"/>
      <c r="AD1056" s="6"/>
    </row>
    <row r="1057" spans="6:30">
      <c r="F1057" s="6"/>
      <c r="L1057" s="6"/>
      <c r="R1057" s="6"/>
      <c r="X1057" s="6"/>
      <c r="AD1057" s="6"/>
    </row>
    <row r="1058" spans="6:30">
      <c r="F1058" s="6"/>
      <c r="L1058" s="6"/>
      <c r="R1058" s="6"/>
      <c r="X1058" s="6"/>
      <c r="AD1058" s="6"/>
    </row>
    <row r="1059" spans="6:30">
      <c r="F1059" s="6"/>
      <c r="L1059" s="6"/>
      <c r="R1059" s="6"/>
      <c r="X1059" s="6"/>
      <c r="AD1059" s="6"/>
    </row>
    <row r="1060" spans="6:30">
      <c r="F1060" s="6"/>
      <c r="L1060" s="6"/>
      <c r="R1060" s="6"/>
      <c r="X1060" s="6"/>
      <c r="AD1060" s="6"/>
    </row>
    <row r="1061" spans="6:30">
      <c r="F1061" s="6"/>
      <c r="L1061" s="6"/>
      <c r="R1061" s="6"/>
      <c r="X1061" s="6"/>
      <c r="AD1061" s="6"/>
    </row>
    <row r="1062" spans="6:30">
      <c r="F1062" s="6"/>
      <c r="L1062" s="6"/>
      <c r="R1062" s="6"/>
      <c r="X1062" s="6"/>
      <c r="AD1062" s="6"/>
    </row>
    <row r="1063" spans="6:30">
      <c r="F1063" s="6"/>
      <c r="L1063" s="6"/>
      <c r="R1063" s="6"/>
      <c r="X1063" s="6"/>
      <c r="AD1063" s="6"/>
    </row>
    <row r="1064" spans="6:30">
      <c r="F1064" s="6"/>
      <c r="L1064" s="6"/>
      <c r="R1064" s="6"/>
      <c r="X1064" s="6"/>
      <c r="AD1064" s="6"/>
    </row>
    <row r="1065" spans="6:30">
      <c r="F1065" s="6"/>
      <c r="L1065" s="6"/>
      <c r="R1065" s="6"/>
      <c r="X1065" s="6"/>
      <c r="AD1065" s="6"/>
    </row>
    <row r="1066" spans="6:30">
      <c r="F1066" s="6"/>
      <c r="L1066" s="6"/>
      <c r="R1066" s="6"/>
      <c r="X1066" s="6"/>
      <c r="AD1066" s="6"/>
    </row>
    <row r="1067" spans="6:30">
      <c r="F1067" s="6"/>
      <c r="L1067" s="6"/>
      <c r="R1067" s="6"/>
      <c r="X1067" s="6"/>
      <c r="AD1067" s="6"/>
    </row>
    <row r="1068" spans="6:30">
      <c r="F1068" s="6"/>
      <c r="L1068" s="6"/>
      <c r="R1068" s="6"/>
      <c r="X1068" s="6"/>
      <c r="AD1068" s="6"/>
    </row>
    <row r="1069" spans="6:30">
      <c r="F1069" s="6"/>
      <c r="L1069" s="6"/>
      <c r="R1069" s="6"/>
      <c r="X1069" s="6"/>
      <c r="AD1069" s="6"/>
    </row>
    <row r="1070" spans="6:30">
      <c r="F1070" s="6"/>
      <c r="L1070" s="6"/>
      <c r="R1070" s="6"/>
      <c r="X1070" s="6"/>
      <c r="AD1070" s="6"/>
    </row>
    <row r="1071" spans="6:30">
      <c r="F1071" s="6"/>
      <c r="L1071" s="6"/>
      <c r="R1071" s="6"/>
      <c r="X1071" s="6"/>
      <c r="AD1071" s="6"/>
    </row>
    <row r="1072" spans="6:30">
      <c r="F1072" s="6"/>
      <c r="L1072" s="6"/>
      <c r="R1072" s="6"/>
      <c r="X1072" s="6"/>
      <c r="AD1072" s="6"/>
    </row>
    <row r="1073" spans="6:30">
      <c r="F1073" s="6"/>
      <c r="L1073" s="6"/>
      <c r="R1073" s="6"/>
      <c r="X1073" s="6"/>
      <c r="AD1073" s="6"/>
    </row>
  </sheetData>
  <conditionalFormatting sqref="B14:B1073">
    <cfRule type="cellIs" dxfId="34" priority="8" operator="greaterThan">
      <formula>300</formula>
    </cfRule>
  </conditionalFormatting>
  <conditionalFormatting sqref="E14:E669">
    <cfRule type="cellIs" dxfId="33" priority="7" operator="greaterThan">
      <formula>300</formula>
    </cfRule>
  </conditionalFormatting>
  <conditionalFormatting sqref="H14:H1073">
    <cfRule type="cellIs" dxfId="32" priority="6" operator="greaterThan">
      <formula>300</formula>
    </cfRule>
  </conditionalFormatting>
  <conditionalFormatting sqref="K14:K669">
    <cfRule type="cellIs" dxfId="31" priority="5" operator="greaterThan">
      <formula>300</formula>
    </cfRule>
  </conditionalFormatting>
  <conditionalFormatting sqref="N14:N1081">
    <cfRule type="cellIs" dxfId="30" priority="11" operator="greaterThan">
      <formula>300</formula>
    </cfRule>
  </conditionalFormatting>
  <conditionalFormatting sqref="Q14:Q669">
    <cfRule type="cellIs" dxfId="29" priority="10" operator="greaterThan">
      <formula>300</formula>
    </cfRule>
  </conditionalFormatting>
  <conditionalFormatting sqref="S12:W12">
    <cfRule type="cellIs" dxfId="28" priority="2" operator="between">
      <formula>300</formula>
      <formula>1000000</formula>
    </cfRule>
  </conditionalFormatting>
  <conditionalFormatting sqref="X12:AJ1025">
    <cfRule type="cellIs" dxfId="27" priority="1" operator="between">
      <formula>300</formula>
      <formula>1000000</formula>
    </cfRule>
  </conditionalFormatting>
  <conditionalFormatting sqref="Z14:Z1073">
    <cfRule type="cellIs" dxfId="26" priority="4" operator="greaterThan">
      <formula>300</formula>
    </cfRule>
  </conditionalFormatting>
  <conditionalFormatting sqref="AC14:AC669">
    <cfRule type="cellIs" dxfId="25" priority="3" operator="greaterThan">
      <formula>300</formula>
    </cfRule>
  </conditionalFormatting>
  <hyperlinks>
    <hyperlink ref="M2" r:id="rId1" display="https://atspm.udot.utah.gov/performance-measures" xr:uid="{AC6360F4-F74D-4C3E-8290-BE87805DDD39}"/>
    <hyperlink ref="A2" r:id="rId2" display="https://atspm.udot.utah.gov/performance-measures" xr:uid="{27122707-1A76-4D75-BBE0-E09558C51AD0}"/>
    <hyperlink ref="G2" r:id="rId3" display="https://atspm.udot.utah.gov/performance-measures" xr:uid="{3365C1E3-7DC2-4312-BAA4-8866B45A8687}"/>
    <hyperlink ref="Y2" r:id="rId4" display="https://atspm.udot.utah.gov/performance-measures" xr:uid="{173B3539-6F58-40BC-AF53-A3951CDBE4DA}"/>
    <hyperlink ref="AE2" r:id="rId5" display="https://atspm.udot.utah.gov/performance-measures" xr:uid="{95C12476-2AF7-4391-B655-67B54D0FE82F}"/>
    <hyperlink ref="S2" r:id="rId6" display="https://atspm.udot.utah.gov/performance-measures" xr:uid="{B4C2392C-AB75-4B94-9402-26CD7A63267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39ED-42B0-4E3A-86C5-A3ED861AD90C}">
  <dimension ref="A1:BT118"/>
  <sheetViews>
    <sheetView topLeftCell="AK1" workbookViewId="0">
      <selection activeCell="BE12" sqref="BE12"/>
    </sheetView>
  </sheetViews>
  <sheetFormatPr defaultRowHeight="15"/>
  <cols>
    <col min="1" max="1" width="26" customWidth="1"/>
    <col min="13" max="13" width="23.42578125" customWidth="1"/>
    <col min="25" max="25" width="21.42578125" customWidth="1"/>
    <col min="37" max="37" width="21.5703125" customWidth="1"/>
    <col min="49" max="49" width="21.7109375" customWidth="1"/>
    <col min="61" max="61" width="21" customWidth="1"/>
  </cols>
  <sheetData>
    <row r="1" spans="1:72" ht="23.25">
      <c r="A1" s="1" t="s">
        <v>73</v>
      </c>
      <c r="L1" s="6"/>
      <c r="M1" s="1" t="s">
        <v>74</v>
      </c>
      <c r="X1" s="6"/>
      <c r="Y1" s="1" t="s">
        <v>75</v>
      </c>
      <c r="AJ1" s="6"/>
      <c r="AK1" s="1" t="s">
        <v>76</v>
      </c>
      <c r="AV1" s="6"/>
      <c r="AW1" s="1" t="s">
        <v>77</v>
      </c>
      <c r="BH1" s="6"/>
      <c r="BI1" s="1" t="s">
        <v>78</v>
      </c>
      <c r="BT1" s="6"/>
    </row>
    <row r="2" spans="1:72">
      <c r="A2" s="2" t="s">
        <v>79</v>
      </c>
      <c r="C2" t="s">
        <v>96</v>
      </c>
      <c r="L2" s="6"/>
      <c r="M2" s="2" t="s">
        <v>79</v>
      </c>
      <c r="O2" t="s">
        <v>96</v>
      </c>
      <c r="X2" s="6"/>
      <c r="Y2" s="2" t="s">
        <v>79</v>
      </c>
      <c r="AA2" t="s">
        <v>96</v>
      </c>
      <c r="AJ2" s="6"/>
      <c r="AK2" s="2" t="s">
        <v>79</v>
      </c>
      <c r="AM2" t="s">
        <v>96</v>
      </c>
      <c r="AV2" s="6"/>
      <c r="AW2" s="2" t="s">
        <v>79</v>
      </c>
      <c r="AY2" t="s">
        <v>96</v>
      </c>
      <c r="BH2" s="6"/>
      <c r="BI2" s="2" t="s">
        <v>79</v>
      </c>
      <c r="BK2" t="s">
        <v>96</v>
      </c>
      <c r="BT2" s="6"/>
    </row>
    <row r="3" spans="1:72">
      <c r="A3" t="s">
        <v>39</v>
      </c>
      <c r="L3" s="6"/>
      <c r="M3" t="s">
        <v>39</v>
      </c>
      <c r="X3" s="6"/>
      <c r="Y3" t="s">
        <v>39</v>
      </c>
      <c r="AJ3" s="6"/>
      <c r="AK3" t="s">
        <v>39</v>
      </c>
      <c r="AV3" s="6"/>
      <c r="AW3" t="s">
        <v>39</v>
      </c>
      <c r="BH3" s="6"/>
      <c r="BI3" t="s">
        <v>39</v>
      </c>
      <c r="BT3" s="6"/>
    </row>
    <row r="4" spans="1:72">
      <c r="A4" t="s">
        <v>81</v>
      </c>
      <c r="L4" s="6"/>
      <c r="M4" t="s">
        <v>81</v>
      </c>
      <c r="X4" s="6"/>
      <c r="Y4" t="s">
        <v>81</v>
      </c>
      <c r="AJ4" s="6"/>
      <c r="AK4" t="s">
        <v>81</v>
      </c>
      <c r="AV4" s="6"/>
      <c r="AW4" t="s">
        <v>81</v>
      </c>
      <c r="BH4" s="6"/>
      <c r="BI4" t="s">
        <v>81</v>
      </c>
      <c r="BT4" s="6"/>
    </row>
    <row r="5" spans="1:72">
      <c r="A5" s="5" t="s">
        <v>97</v>
      </c>
      <c r="L5" s="6"/>
      <c r="M5" s="5" t="s">
        <v>98</v>
      </c>
      <c r="X5" s="6"/>
      <c r="Y5" s="5" t="s">
        <v>99</v>
      </c>
      <c r="AJ5" s="6"/>
      <c r="AK5" s="5" t="s">
        <v>100</v>
      </c>
      <c r="AV5" s="6"/>
      <c r="AW5" s="5" t="s">
        <v>101</v>
      </c>
      <c r="BH5" s="6"/>
      <c r="BI5" s="5" t="s">
        <v>102</v>
      </c>
      <c r="BT5" s="6"/>
    </row>
    <row r="6" spans="1:72">
      <c r="L6" s="6"/>
      <c r="X6" s="6"/>
      <c r="AJ6" s="6"/>
      <c r="AV6" s="6"/>
      <c r="BH6" s="6"/>
      <c r="BT6" s="6"/>
    </row>
    <row r="7" spans="1:72">
      <c r="A7" s="3" t="s">
        <v>39</v>
      </c>
      <c r="L7" s="6"/>
      <c r="M7" s="3" t="s">
        <v>39</v>
      </c>
      <c r="X7" s="6"/>
      <c r="Y7" s="3" t="s">
        <v>39</v>
      </c>
      <c r="AJ7" s="6"/>
      <c r="AK7" s="3" t="s">
        <v>39</v>
      </c>
      <c r="AV7" s="6"/>
      <c r="AW7" s="3" t="s">
        <v>39</v>
      </c>
      <c r="BH7" s="6"/>
      <c r="BI7" s="3" t="s">
        <v>39</v>
      </c>
      <c r="BT7" s="6"/>
    </row>
    <row r="8" spans="1:72">
      <c r="A8" t="s">
        <v>44</v>
      </c>
      <c r="B8" s="9">
        <f>AVERAGE(B17:B82,E:E,H:H,K:K)</f>
        <v>47.185823754789283</v>
      </c>
      <c r="C8" t="s">
        <v>45</v>
      </c>
      <c r="L8" s="6"/>
      <c r="M8" t="s">
        <v>44</v>
      </c>
      <c r="N8" s="9">
        <f>AVERAGE(N17:N90,Q:Q,T:T,W:W)</f>
        <v>41.896644295302032</v>
      </c>
      <c r="O8" t="s">
        <v>45</v>
      </c>
      <c r="X8" s="6"/>
      <c r="Y8" t="s">
        <v>44</v>
      </c>
      <c r="Z8" s="9">
        <f>AVERAGE(Z17:Z84,AC:AC,AF:AF,AI:AI)</f>
        <v>37.602247191011259</v>
      </c>
      <c r="AA8" t="s">
        <v>45</v>
      </c>
      <c r="AJ8" s="6"/>
      <c r="AK8" t="s">
        <v>44</v>
      </c>
      <c r="AL8" s="9">
        <f>AVERAGE(AL17:AL84,AO:AO,AR:AR,AU:AU)</f>
        <v>37.320895522388085</v>
      </c>
      <c r="AM8" t="s">
        <v>45</v>
      </c>
      <c r="AV8" s="6"/>
      <c r="AW8" t="s">
        <v>44</v>
      </c>
      <c r="AX8" s="9">
        <f>AVERAGE(AX17:AX84,BA:BA,BD:BD,BG:BG)</f>
        <v>42.31898148148148</v>
      </c>
      <c r="AY8" t="s">
        <v>45</v>
      </c>
      <c r="BH8" s="6"/>
      <c r="BI8" t="s">
        <v>44</v>
      </c>
      <c r="BJ8" s="9">
        <f>AVERAGE(BJ17:BJ89,BM:BM,BP:BP,BS:BS)</f>
        <v>43.84232365145229</v>
      </c>
      <c r="BK8" t="s">
        <v>45</v>
      </c>
      <c r="BT8" s="6"/>
    </row>
    <row r="9" spans="1:72">
      <c r="A9" t="s">
        <v>4</v>
      </c>
      <c r="B9" s="9">
        <f>AVERAGE(B17:B82)</f>
        <v>40.113636363636374</v>
      </c>
      <c r="C9" t="s">
        <v>45</v>
      </c>
      <c r="L9" s="6"/>
      <c r="M9" t="s">
        <v>4</v>
      </c>
      <c r="N9" s="9">
        <f>AVERAGE(N17:N90)</f>
        <v>41.583783783783772</v>
      </c>
      <c r="O9" t="s">
        <v>45</v>
      </c>
      <c r="X9" s="6"/>
      <c r="Y9" t="s">
        <v>4</v>
      </c>
      <c r="Z9" s="9">
        <f>AVERAGE(Z17:Z84)</f>
        <v>28.826470588235303</v>
      </c>
      <c r="AA9" t="s">
        <v>45</v>
      </c>
      <c r="AJ9" s="6"/>
      <c r="AK9" t="s">
        <v>4</v>
      </c>
      <c r="AL9" s="9">
        <f>AVERAGE(AL17:AL84)</f>
        <v>37.333333333333343</v>
      </c>
      <c r="AM9" t="s">
        <v>45</v>
      </c>
      <c r="AV9" s="6"/>
      <c r="AW9" t="s">
        <v>4</v>
      </c>
      <c r="AX9" s="9">
        <f>AVERAGE(AX17:AX84)</f>
        <v>44.420338983050861</v>
      </c>
      <c r="AY9" t="s">
        <v>45</v>
      </c>
      <c r="BH9" s="6"/>
      <c r="BI9" t="s">
        <v>4</v>
      </c>
      <c r="BJ9" s="9">
        <f>AVERAGE(BJ17:BJ89)</f>
        <v>42.578082191780823</v>
      </c>
      <c r="BK9" t="s">
        <v>45</v>
      </c>
      <c r="BT9" s="6"/>
    </row>
    <row r="10" spans="1:72">
      <c r="A10" t="s">
        <v>42</v>
      </c>
      <c r="B10" s="9">
        <f>AVERAGE(E:E)</f>
        <v>53.44242424242421</v>
      </c>
      <c r="C10" t="s">
        <v>45</v>
      </c>
      <c r="L10" s="6"/>
      <c r="M10" t="s">
        <v>42</v>
      </c>
      <c r="N10" s="9">
        <f>AVERAGE(Q:Q)</f>
        <v>45.039759036144559</v>
      </c>
      <c r="O10" t="s">
        <v>45</v>
      </c>
      <c r="X10" s="6"/>
      <c r="Y10" t="s">
        <v>42</v>
      </c>
      <c r="Z10" s="9">
        <f>AVERAGE(AC:AC)</f>
        <v>52.949275362318843</v>
      </c>
      <c r="AA10" t="s">
        <v>45</v>
      </c>
      <c r="AJ10" s="6"/>
      <c r="AK10" t="s">
        <v>42</v>
      </c>
      <c r="AL10" s="9">
        <f>AVERAGE(AO:AO)</f>
        <v>43.455681818181809</v>
      </c>
      <c r="AM10" t="s">
        <v>45</v>
      </c>
      <c r="AV10" s="6"/>
      <c r="AW10" t="s">
        <v>42</v>
      </c>
      <c r="AX10" s="9">
        <f>AVERAGE(BA:BA)</f>
        <v>41.280000000000008</v>
      </c>
      <c r="AY10" t="s">
        <v>45</v>
      </c>
      <c r="BH10" s="6"/>
      <c r="BI10" t="s">
        <v>42</v>
      </c>
      <c r="BJ10" s="9">
        <f>AVERAGE(BM:BM)</f>
        <v>55.367187499999993</v>
      </c>
      <c r="BK10" t="s">
        <v>45</v>
      </c>
      <c r="BT10" s="6"/>
    </row>
    <row r="11" spans="1:72">
      <c r="A11" t="s">
        <v>5</v>
      </c>
      <c r="B11" s="9">
        <f>AVERAGE(H:H)</f>
        <v>38.618749999999999</v>
      </c>
      <c r="C11" t="s">
        <v>45</v>
      </c>
      <c r="L11" s="6"/>
      <c r="M11" t="s">
        <v>5</v>
      </c>
      <c r="N11" s="9">
        <f>AVERAGE(T:T)</f>
        <v>44.342857142857149</v>
      </c>
      <c r="O11" t="s">
        <v>45</v>
      </c>
      <c r="X11" s="6"/>
      <c r="Y11" t="s">
        <v>5</v>
      </c>
      <c r="Z11" s="9">
        <f>AVERAGE(AF:AF)</f>
        <v>33.172222222222238</v>
      </c>
      <c r="AA11" t="s">
        <v>45</v>
      </c>
      <c r="AJ11" s="6"/>
      <c r="AK11" t="s">
        <v>5</v>
      </c>
      <c r="AL11" s="9">
        <f>AVERAGE(AR:AR)</f>
        <v>31.411538461538459</v>
      </c>
      <c r="AM11" t="s">
        <v>45</v>
      </c>
      <c r="AV11" s="6"/>
      <c r="AW11" t="s">
        <v>5</v>
      </c>
      <c r="AX11" s="9">
        <f>AVERAGE(BD:BD)</f>
        <v>38.280851063829786</v>
      </c>
      <c r="AY11" t="s">
        <v>45</v>
      </c>
      <c r="BH11" s="6"/>
      <c r="BI11" t="s">
        <v>5</v>
      </c>
      <c r="BJ11" s="9">
        <f>AVERAGE(BP:BP)</f>
        <v>34.276562500000004</v>
      </c>
      <c r="BK11" t="s">
        <v>45</v>
      </c>
      <c r="BT11" s="6"/>
    </row>
    <row r="12" spans="1:72">
      <c r="A12" t="s">
        <v>43</v>
      </c>
      <c r="B12" s="9">
        <f>AVERAGE(K:K)</f>
        <v>52.927160493827152</v>
      </c>
      <c r="C12" t="s">
        <v>45</v>
      </c>
      <c r="L12" s="6"/>
      <c r="M12" t="s">
        <v>43</v>
      </c>
      <c r="N12" s="9">
        <f>AVERAGE(W:W)</f>
        <v>36.873076923076937</v>
      </c>
      <c r="O12" t="s">
        <v>45</v>
      </c>
      <c r="X12" s="6"/>
      <c r="Y12" t="s">
        <v>43</v>
      </c>
      <c r="Z12" s="9">
        <f>AVERAGE(AI:AI)</f>
        <v>35.132758620689664</v>
      </c>
      <c r="AA12" t="s">
        <v>45</v>
      </c>
      <c r="AJ12" s="6"/>
      <c r="AK12" t="s">
        <v>43</v>
      </c>
      <c r="AL12" s="9">
        <f>AVERAGE(AU:AU)</f>
        <v>33.730769230769226</v>
      </c>
      <c r="AM12" t="s">
        <v>45</v>
      </c>
      <c r="AV12" s="6"/>
      <c r="AW12" t="s">
        <v>43</v>
      </c>
      <c r="AX12" s="9">
        <f>AVERAGE(BG:BG)</f>
        <v>44.554545454545462</v>
      </c>
      <c r="AY12" t="s">
        <v>45</v>
      </c>
      <c r="BH12" s="6"/>
      <c r="BI12" t="s">
        <v>43</v>
      </c>
      <c r="BJ12" s="9">
        <f>AVERAGE(BS:BS)</f>
        <v>43.015000000000008</v>
      </c>
      <c r="BK12" t="s">
        <v>45</v>
      </c>
      <c r="BT12" s="6"/>
    </row>
    <row r="13" spans="1:72">
      <c r="L13" s="6"/>
      <c r="X13" s="6"/>
      <c r="AJ13" s="6"/>
      <c r="AV13" s="6"/>
      <c r="BH13" s="6"/>
      <c r="BT13" s="6"/>
    </row>
    <row r="14" spans="1:72">
      <c r="A14" s="3" t="s">
        <v>103</v>
      </c>
      <c r="B14" s="4"/>
      <c r="L14" s="6"/>
      <c r="M14" s="3" t="s">
        <v>103</v>
      </c>
      <c r="N14" s="4"/>
      <c r="X14" s="6"/>
      <c r="Y14" s="3" t="s">
        <v>103</v>
      </c>
      <c r="Z14" s="4"/>
      <c r="AJ14" s="6"/>
      <c r="AK14" s="3" t="s">
        <v>103</v>
      </c>
      <c r="AL14" s="4"/>
      <c r="AV14" s="6"/>
      <c r="AW14" s="3" t="s">
        <v>103</v>
      </c>
      <c r="AX14" s="4"/>
      <c r="BH14" s="6"/>
      <c r="BI14" s="3" t="s">
        <v>103</v>
      </c>
      <c r="BJ14" s="4"/>
      <c r="BT14" s="6"/>
    </row>
    <row r="15" spans="1:72">
      <c r="A15" s="3" t="s">
        <v>4</v>
      </c>
      <c r="B15" s="7"/>
      <c r="C15" s="3"/>
      <c r="D15" s="3" t="s">
        <v>42</v>
      </c>
      <c r="E15" s="3"/>
      <c r="F15" s="3"/>
      <c r="G15" s="3" t="s">
        <v>5</v>
      </c>
      <c r="H15" s="3"/>
      <c r="I15" s="3"/>
      <c r="J15" s="3" t="s">
        <v>43</v>
      </c>
      <c r="K15" s="3"/>
      <c r="L15" s="8"/>
      <c r="M15" s="3" t="s">
        <v>4</v>
      </c>
      <c r="N15" s="7"/>
      <c r="O15" s="3"/>
      <c r="P15" s="3" t="s">
        <v>42</v>
      </c>
      <c r="Q15" s="3"/>
      <c r="R15" s="3"/>
      <c r="S15" s="3" t="s">
        <v>5</v>
      </c>
      <c r="T15" s="3"/>
      <c r="U15" s="3"/>
      <c r="V15" s="3" t="s">
        <v>43</v>
      </c>
      <c r="W15" s="3"/>
      <c r="X15" s="8"/>
      <c r="Y15" s="3" t="s">
        <v>4</v>
      </c>
      <c r="Z15" s="7"/>
      <c r="AA15" s="3"/>
      <c r="AB15" s="3" t="s">
        <v>42</v>
      </c>
      <c r="AC15" s="3"/>
      <c r="AD15" s="3"/>
      <c r="AE15" s="3" t="s">
        <v>5</v>
      </c>
      <c r="AF15" s="3"/>
      <c r="AG15" s="3"/>
      <c r="AH15" s="3" t="s">
        <v>43</v>
      </c>
      <c r="AI15" s="3"/>
      <c r="AJ15" s="8"/>
      <c r="AK15" s="3" t="s">
        <v>4</v>
      </c>
      <c r="AL15" s="7"/>
      <c r="AM15" s="3"/>
      <c r="AN15" s="3" t="s">
        <v>42</v>
      </c>
      <c r="AO15" s="3"/>
      <c r="AP15" s="3"/>
      <c r="AQ15" s="3" t="s">
        <v>5</v>
      </c>
      <c r="AR15" s="3"/>
      <c r="AS15" s="3"/>
      <c r="AT15" s="3" t="s">
        <v>43</v>
      </c>
      <c r="AU15" s="3"/>
      <c r="AV15" s="8"/>
      <c r="AW15" s="3" t="s">
        <v>4</v>
      </c>
      <c r="AX15" s="7"/>
      <c r="AY15" s="3"/>
      <c r="AZ15" s="3" t="s">
        <v>42</v>
      </c>
      <c r="BA15" s="3"/>
      <c r="BB15" s="3"/>
      <c r="BC15" s="3" t="s">
        <v>5</v>
      </c>
      <c r="BD15" s="3"/>
      <c r="BE15" s="3"/>
      <c r="BF15" s="3" t="s">
        <v>43</v>
      </c>
      <c r="BG15" s="3"/>
      <c r="BH15" s="8"/>
      <c r="BI15" s="3" t="s">
        <v>4</v>
      </c>
      <c r="BJ15" s="7"/>
      <c r="BK15" s="3"/>
      <c r="BL15" s="3" t="s">
        <v>42</v>
      </c>
      <c r="BM15" s="3"/>
      <c r="BN15" s="3"/>
      <c r="BO15" s="3" t="s">
        <v>5</v>
      </c>
      <c r="BP15" s="3"/>
      <c r="BQ15" s="3"/>
      <c r="BR15" s="3" t="s">
        <v>43</v>
      </c>
      <c r="BS15" s="3"/>
      <c r="BT15" s="8"/>
    </row>
    <row r="16" spans="1:72">
      <c r="A16" t="s">
        <v>39</v>
      </c>
      <c r="D16" t="s">
        <v>39</v>
      </c>
      <c r="G16" t="s">
        <v>39</v>
      </c>
      <c r="J16" t="s">
        <v>39</v>
      </c>
      <c r="L16" s="6"/>
      <c r="M16" t="s">
        <v>39</v>
      </c>
      <c r="N16" s="4"/>
      <c r="P16" t="s">
        <v>39</v>
      </c>
      <c r="S16" t="s">
        <v>39</v>
      </c>
      <c r="V16" t="s">
        <v>39</v>
      </c>
      <c r="X16" s="6"/>
      <c r="Y16" t="s">
        <v>39</v>
      </c>
      <c r="Z16" s="4"/>
      <c r="AB16" t="s">
        <v>39</v>
      </c>
      <c r="AE16" t="s">
        <v>39</v>
      </c>
      <c r="AH16" t="s">
        <v>39</v>
      </c>
      <c r="AJ16" s="6"/>
      <c r="AK16" t="s">
        <v>39</v>
      </c>
      <c r="AL16" s="4"/>
      <c r="AN16" t="s">
        <v>39</v>
      </c>
      <c r="AQ16" t="s">
        <v>39</v>
      </c>
      <c r="AT16" t="s">
        <v>39</v>
      </c>
      <c r="AV16" s="6"/>
      <c r="AW16" t="s">
        <v>39</v>
      </c>
      <c r="AX16" s="4"/>
      <c r="AZ16" t="s">
        <v>39</v>
      </c>
      <c r="BC16" t="s">
        <v>39</v>
      </c>
      <c r="BF16" t="s">
        <v>39</v>
      </c>
      <c r="BH16" s="6"/>
      <c r="BI16" t="s">
        <v>39</v>
      </c>
      <c r="BJ16" s="4"/>
      <c r="BL16" t="s">
        <v>39</v>
      </c>
      <c r="BO16" t="s">
        <v>39</v>
      </c>
      <c r="BR16" t="s">
        <v>39</v>
      </c>
      <c r="BT16" s="6"/>
    </row>
    <row r="17" spans="1:72">
      <c r="A17">
        <v>1777962217006</v>
      </c>
      <c r="B17">
        <v>0.3</v>
      </c>
      <c r="D17">
        <v>1777982049001</v>
      </c>
      <c r="E17">
        <v>80.099999999999994</v>
      </c>
      <c r="G17">
        <v>1777960816008</v>
      </c>
      <c r="H17">
        <v>0.3</v>
      </c>
      <c r="J17">
        <v>1777961065000</v>
      </c>
      <c r="K17">
        <v>0.3</v>
      </c>
      <c r="L17" s="6"/>
      <c r="M17">
        <v>1778059282004</v>
      </c>
      <c r="N17" s="4">
        <v>81.7</v>
      </c>
      <c r="P17">
        <v>1778070138006</v>
      </c>
      <c r="Q17">
        <v>18.3</v>
      </c>
      <c r="S17">
        <v>1778066759001</v>
      </c>
      <c r="T17">
        <v>29.9</v>
      </c>
      <c r="V17">
        <v>1778058936009</v>
      </c>
      <c r="W17">
        <v>6.2</v>
      </c>
      <c r="X17" s="6"/>
      <c r="Y17">
        <v>1779089736000</v>
      </c>
      <c r="Z17" s="4">
        <v>0.3</v>
      </c>
      <c r="AB17">
        <v>1779110146003</v>
      </c>
      <c r="AC17">
        <v>6.1</v>
      </c>
      <c r="AE17">
        <v>1779103475005</v>
      </c>
      <c r="AF17">
        <v>18.5</v>
      </c>
      <c r="AH17">
        <v>1779092497002</v>
      </c>
      <c r="AI17">
        <v>9.4</v>
      </c>
      <c r="AJ17" s="6"/>
      <c r="AK17">
        <v>1782194782005</v>
      </c>
      <c r="AL17" s="4">
        <v>0.3</v>
      </c>
      <c r="AN17">
        <v>1782196859004</v>
      </c>
      <c r="AO17">
        <v>59.7</v>
      </c>
      <c r="AQ17">
        <v>1782198385005</v>
      </c>
      <c r="AR17">
        <v>0.3</v>
      </c>
      <c r="AT17">
        <v>1782195038002</v>
      </c>
      <c r="AU17">
        <v>35.9</v>
      </c>
      <c r="AV17" s="6"/>
      <c r="AW17">
        <v>1784022877006</v>
      </c>
      <c r="AX17" s="4">
        <v>0.3</v>
      </c>
      <c r="AZ17">
        <v>1784030429005</v>
      </c>
      <c r="BA17">
        <v>15</v>
      </c>
      <c r="BC17">
        <v>1784030375005</v>
      </c>
      <c r="BD17">
        <v>13.5</v>
      </c>
      <c r="BF17">
        <v>1784012496005</v>
      </c>
      <c r="BG17">
        <v>42</v>
      </c>
      <c r="BH17" s="6"/>
      <c r="BI17">
        <v>1784096859005</v>
      </c>
      <c r="BJ17" s="4">
        <v>0.3</v>
      </c>
      <c r="BL17">
        <v>1784118691000</v>
      </c>
      <c r="BM17">
        <v>82.7</v>
      </c>
      <c r="BO17">
        <v>1784095381006</v>
      </c>
      <c r="BP17">
        <v>0.3</v>
      </c>
      <c r="BR17">
        <v>1784098751009</v>
      </c>
      <c r="BS17">
        <v>14.9</v>
      </c>
      <c r="BT17" s="6"/>
    </row>
    <row r="18" spans="1:72">
      <c r="A18">
        <v>1777983843002</v>
      </c>
      <c r="B18">
        <v>23.9</v>
      </c>
      <c r="D18">
        <v>1777982198001</v>
      </c>
      <c r="E18">
        <v>29.1</v>
      </c>
      <c r="G18">
        <v>1777961108004</v>
      </c>
      <c r="H18">
        <v>39.4</v>
      </c>
      <c r="J18">
        <v>1777974651001</v>
      </c>
      <c r="K18">
        <v>7.4</v>
      </c>
      <c r="L18" s="6"/>
      <c r="M18">
        <v>1778059632006</v>
      </c>
      <c r="N18" s="4">
        <v>91.9</v>
      </c>
      <c r="P18">
        <v>1778070831008</v>
      </c>
      <c r="Q18">
        <v>59.2</v>
      </c>
      <c r="S18">
        <v>1778070908006</v>
      </c>
      <c r="T18">
        <v>35.299999999999997</v>
      </c>
      <c r="V18">
        <v>1778059206004</v>
      </c>
      <c r="W18">
        <v>0.3</v>
      </c>
      <c r="X18" s="6"/>
      <c r="Y18">
        <v>1779089793006</v>
      </c>
      <c r="Z18" s="4">
        <v>0.3</v>
      </c>
      <c r="AB18">
        <v>1779110939002</v>
      </c>
      <c r="AC18">
        <v>64.900000000000006</v>
      </c>
      <c r="AE18">
        <v>1779106317007</v>
      </c>
      <c r="AF18">
        <v>8</v>
      </c>
      <c r="AH18">
        <v>1779101806005</v>
      </c>
      <c r="AI18">
        <v>18.5</v>
      </c>
      <c r="AJ18" s="6"/>
      <c r="AK18">
        <v>1782195105005</v>
      </c>
      <c r="AL18" s="4">
        <v>0.3</v>
      </c>
      <c r="AN18">
        <v>1782201439006</v>
      </c>
      <c r="AO18">
        <v>6.2</v>
      </c>
      <c r="AQ18">
        <v>1782202065007</v>
      </c>
      <c r="AR18">
        <v>0.3</v>
      </c>
      <c r="AT18">
        <v>1782199540001</v>
      </c>
      <c r="AU18">
        <v>28</v>
      </c>
      <c r="AV18" s="6"/>
      <c r="AW18">
        <v>1784031691006</v>
      </c>
      <c r="AX18" s="4">
        <v>0.3</v>
      </c>
      <c r="AZ18">
        <v>1784030587009</v>
      </c>
      <c r="BA18">
        <v>46.3</v>
      </c>
      <c r="BC18">
        <v>1784031793008</v>
      </c>
      <c r="BD18">
        <v>0.3</v>
      </c>
      <c r="BF18">
        <v>1784013219005</v>
      </c>
      <c r="BG18">
        <v>13.7</v>
      </c>
      <c r="BH18" s="6"/>
      <c r="BI18">
        <v>1784096859008</v>
      </c>
      <c r="BJ18" s="4">
        <v>0</v>
      </c>
      <c r="BL18">
        <v>1784119089000</v>
      </c>
      <c r="BM18">
        <v>94.8</v>
      </c>
      <c r="BO18">
        <v>1784116856006</v>
      </c>
      <c r="BP18">
        <v>0.3</v>
      </c>
      <c r="BR18">
        <v>1784117945006</v>
      </c>
      <c r="BS18">
        <v>2</v>
      </c>
      <c r="BT18" s="6"/>
    </row>
    <row r="19" spans="1:72">
      <c r="A19">
        <v>1777984081008</v>
      </c>
      <c r="B19">
        <v>29.8</v>
      </c>
      <c r="D19">
        <v>1777983953009</v>
      </c>
      <c r="E19">
        <v>0.3</v>
      </c>
      <c r="G19">
        <v>1777965709005</v>
      </c>
      <c r="H19">
        <v>0.3</v>
      </c>
      <c r="J19">
        <v>1777974715006</v>
      </c>
      <c r="K19">
        <v>10</v>
      </c>
      <c r="L19" s="6"/>
      <c r="M19">
        <v>1778072994003</v>
      </c>
      <c r="N19" s="4">
        <v>28.7</v>
      </c>
      <c r="P19">
        <v>1778072423002</v>
      </c>
      <c r="Q19">
        <v>32.4</v>
      </c>
      <c r="S19">
        <v>1778072736001</v>
      </c>
      <c r="T19">
        <v>32.6</v>
      </c>
      <c r="V19">
        <v>1778059321002</v>
      </c>
      <c r="W19">
        <v>23.9</v>
      </c>
      <c r="X19" s="6"/>
      <c r="Y19">
        <v>1779089842005</v>
      </c>
      <c r="Z19" s="4">
        <v>0.3</v>
      </c>
      <c r="AB19">
        <v>1779111732005</v>
      </c>
      <c r="AC19">
        <v>71.099999999999994</v>
      </c>
      <c r="AE19">
        <v>1779106440008</v>
      </c>
      <c r="AF19">
        <v>108.7</v>
      </c>
      <c r="AH19">
        <v>1779107626000</v>
      </c>
      <c r="AI19">
        <v>0.2</v>
      </c>
      <c r="AJ19" s="6"/>
      <c r="AK19">
        <v>1782195847006</v>
      </c>
      <c r="AL19" s="4">
        <v>0.3</v>
      </c>
      <c r="AN19">
        <v>1782214329006</v>
      </c>
      <c r="AO19">
        <v>8.3000000000000007</v>
      </c>
      <c r="AQ19">
        <v>1782214373001</v>
      </c>
      <c r="AR19">
        <v>0.3</v>
      </c>
      <c r="AT19">
        <v>1782206212009</v>
      </c>
      <c r="AU19">
        <v>6.2</v>
      </c>
      <c r="AV19" s="6"/>
      <c r="AW19">
        <v>1784032102004</v>
      </c>
      <c r="AX19" s="4">
        <v>0.3</v>
      </c>
      <c r="AZ19">
        <v>1784031228006</v>
      </c>
      <c r="BA19">
        <v>31.6</v>
      </c>
      <c r="BC19">
        <v>1784032626002</v>
      </c>
      <c r="BD19">
        <v>17.3</v>
      </c>
      <c r="BF19">
        <v>1784026426008</v>
      </c>
      <c r="BG19">
        <v>6.3</v>
      </c>
      <c r="BH19" s="6"/>
      <c r="BI19">
        <v>1784115398003</v>
      </c>
      <c r="BJ19" s="4">
        <v>15.3</v>
      </c>
      <c r="BL19">
        <v>1784119617000</v>
      </c>
      <c r="BM19">
        <v>57.9</v>
      </c>
      <c r="BO19">
        <v>1784117741004</v>
      </c>
      <c r="BP19">
        <v>54.3</v>
      </c>
      <c r="BR19">
        <v>1784123313000</v>
      </c>
      <c r="BS19">
        <v>59.3</v>
      </c>
      <c r="BT19" s="6"/>
    </row>
    <row r="20" spans="1:72">
      <c r="A20">
        <v>1777986988001</v>
      </c>
      <c r="B20">
        <v>1.8</v>
      </c>
      <c r="D20">
        <v>1777984425000</v>
      </c>
      <c r="E20">
        <v>15.4</v>
      </c>
      <c r="G20">
        <v>1777982090006</v>
      </c>
      <c r="H20">
        <v>20.5</v>
      </c>
      <c r="J20">
        <v>1777975194003</v>
      </c>
      <c r="K20">
        <v>27.6</v>
      </c>
      <c r="L20" s="6"/>
      <c r="M20">
        <v>1778075904000</v>
      </c>
      <c r="N20" s="4">
        <v>50.1</v>
      </c>
      <c r="P20">
        <v>1778073084009</v>
      </c>
      <c r="Q20">
        <v>79.2</v>
      </c>
      <c r="S20">
        <v>1778072869002</v>
      </c>
      <c r="T20">
        <v>8.1999999999999993</v>
      </c>
      <c r="V20">
        <v>1778059705009</v>
      </c>
      <c r="W20">
        <v>6.7</v>
      </c>
      <c r="X20" s="6"/>
      <c r="Y20">
        <v>1779090147005</v>
      </c>
      <c r="Z20" s="4">
        <v>0.3</v>
      </c>
      <c r="AB20">
        <v>1779112126009</v>
      </c>
      <c r="AC20">
        <v>40.5</v>
      </c>
      <c r="AE20">
        <v>1779106839009</v>
      </c>
      <c r="AF20">
        <v>6.1</v>
      </c>
      <c r="AH20">
        <v>1779107757000</v>
      </c>
      <c r="AI20">
        <v>34.299999999999997</v>
      </c>
      <c r="AJ20" s="6"/>
      <c r="AK20">
        <v>1782195847009</v>
      </c>
      <c r="AL20" s="4">
        <v>0</v>
      </c>
      <c r="AN20">
        <v>1782215668003</v>
      </c>
      <c r="AO20">
        <v>0.3</v>
      </c>
      <c r="AQ20">
        <v>1782216497004</v>
      </c>
      <c r="AR20">
        <v>24.3</v>
      </c>
      <c r="AT20">
        <v>1782212146001</v>
      </c>
      <c r="AU20">
        <v>34.5</v>
      </c>
      <c r="AV20" s="6"/>
      <c r="AW20">
        <v>1784032724000</v>
      </c>
      <c r="AX20" s="4">
        <v>66.8</v>
      </c>
      <c r="AZ20">
        <v>1784031739008</v>
      </c>
      <c r="BA20">
        <v>3.3</v>
      </c>
      <c r="BC20">
        <v>1784033293005</v>
      </c>
      <c r="BD20">
        <v>38.700000000000003</v>
      </c>
      <c r="BF20">
        <v>1784032153006</v>
      </c>
      <c r="BG20">
        <v>35</v>
      </c>
      <c r="BH20" s="6"/>
      <c r="BI20">
        <v>1784120455002</v>
      </c>
      <c r="BJ20" s="4">
        <v>6.1</v>
      </c>
      <c r="BL20">
        <v>1784123329008</v>
      </c>
      <c r="BM20">
        <v>37.799999999999997</v>
      </c>
      <c r="BO20">
        <v>1784119156001</v>
      </c>
      <c r="BP20">
        <v>24.1</v>
      </c>
      <c r="BR20">
        <v>1784125161000</v>
      </c>
      <c r="BS20">
        <v>95</v>
      </c>
      <c r="BT20" s="6"/>
    </row>
    <row r="21" spans="1:72">
      <c r="A21">
        <v>1777987904001</v>
      </c>
      <c r="B21">
        <v>27.9</v>
      </c>
      <c r="D21">
        <v>1777986405000</v>
      </c>
      <c r="E21">
        <v>0</v>
      </c>
      <c r="G21">
        <v>1777984507005</v>
      </c>
      <c r="H21">
        <v>41.7</v>
      </c>
      <c r="J21">
        <v>1777975895003</v>
      </c>
      <c r="K21">
        <v>6.2</v>
      </c>
      <c r="L21" s="6"/>
      <c r="M21">
        <v>1778077224000</v>
      </c>
      <c r="N21" s="4">
        <v>30.6</v>
      </c>
      <c r="P21">
        <v>1778073857006</v>
      </c>
      <c r="Q21">
        <v>40.5</v>
      </c>
      <c r="S21">
        <v>1778073532005</v>
      </c>
      <c r="T21">
        <v>41.6</v>
      </c>
      <c r="V21">
        <v>1778059844004</v>
      </c>
      <c r="W21">
        <v>0</v>
      </c>
      <c r="X21" s="6"/>
      <c r="Y21">
        <v>1779090362005</v>
      </c>
      <c r="Z21" s="4">
        <v>0.3</v>
      </c>
      <c r="AB21">
        <v>1779112652002</v>
      </c>
      <c r="AC21">
        <v>71.2</v>
      </c>
      <c r="AE21">
        <v>1779112070001</v>
      </c>
      <c r="AF21">
        <v>0</v>
      </c>
      <c r="AH21">
        <v>1779109209000</v>
      </c>
      <c r="AI21">
        <v>7.3</v>
      </c>
      <c r="AJ21" s="6"/>
      <c r="AK21">
        <v>1782196807006</v>
      </c>
      <c r="AL21" s="4">
        <v>13.1</v>
      </c>
      <c r="AN21">
        <v>1782216455009</v>
      </c>
      <c r="AO21">
        <v>40.200000000000003</v>
      </c>
      <c r="AQ21">
        <v>1782216653000</v>
      </c>
      <c r="AR21">
        <v>0.3</v>
      </c>
      <c r="AT21">
        <v>1782212226006</v>
      </c>
      <c r="AU21">
        <v>11.8</v>
      </c>
      <c r="AV21" s="6"/>
      <c r="AW21">
        <v>1784037768000</v>
      </c>
      <c r="AX21" s="4">
        <v>28.9</v>
      </c>
      <c r="AZ21">
        <v>1784032568002</v>
      </c>
      <c r="BA21">
        <v>54.7</v>
      </c>
      <c r="BC21">
        <v>1784039377000</v>
      </c>
      <c r="BD21">
        <v>71.400000000000006</v>
      </c>
      <c r="BF21">
        <v>1784033349000</v>
      </c>
      <c r="BG21">
        <v>22.1</v>
      </c>
      <c r="BH21" s="6"/>
      <c r="BI21">
        <v>1784122716000</v>
      </c>
      <c r="BJ21" s="4">
        <v>56.2</v>
      </c>
      <c r="BL21">
        <v>1784123593000</v>
      </c>
      <c r="BM21">
        <v>108.3</v>
      </c>
      <c r="BO21">
        <v>1784119693001</v>
      </c>
      <c r="BP21">
        <v>24</v>
      </c>
      <c r="BR21">
        <v>1784125425000</v>
      </c>
      <c r="BS21">
        <v>2.9</v>
      </c>
      <c r="BT21" s="6"/>
    </row>
    <row r="22" spans="1:72">
      <c r="A22">
        <v>1777989487001</v>
      </c>
      <c r="B22">
        <v>20.6</v>
      </c>
      <c r="D22">
        <v>1777986947000</v>
      </c>
      <c r="E22">
        <v>0.2</v>
      </c>
      <c r="G22">
        <v>1777986353000</v>
      </c>
      <c r="H22">
        <v>0</v>
      </c>
      <c r="J22">
        <v>1777976046003</v>
      </c>
      <c r="K22">
        <v>46.4</v>
      </c>
      <c r="L22" s="6"/>
      <c r="M22">
        <v>1778078416001</v>
      </c>
      <c r="N22" s="4">
        <v>0</v>
      </c>
      <c r="P22">
        <v>1778074539000</v>
      </c>
      <c r="Q22">
        <v>14.8</v>
      </c>
      <c r="S22">
        <v>1778074741000</v>
      </c>
      <c r="T22">
        <v>55.4</v>
      </c>
      <c r="V22">
        <v>1778059909003</v>
      </c>
      <c r="W22">
        <v>0</v>
      </c>
      <c r="X22" s="6"/>
      <c r="Y22">
        <v>1779090549001</v>
      </c>
      <c r="Z22" s="4">
        <v>8.6999999999999993</v>
      </c>
      <c r="AB22">
        <v>1779114885000</v>
      </c>
      <c r="AC22">
        <v>33.6</v>
      </c>
      <c r="AE22">
        <v>1779114710006</v>
      </c>
      <c r="AF22">
        <v>0</v>
      </c>
      <c r="AH22">
        <v>1779110265000</v>
      </c>
      <c r="AI22">
        <v>42.7</v>
      </c>
      <c r="AJ22" s="6"/>
      <c r="AK22">
        <v>1782199492007</v>
      </c>
      <c r="AL22" s="4">
        <v>0.3</v>
      </c>
      <c r="AN22">
        <v>1782217152002</v>
      </c>
      <c r="AO22">
        <v>25.3</v>
      </c>
      <c r="AQ22">
        <v>1782217100007</v>
      </c>
      <c r="AR22">
        <v>0.3</v>
      </c>
      <c r="AT22">
        <v>1782216711009</v>
      </c>
      <c r="AU22">
        <v>62.7</v>
      </c>
      <c r="AV22" s="6"/>
      <c r="AW22">
        <v>1784038028003</v>
      </c>
      <c r="AX22" s="4">
        <v>53.5</v>
      </c>
      <c r="AZ22">
        <v>1784033232000</v>
      </c>
      <c r="BA22">
        <v>5.2</v>
      </c>
      <c r="BC22">
        <v>1784039507008</v>
      </c>
      <c r="BD22">
        <v>22.1</v>
      </c>
      <c r="BF22">
        <v>1784033349002</v>
      </c>
      <c r="BG22">
        <v>0</v>
      </c>
      <c r="BH22" s="6"/>
      <c r="BI22">
        <v>1784123217002</v>
      </c>
      <c r="BJ22" s="4">
        <v>66.099999999999994</v>
      </c>
      <c r="BL22">
        <v>1784123988002</v>
      </c>
      <c r="BM22">
        <v>27.3</v>
      </c>
      <c r="BO22">
        <v>1784120752008</v>
      </c>
      <c r="BP22">
        <v>69.099999999999994</v>
      </c>
      <c r="BR22">
        <v>1784128725000</v>
      </c>
      <c r="BS22">
        <v>51.6</v>
      </c>
      <c r="BT22" s="6"/>
    </row>
    <row r="23" spans="1:72">
      <c r="A23">
        <v>1777992408000</v>
      </c>
      <c r="B23">
        <v>19.2</v>
      </c>
      <c r="D23">
        <v>1777989428002</v>
      </c>
      <c r="E23">
        <v>49.1</v>
      </c>
      <c r="G23">
        <v>1777987007003</v>
      </c>
      <c r="H23">
        <v>61.1</v>
      </c>
      <c r="J23">
        <v>1777978535002</v>
      </c>
      <c r="K23">
        <v>16.2</v>
      </c>
      <c r="L23" s="6"/>
      <c r="M23">
        <v>1778078540007</v>
      </c>
      <c r="N23" s="4">
        <v>111.9</v>
      </c>
      <c r="P23">
        <v>1778077161000</v>
      </c>
      <c r="Q23">
        <v>8.1</v>
      </c>
      <c r="S23">
        <v>1778074873000</v>
      </c>
      <c r="T23">
        <v>25.7</v>
      </c>
      <c r="V23">
        <v>1778060754003</v>
      </c>
      <c r="W23">
        <v>6.7</v>
      </c>
      <c r="X23" s="6"/>
      <c r="Y23">
        <v>1779090702008</v>
      </c>
      <c r="Z23" s="4">
        <v>0.3</v>
      </c>
      <c r="AB23">
        <v>1779116883000</v>
      </c>
      <c r="AC23">
        <v>20.7</v>
      </c>
      <c r="AE23">
        <v>1779114832001</v>
      </c>
      <c r="AF23">
        <v>21.6</v>
      </c>
      <c r="AH23">
        <v>1779111585000</v>
      </c>
      <c r="AI23">
        <v>10.3</v>
      </c>
      <c r="AJ23" s="6"/>
      <c r="AK23">
        <v>1782199492009</v>
      </c>
      <c r="AL23" s="4">
        <v>0</v>
      </c>
      <c r="AN23">
        <v>1782217352005</v>
      </c>
      <c r="AO23">
        <v>50.3</v>
      </c>
      <c r="AQ23">
        <v>1782217974005</v>
      </c>
      <c r="AR23">
        <v>20.6</v>
      </c>
      <c r="AT23">
        <v>1782217165007</v>
      </c>
      <c r="AU23">
        <v>30</v>
      </c>
      <c r="AV23" s="6"/>
      <c r="AW23">
        <v>1784038417003</v>
      </c>
      <c r="AX23" s="4">
        <v>25.9</v>
      </c>
      <c r="AZ23">
        <v>1784037056006</v>
      </c>
      <c r="BA23">
        <v>26.1</v>
      </c>
      <c r="BC23">
        <v>1784040417004</v>
      </c>
      <c r="BD23">
        <v>36.9</v>
      </c>
      <c r="BF23">
        <v>1784035329000</v>
      </c>
      <c r="BG23">
        <v>35.4</v>
      </c>
      <c r="BH23" s="6"/>
      <c r="BI23">
        <v>1784124151003</v>
      </c>
      <c r="BJ23" s="4">
        <v>7</v>
      </c>
      <c r="BL23">
        <v>1784124384008</v>
      </c>
      <c r="BM23">
        <v>0.2</v>
      </c>
      <c r="BO23">
        <v>1784121561005</v>
      </c>
      <c r="BP23">
        <v>0</v>
      </c>
      <c r="BR23">
        <v>1784128989000</v>
      </c>
      <c r="BS23">
        <v>30.4</v>
      </c>
      <c r="BT23" s="6"/>
    </row>
    <row r="24" spans="1:72">
      <c r="A24">
        <v>1777992804000</v>
      </c>
      <c r="B24">
        <v>113.3</v>
      </c>
      <c r="D24">
        <v>1777990115000</v>
      </c>
      <c r="E24">
        <v>5.9</v>
      </c>
      <c r="G24">
        <v>1777987927004</v>
      </c>
      <c r="H24">
        <v>68.7</v>
      </c>
      <c r="J24">
        <v>1777982198001</v>
      </c>
      <c r="K24">
        <v>9.8000000000000007</v>
      </c>
      <c r="L24" s="6"/>
      <c r="M24">
        <v>1778080260000</v>
      </c>
      <c r="N24" s="4">
        <v>45.9</v>
      </c>
      <c r="P24">
        <v>1778078492002</v>
      </c>
      <c r="Q24">
        <v>70.900000000000006</v>
      </c>
      <c r="S24">
        <v>1778075137000</v>
      </c>
      <c r="T24">
        <v>64.8</v>
      </c>
      <c r="V24">
        <v>1778061248005</v>
      </c>
      <c r="W24">
        <v>7.9</v>
      </c>
      <c r="X24" s="6"/>
      <c r="Y24">
        <v>1779090849008</v>
      </c>
      <c r="Z24" s="4">
        <v>19.399999999999999</v>
      </c>
      <c r="AB24">
        <v>1779118723009</v>
      </c>
      <c r="AC24">
        <v>51.5</v>
      </c>
      <c r="AE24">
        <v>1779117339003</v>
      </c>
      <c r="AF24">
        <v>10.1</v>
      </c>
      <c r="AH24">
        <v>1779112641000</v>
      </c>
      <c r="AI24">
        <v>114.7</v>
      </c>
      <c r="AJ24" s="6"/>
      <c r="AK24">
        <v>1782215725007</v>
      </c>
      <c r="AL24" s="4">
        <v>62.7</v>
      </c>
      <c r="AN24">
        <v>1782217914000</v>
      </c>
      <c r="AO24">
        <v>29.8</v>
      </c>
      <c r="AQ24">
        <v>1782219813007</v>
      </c>
      <c r="AR24">
        <v>16</v>
      </c>
      <c r="AT24">
        <v>1782218025000</v>
      </c>
      <c r="AU24">
        <v>8.9</v>
      </c>
      <c r="AV24" s="6"/>
      <c r="AW24">
        <v>1784038690008</v>
      </c>
      <c r="AX24" s="4">
        <v>15.4</v>
      </c>
      <c r="AZ24">
        <v>1784038510001</v>
      </c>
      <c r="BA24">
        <v>64.7</v>
      </c>
      <c r="BC24">
        <v>1784045046001</v>
      </c>
      <c r="BD24">
        <v>34.700000000000003</v>
      </c>
      <c r="BF24">
        <v>1784036253000</v>
      </c>
      <c r="BG24">
        <v>48.9</v>
      </c>
      <c r="BH24" s="6"/>
      <c r="BI24">
        <v>1784124556008</v>
      </c>
      <c r="BJ24" s="4">
        <v>29.2</v>
      </c>
      <c r="BL24">
        <v>1784124512005</v>
      </c>
      <c r="BM24">
        <v>94.5</v>
      </c>
      <c r="BO24">
        <v>1784121675003</v>
      </c>
      <c r="BP24">
        <v>21.7</v>
      </c>
      <c r="BR24">
        <v>1784132022000</v>
      </c>
      <c r="BS24">
        <v>76.900000000000006</v>
      </c>
      <c r="BT24" s="6"/>
    </row>
    <row r="25" spans="1:72">
      <c r="A25">
        <v>1777993985005</v>
      </c>
      <c r="B25">
        <v>66.8</v>
      </c>
      <c r="D25">
        <v>1777992488002</v>
      </c>
      <c r="E25">
        <v>95.8</v>
      </c>
      <c r="G25">
        <v>1777988734000</v>
      </c>
      <c r="H25">
        <v>61</v>
      </c>
      <c r="J25">
        <v>1777984425000</v>
      </c>
      <c r="K25">
        <v>23.6</v>
      </c>
      <c r="L25" s="6"/>
      <c r="M25">
        <v>1778081572005</v>
      </c>
      <c r="N25" s="4">
        <v>13.6</v>
      </c>
      <c r="P25">
        <v>1778079159000</v>
      </c>
      <c r="Q25">
        <v>53.1</v>
      </c>
      <c r="S25">
        <v>1778075268009</v>
      </c>
      <c r="T25">
        <v>55.9</v>
      </c>
      <c r="V25">
        <v>1778061413002</v>
      </c>
      <c r="W25">
        <v>80.3</v>
      </c>
      <c r="X25" s="6"/>
      <c r="Y25">
        <v>1779091228000</v>
      </c>
      <c r="Z25" s="4">
        <v>0.3</v>
      </c>
      <c r="AB25">
        <v>1779120972000</v>
      </c>
      <c r="AC25">
        <v>83.1</v>
      </c>
      <c r="AE25">
        <v>1779121570001</v>
      </c>
      <c r="AF25">
        <v>34.1</v>
      </c>
      <c r="AH25">
        <v>1779112773000</v>
      </c>
      <c r="AI25">
        <v>27.9</v>
      </c>
      <c r="AJ25" s="6"/>
      <c r="AK25">
        <v>1782218331001</v>
      </c>
      <c r="AL25" s="4">
        <v>6.5</v>
      </c>
      <c r="AN25">
        <v>1782218435000</v>
      </c>
      <c r="AO25">
        <v>105.6</v>
      </c>
      <c r="AQ25">
        <v>1782220880002</v>
      </c>
      <c r="AR25">
        <v>47.5</v>
      </c>
      <c r="AT25">
        <v>1782219345000</v>
      </c>
      <c r="AU25">
        <v>14.8</v>
      </c>
      <c r="AV25" s="6"/>
      <c r="AW25">
        <v>1784042517001</v>
      </c>
      <c r="AX25" s="4">
        <v>39.799999999999997</v>
      </c>
      <c r="AZ25">
        <v>1784040495000</v>
      </c>
      <c r="BA25">
        <v>25</v>
      </c>
      <c r="BC25">
        <v>1784045184000</v>
      </c>
      <c r="BD25">
        <v>51.4</v>
      </c>
      <c r="BF25">
        <v>1784037045000</v>
      </c>
      <c r="BG25">
        <v>26.6</v>
      </c>
      <c r="BH25" s="6"/>
      <c r="BI25">
        <v>1784125351008</v>
      </c>
      <c r="BJ25" s="4">
        <v>22.5</v>
      </c>
      <c r="BL25">
        <v>1784124909007</v>
      </c>
      <c r="BM25">
        <v>5.3</v>
      </c>
      <c r="BO25">
        <v>1784122986006</v>
      </c>
      <c r="BP25">
        <v>13.3</v>
      </c>
      <c r="BR25">
        <v>1784134926000</v>
      </c>
      <c r="BS25">
        <v>2.8</v>
      </c>
      <c r="BT25" s="6"/>
    </row>
    <row r="26" spans="1:72">
      <c r="A26">
        <v>1778000456000</v>
      </c>
      <c r="B26">
        <v>65.400000000000006</v>
      </c>
      <c r="D26">
        <v>1777993153000</v>
      </c>
      <c r="E26">
        <v>123.8</v>
      </c>
      <c r="G26">
        <v>1777991113000</v>
      </c>
      <c r="H26">
        <v>32.1</v>
      </c>
      <c r="J26">
        <v>1777987065000</v>
      </c>
      <c r="K26">
        <v>46</v>
      </c>
      <c r="L26" s="6"/>
      <c r="M26">
        <v>1778082217002</v>
      </c>
      <c r="N26">
        <v>4.8</v>
      </c>
      <c r="P26">
        <v>1778081529009</v>
      </c>
      <c r="Q26">
        <v>9.1</v>
      </c>
      <c r="S26">
        <v>1778077513000</v>
      </c>
      <c r="T26">
        <v>14.1</v>
      </c>
      <c r="V26">
        <v>1778061488006</v>
      </c>
      <c r="W26">
        <v>6.2</v>
      </c>
      <c r="X26" s="6"/>
      <c r="Y26">
        <v>1779092403000</v>
      </c>
      <c r="Z26">
        <v>0.3</v>
      </c>
      <c r="AB26">
        <v>1779121104000</v>
      </c>
      <c r="AC26">
        <v>25.3</v>
      </c>
      <c r="AE26">
        <v>1779122086002</v>
      </c>
      <c r="AF26">
        <v>39.4</v>
      </c>
      <c r="AH26">
        <v>1779120294000</v>
      </c>
      <c r="AI26">
        <v>2.9</v>
      </c>
      <c r="AJ26" s="6"/>
      <c r="AK26">
        <v>1782218858006</v>
      </c>
      <c r="AL26">
        <v>21.7</v>
      </c>
      <c r="AN26">
        <v>1782221470009</v>
      </c>
      <c r="AO26">
        <v>20.2</v>
      </c>
      <c r="AQ26">
        <v>1782222197009</v>
      </c>
      <c r="AR26">
        <v>35</v>
      </c>
      <c r="AT26">
        <v>1782219477000</v>
      </c>
      <c r="AU26">
        <v>13.9</v>
      </c>
      <c r="AV26" s="6"/>
      <c r="AW26">
        <v>1784043439006</v>
      </c>
      <c r="AX26">
        <v>47.9</v>
      </c>
      <c r="AZ26">
        <v>1784042340006</v>
      </c>
      <c r="BA26">
        <v>78.099999999999994</v>
      </c>
      <c r="BC26">
        <v>1784045313006</v>
      </c>
      <c r="BD26">
        <v>51.2</v>
      </c>
      <c r="BF26">
        <v>1784037705000</v>
      </c>
      <c r="BG26">
        <v>13.7</v>
      </c>
      <c r="BH26" s="6"/>
      <c r="BI26">
        <v>1784125737003</v>
      </c>
      <c r="BJ26">
        <v>62.3</v>
      </c>
      <c r="BL26">
        <v>1784125293000</v>
      </c>
      <c r="BM26">
        <v>27.4</v>
      </c>
      <c r="BO26">
        <v>1784123921006</v>
      </c>
      <c r="BP26">
        <v>36.6</v>
      </c>
      <c r="BR26">
        <v>1784135454000</v>
      </c>
      <c r="BS26">
        <v>49.5</v>
      </c>
      <c r="BT26" s="6"/>
    </row>
    <row r="27" spans="1:72">
      <c r="A27">
        <v>1778000845002</v>
      </c>
      <c r="B27">
        <v>7.1</v>
      </c>
      <c r="D27">
        <v>1777998428006</v>
      </c>
      <c r="E27">
        <v>14.7</v>
      </c>
      <c r="G27">
        <v>1777993489000</v>
      </c>
      <c r="H27">
        <v>77.3</v>
      </c>
      <c r="J27">
        <v>1777987329000</v>
      </c>
      <c r="K27">
        <v>60.5</v>
      </c>
      <c r="L27" s="6"/>
      <c r="M27">
        <v>1778082368000</v>
      </c>
      <c r="N27">
        <v>29.2</v>
      </c>
      <c r="P27">
        <v>1778082438000</v>
      </c>
      <c r="Q27">
        <v>48.3</v>
      </c>
      <c r="S27">
        <v>1778081070006</v>
      </c>
      <c r="T27">
        <v>70.2</v>
      </c>
      <c r="V27">
        <v>1778061567000</v>
      </c>
      <c r="W27">
        <v>67</v>
      </c>
      <c r="X27" s="6"/>
      <c r="Y27">
        <v>1779092879001</v>
      </c>
      <c r="Z27">
        <v>15.2</v>
      </c>
      <c r="AB27">
        <v>1779121632000</v>
      </c>
      <c r="AC27">
        <v>49.6</v>
      </c>
      <c r="AE27">
        <v>1779122205006</v>
      </c>
      <c r="AF27">
        <v>15.2</v>
      </c>
      <c r="AH27">
        <v>1779121482000</v>
      </c>
      <c r="AI27">
        <v>2.6</v>
      </c>
      <c r="AJ27" s="6"/>
      <c r="AK27">
        <v>1782220858002</v>
      </c>
      <c r="AL27">
        <v>39</v>
      </c>
      <c r="AN27">
        <v>1782221869001</v>
      </c>
      <c r="AO27">
        <v>71.599999999999994</v>
      </c>
      <c r="AQ27">
        <v>1782223118000</v>
      </c>
      <c r="AR27">
        <v>17.399999999999999</v>
      </c>
      <c r="AT27">
        <v>1782220401000</v>
      </c>
      <c r="AU27">
        <v>33.5</v>
      </c>
      <c r="AV27" s="6"/>
      <c r="AW27">
        <v>1784045948000</v>
      </c>
      <c r="AX27">
        <v>41.9</v>
      </c>
      <c r="AZ27">
        <v>1784043260003</v>
      </c>
      <c r="BA27">
        <v>0.2</v>
      </c>
      <c r="BC27">
        <v>1784048081001</v>
      </c>
      <c r="BD27">
        <v>77.599999999999994</v>
      </c>
      <c r="BF27">
        <v>1784037837000</v>
      </c>
      <c r="BG27">
        <v>61</v>
      </c>
      <c r="BH27" s="6"/>
      <c r="BI27">
        <v>1784126135000</v>
      </c>
      <c r="BJ27">
        <v>199.4</v>
      </c>
      <c r="BL27">
        <v>1784127285007</v>
      </c>
      <c r="BM27">
        <v>36.200000000000003</v>
      </c>
      <c r="BO27">
        <v>1784124450007</v>
      </c>
      <c r="BP27">
        <v>17.899999999999999</v>
      </c>
      <c r="BR27">
        <v>1784136246000</v>
      </c>
      <c r="BS27">
        <v>32</v>
      </c>
      <c r="BT27" s="6"/>
    </row>
    <row r="28" spans="1:72">
      <c r="A28">
        <v>1778002430004</v>
      </c>
      <c r="B28">
        <v>6</v>
      </c>
      <c r="D28">
        <v>1778000148009</v>
      </c>
      <c r="E28">
        <v>0.2</v>
      </c>
      <c r="G28">
        <v>1777994017000</v>
      </c>
      <c r="H28">
        <v>1.9</v>
      </c>
      <c r="J28">
        <v>1777987989000</v>
      </c>
      <c r="K28">
        <v>51.8</v>
      </c>
      <c r="L28" s="6"/>
      <c r="M28">
        <v>1778082896000</v>
      </c>
      <c r="N28">
        <v>68.2</v>
      </c>
      <c r="P28">
        <v>1778082716007</v>
      </c>
      <c r="Q28">
        <v>110.7</v>
      </c>
      <c r="S28">
        <v>1778083309000</v>
      </c>
      <c r="T28">
        <v>26.6</v>
      </c>
      <c r="V28">
        <v>1778061632002</v>
      </c>
      <c r="W28">
        <v>0.3</v>
      </c>
      <c r="X28" s="6"/>
      <c r="Y28">
        <v>1779106317007</v>
      </c>
      <c r="Z28">
        <v>8</v>
      </c>
      <c r="AB28">
        <v>1779122406000</v>
      </c>
      <c r="AC28">
        <v>9.1999999999999993</v>
      </c>
      <c r="AE28">
        <v>1779122478005</v>
      </c>
      <c r="AF28">
        <v>26</v>
      </c>
      <c r="AH28">
        <v>1779121746000</v>
      </c>
      <c r="AI28">
        <v>23.2</v>
      </c>
      <c r="AJ28" s="6"/>
      <c r="AK28">
        <v>1782224017007</v>
      </c>
      <c r="AL28">
        <v>66.5</v>
      </c>
      <c r="AN28">
        <v>1782222399000</v>
      </c>
      <c r="AO28">
        <v>90.9</v>
      </c>
      <c r="AQ28">
        <v>1782224833009</v>
      </c>
      <c r="AR28">
        <v>60.8</v>
      </c>
      <c r="AT28">
        <v>1782222117000</v>
      </c>
      <c r="AU28">
        <v>31.9</v>
      </c>
      <c r="AV28" s="6"/>
      <c r="AW28">
        <v>1784046740000</v>
      </c>
      <c r="AX28">
        <v>18.899999999999999</v>
      </c>
      <c r="AZ28">
        <v>1784044319002</v>
      </c>
      <c r="BA28">
        <v>24.4</v>
      </c>
      <c r="BC28">
        <v>1784048462002</v>
      </c>
      <c r="BD28">
        <v>13.5</v>
      </c>
      <c r="BF28">
        <v>1784038497000</v>
      </c>
      <c r="BG28">
        <v>112.3</v>
      </c>
      <c r="BH28" s="6"/>
      <c r="BI28">
        <v>1784127859005</v>
      </c>
      <c r="BJ28">
        <v>82</v>
      </c>
      <c r="BL28">
        <v>1784129927006</v>
      </c>
      <c r="BM28">
        <v>1.2</v>
      </c>
      <c r="BO28">
        <v>1784125513000</v>
      </c>
      <c r="BP28">
        <v>72.3</v>
      </c>
      <c r="BR28">
        <v>1784137698000</v>
      </c>
      <c r="BS28">
        <v>6.5</v>
      </c>
      <c r="BT28" s="6"/>
    </row>
    <row r="29" spans="1:72">
      <c r="A29">
        <v>1778003091008</v>
      </c>
      <c r="B29">
        <v>91.1</v>
      </c>
      <c r="D29">
        <v>1778000153009</v>
      </c>
      <c r="E29">
        <v>0</v>
      </c>
      <c r="G29">
        <v>1777996915007</v>
      </c>
      <c r="H29">
        <v>46</v>
      </c>
      <c r="J29">
        <v>1777988517000</v>
      </c>
      <c r="K29">
        <v>43.5</v>
      </c>
      <c r="L29" s="6"/>
      <c r="M29">
        <v>1778083556000</v>
      </c>
      <c r="N29">
        <v>10.8</v>
      </c>
      <c r="P29">
        <v>1778083905004</v>
      </c>
      <c r="Q29">
        <v>71.400000000000006</v>
      </c>
      <c r="S29">
        <v>1778085036004</v>
      </c>
      <c r="T29">
        <v>0</v>
      </c>
      <c r="V29">
        <v>1778061696006</v>
      </c>
      <c r="W29">
        <v>34.1</v>
      </c>
      <c r="X29" s="6"/>
      <c r="Y29">
        <v>1779106455008</v>
      </c>
      <c r="Z29">
        <v>123.7</v>
      </c>
      <c r="AB29">
        <v>1779122816007</v>
      </c>
      <c r="AC29">
        <v>11.5</v>
      </c>
      <c r="AE29">
        <v>1779123287006</v>
      </c>
      <c r="AF29">
        <v>36.799999999999997</v>
      </c>
      <c r="AH29">
        <v>1779122010000</v>
      </c>
      <c r="AI29">
        <v>37.9</v>
      </c>
      <c r="AJ29" s="6"/>
      <c r="AK29">
        <v>1782224930003</v>
      </c>
      <c r="AL29">
        <v>50.7</v>
      </c>
      <c r="AN29">
        <v>1782223191000</v>
      </c>
      <c r="AO29">
        <v>35.700000000000003</v>
      </c>
      <c r="AQ29">
        <v>1782225769000</v>
      </c>
      <c r="AR29">
        <v>71.400000000000006</v>
      </c>
      <c r="AT29">
        <v>1782225681000</v>
      </c>
      <c r="AU29">
        <v>45.4</v>
      </c>
      <c r="AV29" s="6"/>
      <c r="AW29">
        <v>1784046871002</v>
      </c>
      <c r="AX29">
        <v>0</v>
      </c>
      <c r="AZ29">
        <v>1784045897003</v>
      </c>
      <c r="BA29">
        <v>7.8</v>
      </c>
      <c r="BC29">
        <v>1784050198005</v>
      </c>
      <c r="BD29">
        <v>20.6</v>
      </c>
      <c r="BF29">
        <v>1784039289000</v>
      </c>
      <c r="BG29">
        <v>104.2</v>
      </c>
      <c r="BH29" s="6"/>
      <c r="BI29">
        <v>1784128920000</v>
      </c>
      <c r="BJ29">
        <v>1.6</v>
      </c>
      <c r="BL29">
        <v>1784131644000</v>
      </c>
      <c r="BM29">
        <v>57.2</v>
      </c>
      <c r="BO29">
        <v>1784125889006</v>
      </c>
      <c r="BP29">
        <v>34.200000000000003</v>
      </c>
      <c r="BR29">
        <v>1784137830000</v>
      </c>
      <c r="BS29">
        <v>59.2</v>
      </c>
      <c r="BT29" s="6"/>
    </row>
    <row r="30" spans="1:72">
      <c r="A30">
        <v>1778003228000</v>
      </c>
      <c r="B30">
        <v>11.4</v>
      </c>
      <c r="D30">
        <v>1778000543006</v>
      </c>
      <c r="E30">
        <v>45.5</v>
      </c>
      <c r="G30">
        <v>1777997183002</v>
      </c>
      <c r="H30">
        <v>31.1</v>
      </c>
      <c r="J30">
        <v>1777988781000</v>
      </c>
      <c r="K30">
        <v>121.6</v>
      </c>
      <c r="L30" s="6"/>
      <c r="M30">
        <v>1778084216000</v>
      </c>
      <c r="N30">
        <v>30.5</v>
      </c>
      <c r="P30">
        <v>1778084300008</v>
      </c>
      <c r="Q30">
        <v>111.4</v>
      </c>
      <c r="S30">
        <v>1778085564000</v>
      </c>
      <c r="T30">
        <v>51</v>
      </c>
      <c r="V30">
        <v>1778062007004</v>
      </c>
      <c r="W30">
        <v>7.2</v>
      </c>
      <c r="X30" s="6"/>
      <c r="Y30">
        <v>1779108736003</v>
      </c>
      <c r="Z30">
        <v>58.6</v>
      </c>
      <c r="AB30">
        <v>1779123611004</v>
      </c>
      <c r="AC30">
        <v>65.5</v>
      </c>
      <c r="AE30">
        <v>1779123561003</v>
      </c>
      <c r="AF30">
        <v>0</v>
      </c>
      <c r="AH30">
        <v>1779122274000</v>
      </c>
      <c r="AI30">
        <v>0.7</v>
      </c>
      <c r="AJ30" s="6"/>
      <c r="AK30">
        <v>1782225606008</v>
      </c>
      <c r="AL30">
        <v>61.7</v>
      </c>
      <c r="AN30">
        <v>1782224625000</v>
      </c>
      <c r="AO30">
        <v>98.9</v>
      </c>
      <c r="AQ30">
        <v>1782226560008</v>
      </c>
      <c r="AR30">
        <v>34</v>
      </c>
      <c r="AT30">
        <v>1782226342005</v>
      </c>
      <c r="AU30">
        <v>0.2</v>
      </c>
      <c r="AV30" s="6"/>
      <c r="AW30">
        <v>1784047004000</v>
      </c>
      <c r="AX30">
        <v>111.2</v>
      </c>
      <c r="AZ30">
        <v>1784046297002</v>
      </c>
      <c r="BA30">
        <v>4.5</v>
      </c>
      <c r="BC30">
        <v>1784052576000</v>
      </c>
      <c r="BD30">
        <v>37.9</v>
      </c>
      <c r="BF30">
        <v>1784043378000</v>
      </c>
      <c r="BG30">
        <v>51.6</v>
      </c>
      <c r="BH30" s="6"/>
      <c r="BI30">
        <v>1784132479009</v>
      </c>
      <c r="BJ30">
        <v>68.8</v>
      </c>
      <c r="BL30">
        <v>1784132300005</v>
      </c>
      <c r="BM30">
        <v>118.9</v>
      </c>
      <c r="BO30">
        <v>1784127229000</v>
      </c>
      <c r="BP30">
        <v>47.3</v>
      </c>
      <c r="BR30">
        <v>1784137962000</v>
      </c>
      <c r="BS30">
        <v>37.5</v>
      </c>
      <c r="BT30" s="6"/>
    </row>
    <row r="31" spans="1:72">
      <c r="A31">
        <v>1778003887009</v>
      </c>
      <c r="B31">
        <v>0</v>
      </c>
      <c r="D31">
        <v>1778001729000</v>
      </c>
      <c r="E31">
        <v>122.3</v>
      </c>
      <c r="G31">
        <v>1778001804000</v>
      </c>
      <c r="H31">
        <v>50.4</v>
      </c>
      <c r="J31">
        <v>1777988913000</v>
      </c>
      <c r="K31">
        <v>110.1</v>
      </c>
      <c r="L31" s="6"/>
      <c r="M31">
        <v>1778085137006</v>
      </c>
      <c r="N31">
        <v>11.7</v>
      </c>
      <c r="P31">
        <v>1778084964000</v>
      </c>
      <c r="Q31">
        <v>36.200000000000003</v>
      </c>
      <c r="S31">
        <v>1778086874004</v>
      </c>
      <c r="T31">
        <v>85.7</v>
      </c>
      <c r="V31">
        <v>1778062164002</v>
      </c>
      <c r="W31">
        <v>6.2</v>
      </c>
      <c r="X31" s="6"/>
      <c r="Y31">
        <v>1779110187005</v>
      </c>
      <c r="Z31">
        <v>1.3</v>
      </c>
      <c r="AB31">
        <v>1779123744000</v>
      </c>
      <c r="AC31">
        <v>58.7</v>
      </c>
      <c r="AE31">
        <v>1779123674008</v>
      </c>
      <c r="AF31">
        <v>12.6</v>
      </c>
      <c r="AH31">
        <v>1779122274002</v>
      </c>
      <c r="AI31">
        <v>0</v>
      </c>
      <c r="AJ31" s="6"/>
      <c r="AK31">
        <v>1782227328000</v>
      </c>
      <c r="AL31">
        <v>18.3</v>
      </c>
      <c r="AN31">
        <v>1782225813000</v>
      </c>
      <c r="AO31">
        <v>8</v>
      </c>
      <c r="AQ31">
        <v>1782227353000</v>
      </c>
      <c r="AR31">
        <v>58.9</v>
      </c>
      <c r="AT31">
        <v>1782229110000</v>
      </c>
      <c r="AU31">
        <v>0.5</v>
      </c>
      <c r="AV31" s="6"/>
      <c r="AW31">
        <v>1784049247007</v>
      </c>
      <c r="AX31">
        <v>77.8</v>
      </c>
      <c r="AZ31">
        <v>1784046297003</v>
      </c>
      <c r="BA31">
        <v>0</v>
      </c>
      <c r="BC31">
        <v>1784055876000</v>
      </c>
      <c r="BD31">
        <v>9.6</v>
      </c>
      <c r="BF31">
        <v>1784044830000</v>
      </c>
      <c r="BG31">
        <v>2.4</v>
      </c>
      <c r="BH31" s="6"/>
      <c r="BI31">
        <v>1784133144007</v>
      </c>
      <c r="BJ31">
        <v>0</v>
      </c>
      <c r="BL31">
        <v>1784132563008</v>
      </c>
      <c r="BM31">
        <v>87.1</v>
      </c>
      <c r="BO31">
        <v>1784128282002</v>
      </c>
      <c r="BP31">
        <v>89</v>
      </c>
      <c r="BR31">
        <v>1784141010002</v>
      </c>
      <c r="BS31">
        <v>36.6</v>
      </c>
      <c r="BT31" s="6"/>
    </row>
    <row r="32" spans="1:72">
      <c r="A32">
        <v>1778004152000</v>
      </c>
      <c r="B32">
        <v>72.900000000000006</v>
      </c>
      <c r="D32">
        <v>1778004108000</v>
      </c>
      <c r="E32">
        <v>25</v>
      </c>
      <c r="G32">
        <v>1778003122002</v>
      </c>
      <c r="H32">
        <v>47.6</v>
      </c>
      <c r="J32">
        <v>1777989177000</v>
      </c>
      <c r="K32">
        <v>111.6</v>
      </c>
      <c r="L32" s="6"/>
      <c r="M32">
        <v>1778087648000</v>
      </c>
      <c r="N32">
        <v>29.3</v>
      </c>
      <c r="P32">
        <v>1778085095004</v>
      </c>
      <c r="Q32">
        <v>21.5</v>
      </c>
      <c r="S32">
        <v>1778088203006</v>
      </c>
      <c r="T32">
        <v>14.7</v>
      </c>
      <c r="V32">
        <v>1778062456000</v>
      </c>
      <c r="W32">
        <v>6.2</v>
      </c>
      <c r="X32" s="6"/>
      <c r="Y32">
        <v>1779112547000</v>
      </c>
      <c r="Z32">
        <v>11.4</v>
      </c>
      <c r="AB32">
        <v>1779124140000</v>
      </c>
      <c r="AC32">
        <v>107.9</v>
      </c>
      <c r="AE32">
        <v>1779124079002</v>
      </c>
      <c r="AF32">
        <v>29.7</v>
      </c>
      <c r="AH32">
        <v>1779122934000</v>
      </c>
      <c r="AI32">
        <v>105.2</v>
      </c>
      <c r="AJ32" s="6"/>
      <c r="AK32">
        <v>1782229172000</v>
      </c>
      <c r="AL32">
        <v>14.1</v>
      </c>
      <c r="AN32">
        <v>1782226209000</v>
      </c>
      <c r="AO32">
        <v>1.7</v>
      </c>
      <c r="AQ32">
        <v>1782228804000</v>
      </c>
      <c r="AR32">
        <v>66.599999999999994</v>
      </c>
      <c r="AT32">
        <v>1782230562000</v>
      </c>
      <c r="AU32">
        <v>0.3</v>
      </c>
      <c r="AV32" s="6"/>
      <c r="AW32">
        <v>1784051492000</v>
      </c>
      <c r="AX32">
        <v>70.8</v>
      </c>
      <c r="AZ32">
        <v>1784046430005</v>
      </c>
      <c r="BA32">
        <v>35.9</v>
      </c>
      <c r="BC32">
        <v>1784056008000</v>
      </c>
      <c r="BD32">
        <v>30.9</v>
      </c>
      <c r="BF32">
        <v>1784045490000</v>
      </c>
      <c r="BG32">
        <v>123.2</v>
      </c>
      <c r="BH32" s="6"/>
      <c r="BI32">
        <v>1784133794000</v>
      </c>
      <c r="BJ32">
        <v>32.799999999999997</v>
      </c>
      <c r="BL32">
        <v>1784132825003</v>
      </c>
      <c r="BM32">
        <v>0</v>
      </c>
      <c r="BO32">
        <v>1784130000000</v>
      </c>
      <c r="BP32">
        <v>16.399999999999999</v>
      </c>
      <c r="BR32">
        <v>1784145882000</v>
      </c>
      <c r="BS32">
        <v>81.900000000000006</v>
      </c>
      <c r="BT32" s="6"/>
    </row>
    <row r="33" spans="1:72">
      <c r="A33">
        <v>1778005472000</v>
      </c>
      <c r="B33">
        <v>75.8</v>
      </c>
      <c r="D33">
        <v>1778004900000</v>
      </c>
      <c r="E33">
        <v>8.9</v>
      </c>
      <c r="G33">
        <v>1778004180000</v>
      </c>
      <c r="H33">
        <v>71.7</v>
      </c>
      <c r="J33">
        <v>1777989705000</v>
      </c>
      <c r="K33">
        <v>19.600000000000001</v>
      </c>
      <c r="L33" s="6"/>
      <c r="M33">
        <v>1778087780000</v>
      </c>
      <c r="N33">
        <v>0.4</v>
      </c>
      <c r="P33">
        <v>1778085224003</v>
      </c>
      <c r="Q33">
        <v>58.2</v>
      </c>
      <c r="S33">
        <v>1778092164000</v>
      </c>
      <c r="T33">
        <v>29.6</v>
      </c>
      <c r="V33">
        <v>1778062674000</v>
      </c>
      <c r="W33">
        <v>7.2</v>
      </c>
      <c r="X33" s="6"/>
      <c r="Y33">
        <v>1779115333008</v>
      </c>
      <c r="Z33">
        <v>1.4</v>
      </c>
      <c r="AB33">
        <v>1779124668000</v>
      </c>
      <c r="AC33">
        <v>85.3</v>
      </c>
      <c r="AE33">
        <v>1779124336004</v>
      </c>
      <c r="AF33">
        <v>43.1</v>
      </c>
      <c r="AH33">
        <v>1779126234000</v>
      </c>
      <c r="AI33">
        <v>29.8</v>
      </c>
      <c r="AJ33" s="6"/>
      <c r="AK33">
        <v>1782231155000</v>
      </c>
      <c r="AL33">
        <v>0</v>
      </c>
      <c r="AN33">
        <v>1782226356002</v>
      </c>
      <c r="AO33">
        <v>0</v>
      </c>
      <c r="AQ33">
        <v>1782232358000</v>
      </c>
      <c r="AR33">
        <v>61.8</v>
      </c>
      <c r="AT33">
        <v>1782230562003</v>
      </c>
      <c r="AU33">
        <v>0</v>
      </c>
      <c r="AV33" s="6"/>
      <c r="AW33">
        <v>1784052283008</v>
      </c>
      <c r="AX33">
        <v>76.3</v>
      </c>
      <c r="AZ33">
        <v>1784046561002</v>
      </c>
      <c r="BA33">
        <v>19.5</v>
      </c>
      <c r="BC33">
        <v>1784056372008</v>
      </c>
      <c r="BD33">
        <v>4.5</v>
      </c>
      <c r="BF33">
        <v>1784045622000</v>
      </c>
      <c r="BG33">
        <v>19.100000000000001</v>
      </c>
      <c r="BH33" s="6"/>
      <c r="BI33">
        <v>1784134724000</v>
      </c>
      <c r="BJ33">
        <v>8.4</v>
      </c>
      <c r="BL33">
        <v>1784133485002</v>
      </c>
      <c r="BM33">
        <v>91</v>
      </c>
      <c r="BO33">
        <v>1784130511002</v>
      </c>
      <c r="BP33">
        <v>63.9</v>
      </c>
      <c r="BR33">
        <v>1784147466000</v>
      </c>
      <c r="BS33">
        <v>37.4</v>
      </c>
      <c r="BT33" s="6"/>
    </row>
    <row r="34" spans="1:72">
      <c r="A34">
        <v>1778005604000</v>
      </c>
      <c r="B34">
        <v>10.9</v>
      </c>
      <c r="D34">
        <v>1778005428000</v>
      </c>
      <c r="E34">
        <v>27.3</v>
      </c>
      <c r="G34">
        <v>1778006685005</v>
      </c>
      <c r="H34">
        <v>50.8</v>
      </c>
      <c r="J34">
        <v>1777989837000</v>
      </c>
      <c r="K34">
        <v>116.2</v>
      </c>
      <c r="L34" s="6"/>
      <c r="M34">
        <v>1778088308000</v>
      </c>
      <c r="N34">
        <v>0.8</v>
      </c>
      <c r="P34">
        <v>1778087207003</v>
      </c>
      <c r="Q34">
        <v>45.3</v>
      </c>
      <c r="S34">
        <v>1778092824000</v>
      </c>
      <c r="T34">
        <v>54.7</v>
      </c>
      <c r="V34">
        <v>1778070609009</v>
      </c>
      <c r="W34">
        <v>56.3</v>
      </c>
      <c r="X34" s="6"/>
      <c r="Y34">
        <v>1779116265003</v>
      </c>
      <c r="Z34">
        <v>62.9</v>
      </c>
      <c r="AB34">
        <v>1779124914000</v>
      </c>
      <c r="AC34">
        <v>27.9</v>
      </c>
      <c r="AE34">
        <v>1779124595009</v>
      </c>
      <c r="AF34">
        <v>9</v>
      </c>
      <c r="AH34">
        <v>1779126762000</v>
      </c>
      <c r="AI34">
        <v>10.4</v>
      </c>
      <c r="AJ34" s="6"/>
      <c r="AK34">
        <v>1782231275003</v>
      </c>
      <c r="AL34">
        <v>102.4</v>
      </c>
      <c r="AN34">
        <v>1782228075000</v>
      </c>
      <c r="AO34">
        <v>60.5</v>
      </c>
      <c r="AQ34">
        <v>1782233672007</v>
      </c>
      <c r="AR34">
        <v>34</v>
      </c>
      <c r="AT34">
        <v>1782231486000</v>
      </c>
      <c r="AU34">
        <v>62.7</v>
      </c>
      <c r="AV34" s="6"/>
      <c r="AW34">
        <v>1784053326006</v>
      </c>
      <c r="AX34">
        <v>120.1</v>
      </c>
      <c r="AZ34">
        <v>1784049074001</v>
      </c>
      <c r="BA34">
        <v>0.2</v>
      </c>
      <c r="BC34">
        <v>1784057328000</v>
      </c>
      <c r="BD34">
        <v>63.9</v>
      </c>
      <c r="BF34">
        <v>1784046282000</v>
      </c>
      <c r="BG34">
        <v>38</v>
      </c>
      <c r="BH34" s="6"/>
      <c r="BI34">
        <v>1784134988000</v>
      </c>
      <c r="BJ34">
        <v>60.8</v>
      </c>
      <c r="BL34">
        <v>1784133884006</v>
      </c>
      <c r="BM34">
        <v>38</v>
      </c>
      <c r="BO34">
        <v>1784130653003</v>
      </c>
      <c r="BP34">
        <v>0</v>
      </c>
      <c r="BR34">
        <v>1784147862000</v>
      </c>
      <c r="BS34">
        <v>27</v>
      </c>
      <c r="BT34" s="6"/>
    </row>
    <row r="35" spans="1:72">
      <c r="A35">
        <v>1778005733001</v>
      </c>
      <c r="B35">
        <v>32.4</v>
      </c>
      <c r="D35">
        <v>1778005824000</v>
      </c>
      <c r="E35">
        <v>60.2</v>
      </c>
      <c r="G35">
        <v>1778009592000</v>
      </c>
      <c r="H35">
        <v>39</v>
      </c>
      <c r="J35">
        <v>1777990101000</v>
      </c>
      <c r="K35">
        <v>8.8000000000000007</v>
      </c>
      <c r="L35" s="6"/>
      <c r="M35">
        <v>1778088440000</v>
      </c>
      <c r="N35">
        <v>12.9</v>
      </c>
      <c r="P35">
        <v>1778087333002</v>
      </c>
      <c r="Q35">
        <v>82</v>
      </c>
      <c r="S35">
        <v>1778093088000</v>
      </c>
      <c r="T35">
        <v>15.6</v>
      </c>
      <c r="V35">
        <v>1778070831008</v>
      </c>
      <c r="W35">
        <v>15</v>
      </c>
      <c r="X35" s="6"/>
      <c r="Y35">
        <v>1779121148000</v>
      </c>
      <c r="Z35">
        <v>73</v>
      </c>
      <c r="AB35">
        <v>1779126252000</v>
      </c>
      <c r="AC35">
        <v>105</v>
      </c>
      <c r="AE35">
        <v>1779125006007</v>
      </c>
      <c r="AF35">
        <v>0</v>
      </c>
      <c r="AH35">
        <v>1779127686000</v>
      </c>
      <c r="AI35">
        <v>26.7</v>
      </c>
      <c r="AJ35" s="6"/>
      <c r="AK35">
        <v>1782233132000</v>
      </c>
      <c r="AL35">
        <v>54.9</v>
      </c>
      <c r="AN35">
        <v>1782228862003</v>
      </c>
      <c r="AO35">
        <v>23.2</v>
      </c>
      <c r="AQ35">
        <v>1782236063007</v>
      </c>
      <c r="AR35">
        <v>0</v>
      </c>
      <c r="AT35">
        <v>1782235578000</v>
      </c>
      <c r="AU35">
        <v>17.600000000000001</v>
      </c>
      <c r="AV35" s="6"/>
      <c r="AW35">
        <v>1784053734003</v>
      </c>
      <c r="AX35">
        <v>72.3</v>
      </c>
      <c r="AZ35">
        <v>1784049198002</v>
      </c>
      <c r="BA35">
        <v>43.4</v>
      </c>
      <c r="BC35">
        <v>1784059163006</v>
      </c>
      <c r="BD35">
        <v>20.399999999999999</v>
      </c>
      <c r="BF35">
        <v>1784047074000</v>
      </c>
      <c r="BG35">
        <v>33.4</v>
      </c>
      <c r="BH35" s="6"/>
      <c r="BI35">
        <v>1784135259009</v>
      </c>
      <c r="BJ35">
        <v>0</v>
      </c>
      <c r="BL35">
        <v>1784134150006</v>
      </c>
      <c r="BM35">
        <v>43.9</v>
      </c>
      <c r="BO35">
        <v>1784133814004</v>
      </c>
      <c r="BP35">
        <v>2.1</v>
      </c>
      <c r="BR35">
        <v>1784148786000</v>
      </c>
      <c r="BS35">
        <v>18.399999999999999</v>
      </c>
      <c r="BT35" s="6"/>
    </row>
    <row r="36" spans="1:72">
      <c r="A36">
        <v>1778006000000</v>
      </c>
      <c r="B36">
        <v>11.9</v>
      </c>
      <c r="D36">
        <v>1778005953004</v>
      </c>
      <c r="E36">
        <v>13.1</v>
      </c>
      <c r="G36">
        <v>1778010648000</v>
      </c>
      <c r="H36">
        <v>38.799999999999997</v>
      </c>
      <c r="J36">
        <v>1777990629000</v>
      </c>
      <c r="K36">
        <v>82.9</v>
      </c>
      <c r="L36" s="6"/>
      <c r="M36">
        <v>1778088833000</v>
      </c>
      <c r="N36">
        <v>10.7</v>
      </c>
      <c r="P36">
        <v>1778088131004</v>
      </c>
      <c r="Q36">
        <v>61.2</v>
      </c>
      <c r="S36">
        <v>1778093220000</v>
      </c>
      <c r="T36">
        <v>39.799999999999997</v>
      </c>
      <c r="V36">
        <v>1778070957000</v>
      </c>
      <c r="W36">
        <v>22.1</v>
      </c>
      <c r="X36" s="6"/>
      <c r="Y36">
        <v>1779123524000</v>
      </c>
      <c r="Z36">
        <v>8.9</v>
      </c>
      <c r="AB36">
        <v>1779126630000</v>
      </c>
      <c r="AC36">
        <v>3.7</v>
      </c>
      <c r="AE36">
        <v>1779126060000</v>
      </c>
      <c r="AF36">
        <v>6.9</v>
      </c>
      <c r="AH36">
        <v>1779129798000</v>
      </c>
      <c r="AI36">
        <v>110.9</v>
      </c>
      <c r="AJ36" s="6"/>
      <c r="AK36">
        <v>1782233396000</v>
      </c>
      <c r="AL36">
        <v>19.5</v>
      </c>
      <c r="AN36">
        <v>1782229124008</v>
      </c>
      <c r="AO36">
        <v>43.6</v>
      </c>
      <c r="AQ36">
        <v>1782237912000</v>
      </c>
      <c r="AR36">
        <v>13.7</v>
      </c>
      <c r="AT36">
        <v>1782235710000</v>
      </c>
      <c r="AU36">
        <v>37.700000000000003</v>
      </c>
      <c r="AV36" s="6"/>
      <c r="AW36">
        <v>1784054000000</v>
      </c>
      <c r="AX36">
        <v>56.8</v>
      </c>
      <c r="AZ36">
        <v>1784049337005</v>
      </c>
      <c r="BA36">
        <v>0.2</v>
      </c>
      <c r="BC36">
        <v>1784063703005</v>
      </c>
      <c r="BD36">
        <v>12.5</v>
      </c>
      <c r="BF36">
        <v>1784050770000</v>
      </c>
      <c r="BG36">
        <v>10.4</v>
      </c>
      <c r="BH36" s="6"/>
      <c r="BI36">
        <v>1784135637007</v>
      </c>
      <c r="BJ36">
        <v>52.8</v>
      </c>
      <c r="BL36">
        <v>1784134544002</v>
      </c>
      <c r="BM36">
        <v>74.8</v>
      </c>
      <c r="BO36">
        <v>1784136068009</v>
      </c>
      <c r="BP36">
        <v>9.1</v>
      </c>
      <c r="BR36">
        <v>1784149894000</v>
      </c>
      <c r="BS36">
        <v>50.8</v>
      </c>
      <c r="BT36" s="6"/>
    </row>
    <row r="37" spans="1:72">
      <c r="A37">
        <v>1778006399002</v>
      </c>
      <c r="B37">
        <v>0</v>
      </c>
      <c r="D37">
        <v>1778007672000</v>
      </c>
      <c r="E37">
        <v>91.5</v>
      </c>
      <c r="G37">
        <v>1778011572000</v>
      </c>
      <c r="H37">
        <v>46.3</v>
      </c>
      <c r="J37">
        <v>1777991025000</v>
      </c>
      <c r="K37">
        <v>253</v>
      </c>
      <c r="L37" s="6"/>
      <c r="M37">
        <v>1778089364000</v>
      </c>
      <c r="N37">
        <v>19.2</v>
      </c>
      <c r="P37">
        <v>1778088394006</v>
      </c>
      <c r="Q37">
        <v>44</v>
      </c>
      <c r="S37">
        <v>1778094406007</v>
      </c>
      <c r="T37">
        <v>89.6</v>
      </c>
      <c r="V37">
        <v>1778072937000</v>
      </c>
      <c r="W37">
        <v>54.8</v>
      </c>
      <c r="X37" s="6"/>
      <c r="Y37">
        <v>1779123652006</v>
      </c>
      <c r="Z37">
        <v>12.2</v>
      </c>
      <c r="AB37">
        <v>1779128098006</v>
      </c>
      <c r="AC37">
        <v>73.7</v>
      </c>
      <c r="AE37">
        <v>1779126192000</v>
      </c>
      <c r="AF37">
        <v>14.9</v>
      </c>
      <c r="AH37">
        <v>1779129930000</v>
      </c>
      <c r="AI37">
        <v>14.4</v>
      </c>
      <c r="AJ37" s="6"/>
      <c r="AK37">
        <v>1782236298000</v>
      </c>
      <c r="AL37">
        <v>31.2</v>
      </c>
      <c r="AN37">
        <v>1782229920000</v>
      </c>
      <c r="AO37">
        <v>14.9</v>
      </c>
      <c r="AQ37">
        <v>1782238176000</v>
      </c>
      <c r="AR37">
        <v>55.5</v>
      </c>
      <c r="AT37">
        <v>1782235974000</v>
      </c>
      <c r="AU37">
        <v>14.2</v>
      </c>
      <c r="AV37" s="6"/>
      <c r="AW37">
        <v>1784054926008</v>
      </c>
      <c r="AX37">
        <v>0</v>
      </c>
      <c r="AZ37">
        <v>1784050391009</v>
      </c>
      <c r="BA37">
        <v>44.4</v>
      </c>
      <c r="BC37">
        <v>1784064161000</v>
      </c>
      <c r="BD37">
        <v>50</v>
      </c>
      <c r="BF37">
        <v>1784055390000</v>
      </c>
      <c r="BG37">
        <v>127.8</v>
      </c>
      <c r="BH37" s="6"/>
      <c r="BI37">
        <v>1784136041005</v>
      </c>
      <c r="BJ37">
        <v>108.6</v>
      </c>
      <c r="BL37">
        <v>1784135096004</v>
      </c>
      <c r="BM37">
        <v>103.8</v>
      </c>
      <c r="BO37">
        <v>1784137390002</v>
      </c>
      <c r="BP37">
        <v>40.299999999999997</v>
      </c>
      <c r="BR37">
        <v>1784150044000</v>
      </c>
      <c r="BS37">
        <v>65.599999999999994</v>
      </c>
      <c r="BT37" s="6"/>
    </row>
    <row r="38" spans="1:72">
      <c r="A38">
        <v>1778007320000</v>
      </c>
      <c r="B38">
        <v>62.6</v>
      </c>
      <c r="D38">
        <v>1778007804000</v>
      </c>
      <c r="E38">
        <v>61.1</v>
      </c>
      <c r="G38">
        <v>1778011839007</v>
      </c>
      <c r="H38">
        <v>0</v>
      </c>
      <c r="J38">
        <v>1777991421000</v>
      </c>
      <c r="K38">
        <v>52.6</v>
      </c>
      <c r="L38" s="6"/>
      <c r="M38">
        <v>1778090948000</v>
      </c>
      <c r="N38">
        <v>84.5</v>
      </c>
      <c r="P38">
        <v>1778090112000</v>
      </c>
      <c r="Q38">
        <v>39.6</v>
      </c>
      <c r="S38">
        <v>1778094540000</v>
      </c>
      <c r="T38">
        <v>56.1</v>
      </c>
      <c r="V38">
        <v>1778073698002</v>
      </c>
      <c r="W38">
        <v>0</v>
      </c>
      <c r="X38" s="6"/>
      <c r="Y38">
        <v>1779123788000</v>
      </c>
      <c r="Z38">
        <v>64.599999999999994</v>
      </c>
      <c r="AB38">
        <v>1779128499008</v>
      </c>
      <c r="AC38">
        <v>95.3</v>
      </c>
      <c r="AE38">
        <v>1779128042003</v>
      </c>
      <c r="AF38">
        <v>0</v>
      </c>
      <c r="AH38">
        <v>1779130854000</v>
      </c>
      <c r="AI38">
        <v>109.7</v>
      </c>
      <c r="AJ38" s="6"/>
      <c r="AK38">
        <v>1782236432000</v>
      </c>
      <c r="AL38">
        <v>74.3</v>
      </c>
      <c r="AN38">
        <v>1782231104005</v>
      </c>
      <c r="AO38">
        <v>74.400000000000006</v>
      </c>
      <c r="AQ38">
        <v>1782239628000</v>
      </c>
      <c r="AR38">
        <v>40</v>
      </c>
      <c r="AT38">
        <v>1782237426000</v>
      </c>
      <c r="AU38">
        <v>3.6</v>
      </c>
      <c r="AV38" s="6"/>
      <c r="AW38">
        <v>1784055049004</v>
      </c>
      <c r="AX38">
        <v>2.2999999999999998</v>
      </c>
      <c r="AZ38">
        <v>1784052497002</v>
      </c>
      <c r="BA38">
        <v>47.7</v>
      </c>
      <c r="BC38">
        <v>1784064455006</v>
      </c>
      <c r="BD38">
        <v>34.1</v>
      </c>
      <c r="BF38">
        <v>1784056557003</v>
      </c>
      <c r="BG38">
        <v>0.2</v>
      </c>
      <c r="BH38" s="6"/>
      <c r="BI38">
        <v>1784136438003</v>
      </c>
      <c r="BJ38">
        <v>4.4000000000000004</v>
      </c>
      <c r="BL38">
        <v>1784135335004</v>
      </c>
      <c r="BM38">
        <v>61.4</v>
      </c>
      <c r="BO38">
        <v>1784139096003</v>
      </c>
      <c r="BP38">
        <v>0.7</v>
      </c>
      <c r="BR38">
        <v>1784150349007</v>
      </c>
      <c r="BS38">
        <v>0.2</v>
      </c>
      <c r="BT38" s="6"/>
    </row>
    <row r="39" spans="1:72">
      <c r="A39">
        <v>1778007716000</v>
      </c>
      <c r="B39">
        <v>66.3</v>
      </c>
      <c r="D39">
        <v>1778007935009</v>
      </c>
      <c r="E39">
        <v>65.7</v>
      </c>
      <c r="G39">
        <v>1778012364000</v>
      </c>
      <c r="H39">
        <v>91</v>
      </c>
      <c r="J39">
        <v>1777991553000</v>
      </c>
      <c r="K39">
        <v>83.5</v>
      </c>
      <c r="L39" s="6"/>
      <c r="M39">
        <v>1778091476000</v>
      </c>
      <c r="N39">
        <v>102</v>
      </c>
      <c r="P39">
        <v>1778091828000</v>
      </c>
      <c r="Q39">
        <v>16.7</v>
      </c>
      <c r="S39">
        <v>1778094932003</v>
      </c>
      <c r="T39">
        <v>44.3</v>
      </c>
      <c r="V39">
        <v>1778074785000</v>
      </c>
      <c r="W39">
        <v>103.2</v>
      </c>
      <c r="X39" s="6"/>
      <c r="Y39">
        <v>1779124569003</v>
      </c>
      <c r="Z39">
        <v>11.1</v>
      </c>
      <c r="AB39">
        <v>1779128760000</v>
      </c>
      <c r="AC39">
        <v>0</v>
      </c>
      <c r="AE39">
        <v>1779129624000</v>
      </c>
      <c r="AF39">
        <v>72.3</v>
      </c>
      <c r="AH39">
        <v>1779131118000</v>
      </c>
      <c r="AI39">
        <v>16</v>
      </c>
      <c r="AJ39" s="6"/>
      <c r="AK39">
        <v>1782238269008</v>
      </c>
      <c r="AL39">
        <v>24.9</v>
      </c>
      <c r="AN39">
        <v>1782231767000</v>
      </c>
      <c r="AO39">
        <v>114</v>
      </c>
      <c r="AQ39">
        <v>1782240156004</v>
      </c>
      <c r="AR39">
        <v>0</v>
      </c>
      <c r="AT39">
        <v>1782237690000</v>
      </c>
      <c r="AU39">
        <v>47.8</v>
      </c>
      <c r="AV39" s="6"/>
      <c r="AW39">
        <v>1784055188000</v>
      </c>
      <c r="AX39">
        <v>9.1999999999999993</v>
      </c>
      <c r="AZ39">
        <v>1784053164003</v>
      </c>
      <c r="BA39">
        <v>0.2</v>
      </c>
      <c r="BC39">
        <v>1784065361000</v>
      </c>
      <c r="BD39">
        <v>79.900000000000006</v>
      </c>
      <c r="BF39">
        <v>1784057108000</v>
      </c>
      <c r="BG39">
        <v>77.7</v>
      </c>
      <c r="BH39" s="6"/>
      <c r="BI39">
        <v>1784136965001</v>
      </c>
      <c r="BJ39">
        <v>55.5</v>
      </c>
      <c r="BL39">
        <v>1784135736000</v>
      </c>
      <c r="BM39">
        <v>31</v>
      </c>
      <c r="BO39">
        <v>1784139767008</v>
      </c>
      <c r="BP39">
        <v>25.2</v>
      </c>
      <c r="BR39">
        <v>1784150494000</v>
      </c>
      <c r="BS39">
        <v>44.3</v>
      </c>
      <c r="BT39" s="6"/>
    </row>
    <row r="40" spans="1:72">
      <c r="A40">
        <v>1778008376000</v>
      </c>
      <c r="B40">
        <v>105.4</v>
      </c>
      <c r="D40">
        <v>1778008200000</v>
      </c>
      <c r="E40">
        <v>59.7</v>
      </c>
      <c r="G40">
        <v>1778012496000</v>
      </c>
      <c r="H40">
        <v>72.599999999999994</v>
      </c>
      <c r="J40">
        <v>1777993269000</v>
      </c>
      <c r="K40">
        <v>45.6</v>
      </c>
      <c r="L40" s="6"/>
      <c r="M40">
        <v>1778091872000</v>
      </c>
      <c r="N40">
        <v>2.2999999999999998</v>
      </c>
      <c r="P40">
        <v>1778091960000</v>
      </c>
      <c r="Q40">
        <v>56.5</v>
      </c>
      <c r="S40">
        <v>1778096784000</v>
      </c>
      <c r="T40">
        <v>99.2</v>
      </c>
      <c r="V40">
        <v>1778075049000</v>
      </c>
      <c r="W40">
        <v>6.1</v>
      </c>
      <c r="X40" s="6"/>
      <c r="Y40">
        <v>1779126030004</v>
      </c>
      <c r="Z40">
        <v>79.599999999999994</v>
      </c>
      <c r="AB40">
        <v>1779129681002</v>
      </c>
      <c r="AC40">
        <v>23.3</v>
      </c>
      <c r="AE40">
        <v>1779129756000</v>
      </c>
      <c r="AF40">
        <v>56.5</v>
      </c>
      <c r="AH40">
        <v>1779131514000</v>
      </c>
      <c r="AI40">
        <v>60.6</v>
      </c>
      <c r="AJ40" s="6"/>
      <c r="AK40">
        <v>1782238544000</v>
      </c>
      <c r="AL40">
        <v>42.1</v>
      </c>
      <c r="AN40">
        <v>1782232031007</v>
      </c>
      <c r="AO40">
        <v>64.2</v>
      </c>
      <c r="AQ40">
        <v>1782240419006</v>
      </c>
      <c r="AR40">
        <v>52.4</v>
      </c>
      <c r="AT40">
        <v>1782237822000</v>
      </c>
      <c r="AU40">
        <v>6.3</v>
      </c>
      <c r="AV40" s="6"/>
      <c r="AW40">
        <v>1784055459002</v>
      </c>
      <c r="AX40">
        <v>0</v>
      </c>
      <c r="AZ40">
        <v>1784055008002</v>
      </c>
      <c r="BA40">
        <v>50.4</v>
      </c>
      <c r="BC40">
        <v>1784065810008</v>
      </c>
      <c r="BD40">
        <v>0</v>
      </c>
      <c r="BF40">
        <v>1784058294000</v>
      </c>
      <c r="BG40">
        <v>50.9</v>
      </c>
      <c r="BH40" s="6"/>
      <c r="BI40">
        <v>1784138547005</v>
      </c>
      <c r="BJ40">
        <v>36.1</v>
      </c>
      <c r="BL40">
        <v>1784135999005</v>
      </c>
      <c r="BM40">
        <v>68.2</v>
      </c>
      <c r="BO40">
        <v>1784140817002</v>
      </c>
      <c r="BP40">
        <v>6.6</v>
      </c>
      <c r="BR40">
        <v>1784151846009</v>
      </c>
      <c r="BS40">
        <v>0.2</v>
      </c>
      <c r="BT40" s="6"/>
    </row>
    <row r="41" spans="1:72">
      <c r="A41">
        <v>1778010620000</v>
      </c>
      <c r="B41">
        <v>72.599999999999994</v>
      </c>
      <c r="D41">
        <v>1778008987002</v>
      </c>
      <c r="E41">
        <v>97.1</v>
      </c>
      <c r="G41">
        <v>1778012760000</v>
      </c>
      <c r="H41">
        <v>42.5</v>
      </c>
      <c r="J41">
        <v>1777993797000</v>
      </c>
      <c r="K41">
        <v>69.5</v>
      </c>
      <c r="L41" s="6"/>
      <c r="M41">
        <v>1778092008005</v>
      </c>
      <c r="N41">
        <v>0</v>
      </c>
      <c r="P41">
        <v>1778092206000</v>
      </c>
      <c r="Q41">
        <v>39.299999999999997</v>
      </c>
      <c r="S41">
        <v>1778098234004</v>
      </c>
      <c r="T41">
        <v>225.3</v>
      </c>
      <c r="V41">
        <v>1778075841000</v>
      </c>
      <c r="W41">
        <v>9.1</v>
      </c>
      <c r="X41" s="6"/>
      <c r="Y41">
        <v>1779126559005</v>
      </c>
      <c r="Z41">
        <v>3.1</v>
      </c>
      <c r="AB41">
        <v>1779129945007</v>
      </c>
      <c r="AC41">
        <v>57.2</v>
      </c>
      <c r="AE41">
        <v>1779129888000</v>
      </c>
      <c r="AF41">
        <v>70.8</v>
      </c>
      <c r="AH41">
        <v>1779132438000</v>
      </c>
      <c r="AI41">
        <v>30.3</v>
      </c>
      <c r="AJ41" s="6"/>
      <c r="AK41">
        <v>1782239468000</v>
      </c>
      <c r="AL41">
        <v>32.9</v>
      </c>
      <c r="AN41">
        <v>1782233216005</v>
      </c>
      <c r="AO41">
        <v>57</v>
      </c>
      <c r="AQ41">
        <v>1782240810007</v>
      </c>
      <c r="AR41">
        <v>5.8</v>
      </c>
      <c r="AT41">
        <v>1782238086000</v>
      </c>
      <c r="AU41">
        <v>15.8</v>
      </c>
      <c r="AV41" s="6"/>
      <c r="AW41">
        <v>1784055850003</v>
      </c>
      <c r="AX41">
        <v>0</v>
      </c>
      <c r="AZ41">
        <v>1784055144000</v>
      </c>
      <c r="BA41">
        <v>69.599999999999994</v>
      </c>
      <c r="BC41">
        <v>1784066111000</v>
      </c>
      <c r="BD41">
        <v>34.6</v>
      </c>
      <c r="BF41">
        <v>1784058558004</v>
      </c>
      <c r="BG41">
        <v>0.2</v>
      </c>
      <c r="BH41" s="6"/>
      <c r="BI41">
        <v>1784139347001</v>
      </c>
      <c r="BJ41">
        <v>0</v>
      </c>
      <c r="BL41">
        <v>1784136660000</v>
      </c>
      <c r="BM41">
        <v>69</v>
      </c>
      <c r="BO41">
        <v>1784141097007</v>
      </c>
      <c r="BP41">
        <v>47.2</v>
      </c>
      <c r="BR41">
        <v>1784157844000</v>
      </c>
      <c r="BS41">
        <v>99.7</v>
      </c>
      <c r="BT41" s="6"/>
    </row>
    <row r="42" spans="1:72">
      <c r="A42">
        <v>1778011277008</v>
      </c>
      <c r="B42">
        <v>22.3</v>
      </c>
      <c r="D42">
        <v>1778009520000</v>
      </c>
      <c r="E42">
        <v>28.5</v>
      </c>
      <c r="G42">
        <v>1778013420000</v>
      </c>
      <c r="H42">
        <v>51.4</v>
      </c>
      <c r="J42">
        <v>1777994061000</v>
      </c>
      <c r="K42">
        <v>120.5</v>
      </c>
      <c r="L42" s="6"/>
      <c r="M42">
        <v>1778093720000</v>
      </c>
      <c r="N42">
        <v>49.3</v>
      </c>
      <c r="P42">
        <v>1778092488000</v>
      </c>
      <c r="Q42">
        <v>14.3</v>
      </c>
      <c r="S42">
        <v>1778098368000</v>
      </c>
      <c r="T42">
        <v>8.1</v>
      </c>
      <c r="V42">
        <v>1778077293000</v>
      </c>
      <c r="W42">
        <v>31.9</v>
      </c>
      <c r="X42" s="6"/>
      <c r="Y42">
        <v>1779127088000</v>
      </c>
      <c r="Z42">
        <v>12.4</v>
      </c>
      <c r="AB42">
        <v>1779130872000</v>
      </c>
      <c r="AC42">
        <v>122.9</v>
      </c>
      <c r="AE42">
        <v>1779131340000</v>
      </c>
      <c r="AF42">
        <v>92.5</v>
      </c>
      <c r="AH42">
        <v>1779133507007</v>
      </c>
      <c r="AI42">
        <v>39.9</v>
      </c>
      <c r="AJ42" s="6"/>
      <c r="AK42">
        <v>1782240788000</v>
      </c>
      <c r="AL42">
        <v>75.2</v>
      </c>
      <c r="AN42">
        <v>1782233611001</v>
      </c>
      <c r="AO42">
        <v>11.2</v>
      </c>
      <c r="AQ42">
        <v>1782242398003</v>
      </c>
      <c r="AR42">
        <v>85.3</v>
      </c>
      <c r="AT42">
        <v>1782239670001</v>
      </c>
      <c r="AU42">
        <v>0</v>
      </c>
      <c r="AV42" s="6"/>
      <c r="AW42">
        <v>1784056464009</v>
      </c>
      <c r="AX42">
        <v>142</v>
      </c>
      <c r="AZ42">
        <v>1784056199003</v>
      </c>
      <c r="BA42">
        <v>45.7</v>
      </c>
      <c r="BC42">
        <v>1784067461000</v>
      </c>
      <c r="BD42">
        <v>83.5</v>
      </c>
      <c r="BF42">
        <v>1784062386000</v>
      </c>
      <c r="BG42">
        <v>13.1</v>
      </c>
      <c r="BH42" s="6"/>
      <c r="BI42">
        <v>1784140795006</v>
      </c>
      <c r="BJ42">
        <v>20</v>
      </c>
      <c r="BL42">
        <v>1784136786002</v>
      </c>
      <c r="BM42">
        <v>45</v>
      </c>
      <c r="BO42">
        <v>1784142408000</v>
      </c>
      <c r="BP42">
        <v>14.9</v>
      </c>
      <c r="BR42">
        <v>1784158894000</v>
      </c>
      <c r="BS42">
        <v>2.1</v>
      </c>
      <c r="BT42" s="6"/>
    </row>
    <row r="43" spans="1:72">
      <c r="A43">
        <v>1778011673002</v>
      </c>
      <c r="B43">
        <v>5.7</v>
      </c>
      <c r="D43">
        <v>1778010837002</v>
      </c>
      <c r="E43">
        <v>7.6</v>
      </c>
      <c r="G43">
        <v>1778013951005</v>
      </c>
      <c r="H43">
        <v>0</v>
      </c>
      <c r="J43">
        <v>1777994193000</v>
      </c>
      <c r="K43">
        <v>71.400000000000006</v>
      </c>
      <c r="L43" s="6"/>
      <c r="M43">
        <v>1778094116000</v>
      </c>
      <c r="N43">
        <v>4.8</v>
      </c>
      <c r="P43">
        <v>1778092884000</v>
      </c>
      <c r="Q43">
        <v>52.9</v>
      </c>
      <c r="S43">
        <v>1778098896000</v>
      </c>
      <c r="T43">
        <v>86.1</v>
      </c>
      <c r="V43">
        <v>1778080461000</v>
      </c>
      <c r="W43">
        <v>25.6</v>
      </c>
      <c r="X43" s="6"/>
      <c r="Y43">
        <v>1779127214008</v>
      </c>
      <c r="Z43">
        <v>42</v>
      </c>
      <c r="AB43">
        <v>1779131527005</v>
      </c>
      <c r="AC43">
        <v>28.9</v>
      </c>
      <c r="AE43">
        <v>1779131472000</v>
      </c>
      <c r="AF43">
        <v>14</v>
      </c>
      <c r="AH43">
        <v>1779134550000</v>
      </c>
      <c r="AI43">
        <v>31.6</v>
      </c>
      <c r="AJ43" s="6"/>
      <c r="AK43">
        <v>1782241184000</v>
      </c>
      <c r="AL43">
        <v>17.2</v>
      </c>
      <c r="AN43">
        <v>1782236124000</v>
      </c>
      <c r="AO43">
        <v>36.6</v>
      </c>
      <c r="AQ43">
        <v>1782242927008</v>
      </c>
      <c r="AR43">
        <v>43.4</v>
      </c>
      <c r="AT43">
        <v>1782239934000</v>
      </c>
      <c r="AU43">
        <v>27.9</v>
      </c>
      <c r="AV43" s="6"/>
      <c r="AW43">
        <v>1784057300000</v>
      </c>
      <c r="AX43">
        <v>82.3</v>
      </c>
      <c r="AZ43">
        <v>1784056412003</v>
      </c>
      <c r="BA43">
        <v>94.8</v>
      </c>
      <c r="BC43">
        <v>1784067731006</v>
      </c>
      <c r="BD43">
        <v>43.7</v>
      </c>
      <c r="BF43">
        <v>1784062518000</v>
      </c>
      <c r="BG43">
        <v>64.099999999999994</v>
      </c>
      <c r="BH43" s="6"/>
      <c r="BI43">
        <v>1784141065006</v>
      </c>
      <c r="BJ43">
        <v>106</v>
      </c>
      <c r="BL43">
        <v>1784137185003</v>
      </c>
      <c r="BM43">
        <v>84.5</v>
      </c>
      <c r="BO43">
        <v>1784142900008</v>
      </c>
      <c r="BP43">
        <v>0</v>
      </c>
      <c r="BR43">
        <v>1784160683007</v>
      </c>
      <c r="BS43">
        <v>126.7</v>
      </c>
      <c r="BT43" s="6"/>
    </row>
    <row r="44" spans="1:72">
      <c r="A44">
        <v>1778011805005</v>
      </c>
      <c r="B44">
        <v>61.6</v>
      </c>
      <c r="D44">
        <v>1778011500000</v>
      </c>
      <c r="E44">
        <v>107</v>
      </c>
      <c r="G44">
        <v>1778014476000</v>
      </c>
      <c r="H44">
        <v>58.3</v>
      </c>
      <c r="J44">
        <v>1777994589000</v>
      </c>
      <c r="K44">
        <v>82.9</v>
      </c>
      <c r="L44" s="6"/>
      <c r="M44">
        <v>1778094375008</v>
      </c>
      <c r="N44">
        <v>3.1</v>
      </c>
      <c r="P44">
        <v>1778094334006</v>
      </c>
      <c r="Q44">
        <v>8.9</v>
      </c>
      <c r="S44">
        <v>1778100479004</v>
      </c>
      <c r="T44">
        <v>19.899999999999999</v>
      </c>
      <c r="V44">
        <v>1778081910000</v>
      </c>
      <c r="W44">
        <v>9</v>
      </c>
      <c r="X44" s="6"/>
      <c r="Y44">
        <v>1779129322009</v>
      </c>
      <c r="Z44">
        <v>61.1</v>
      </c>
      <c r="AB44">
        <v>1779132720000</v>
      </c>
      <c r="AC44">
        <v>82.3</v>
      </c>
      <c r="AE44">
        <v>1779131862001</v>
      </c>
      <c r="AF44">
        <v>65.5</v>
      </c>
      <c r="AH44">
        <v>1779136794000</v>
      </c>
      <c r="AI44">
        <v>12</v>
      </c>
      <c r="AJ44" s="6"/>
      <c r="AK44">
        <v>1782241580000</v>
      </c>
      <c r="AL44">
        <v>10.4</v>
      </c>
      <c r="AN44">
        <v>1782236778005</v>
      </c>
      <c r="AO44">
        <v>49.6</v>
      </c>
      <c r="AQ44">
        <v>1782243848006</v>
      </c>
      <c r="AR44">
        <v>22.7</v>
      </c>
      <c r="AT44">
        <v>1782240330000</v>
      </c>
      <c r="AU44">
        <v>14.8</v>
      </c>
      <c r="AV44" s="6"/>
      <c r="AW44">
        <v>1784058752000</v>
      </c>
      <c r="AX44">
        <v>28.5</v>
      </c>
      <c r="AZ44">
        <v>1784056559008</v>
      </c>
      <c r="BA44">
        <v>16.5</v>
      </c>
      <c r="BC44">
        <v>1784067897006</v>
      </c>
      <c r="BD44">
        <v>113.9</v>
      </c>
      <c r="BF44">
        <v>1784063794000</v>
      </c>
      <c r="BG44">
        <v>134.80000000000001</v>
      </c>
      <c r="BH44" s="6"/>
      <c r="BI44">
        <v>1784141444000</v>
      </c>
      <c r="BJ44">
        <v>4.0999999999999996</v>
      </c>
      <c r="BL44">
        <v>1784139696000</v>
      </c>
      <c r="BM44">
        <v>10.199999999999999</v>
      </c>
      <c r="BO44">
        <v>1784143067005</v>
      </c>
      <c r="BP44">
        <v>61.3</v>
      </c>
      <c r="BR44">
        <v>1784161444000</v>
      </c>
      <c r="BS44">
        <v>34.4</v>
      </c>
      <c r="BT44" s="6"/>
    </row>
    <row r="45" spans="1:72">
      <c r="A45">
        <v>1778012336000</v>
      </c>
      <c r="B45">
        <v>84.5</v>
      </c>
      <c r="D45">
        <v>1778011632000</v>
      </c>
      <c r="E45">
        <v>31.6</v>
      </c>
      <c r="G45">
        <v>1778017361003</v>
      </c>
      <c r="H45">
        <v>0</v>
      </c>
      <c r="J45">
        <v>1777994721000</v>
      </c>
      <c r="K45">
        <v>54.6</v>
      </c>
      <c r="L45" s="6"/>
      <c r="M45">
        <v>1778095040000</v>
      </c>
      <c r="N45">
        <v>37.6</v>
      </c>
      <c r="P45">
        <v>1778094463009</v>
      </c>
      <c r="Q45">
        <v>65.400000000000006</v>
      </c>
      <c r="S45">
        <v>1778100612000</v>
      </c>
      <c r="T45">
        <v>43</v>
      </c>
      <c r="V45">
        <v>1778083626000</v>
      </c>
      <c r="W45">
        <v>48.6</v>
      </c>
      <c r="X45" s="6"/>
      <c r="Y45">
        <v>1779129728000</v>
      </c>
      <c r="Z45">
        <v>4.7</v>
      </c>
      <c r="AB45">
        <v>1779133775007</v>
      </c>
      <c r="AC45">
        <v>34.700000000000003</v>
      </c>
      <c r="AE45">
        <v>1779133188000</v>
      </c>
      <c r="AF45">
        <v>87</v>
      </c>
      <c r="AH45">
        <v>1779136926000</v>
      </c>
      <c r="AI45">
        <v>48</v>
      </c>
      <c r="AJ45" s="6"/>
      <c r="AK45">
        <v>1782242108000</v>
      </c>
      <c r="AL45">
        <v>63.4</v>
      </c>
      <c r="AN45">
        <v>1782236916000</v>
      </c>
      <c r="AO45">
        <v>79.3</v>
      </c>
      <c r="AQ45">
        <v>1782243984000</v>
      </c>
      <c r="AR45">
        <v>62.7</v>
      </c>
      <c r="AT45">
        <v>1782240990000</v>
      </c>
      <c r="AU45">
        <v>32.4</v>
      </c>
      <c r="AV45" s="6"/>
      <c r="AW45">
        <v>1784058884000</v>
      </c>
      <c r="AX45">
        <v>46.8</v>
      </c>
      <c r="AZ45">
        <v>1784057652000</v>
      </c>
      <c r="BA45">
        <v>122.1</v>
      </c>
      <c r="BC45">
        <v>1784068064006</v>
      </c>
      <c r="BD45">
        <v>0</v>
      </c>
      <c r="BF45">
        <v>1784064094000</v>
      </c>
      <c r="BG45">
        <v>8.6</v>
      </c>
      <c r="BH45" s="6"/>
      <c r="BI45">
        <v>1784141588004</v>
      </c>
      <c r="BJ45">
        <v>0</v>
      </c>
      <c r="BL45">
        <v>1784141934006</v>
      </c>
      <c r="BM45">
        <v>62.1</v>
      </c>
      <c r="BO45">
        <v>1784144510000</v>
      </c>
      <c r="BP45">
        <v>2.1</v>
      </c>
      <c r="BR45">
        <v>1784163248006</v>
      </c>
      <c r="BS45">
        <v>0.2</v>
      </c>
      <c r="BT45" s="6"/>
    </row>
    <row r="46" spans="1:72">
      <c r="A46">
        <v>1778012864000</v>
      </c>
      <c r="B46">
        <v>22.4</v>
      </c>
      <c r="D46">
        <v>1778012424000</v>
      </c>
      <c r="E46">
        <v>69.400000000000006</v>
      </c>
      <c r="G46">
        <v>1778018561000</v>
      </c>
      <c r="H46">
        <v>9.6</v>
      </c>
      <c r="J46">
        <v>1777995642000</v>
      </c>
      <c r="K46">
        <v>102.5</v>
      </c>
      <c r="L46" s="6"/>
      <c r="M46">
        <v>1778097416000</v>
      </c>
      <c r="N46">
        <v>62</v>
      </c>
      <c r="P46">
        <v>1778094859003</v>
      </c>
      <c r="Q46">
        <v>117.3</v>
      </c>
      <c r="S46">
        <v>1778101811000</v>
      </c>
      <c r="T46">
        <v>57.5</v>
      </c>
      <c r="V46">
        <v>1778084154000</v>
      </c>
      <c r="W46">
        <v>48.7</v>
      </c>
      <c r="X46" s="6"/>
      <c r="Y46">
        <v>1779130520000</v>
      </c>
      <c r="Z46">
        <v>52.8</v>
      </c>
      <c r="AB46">
        <v>1779134964000</v>
      </c>
      <c r="AC46">
        <v>30.6</v>
      </c>
      <c r="AE46">
        <v>1779134376000</v>
      </c>
      <c r="AF46">
        <v>66.5</v>
      </c>
      <c r="AH46">
        <v>1779140494000</v>
      </c>
      <c r="AI46">
        <v>9.1999999999999993</v>
      </c>
      <c r="AJ46" s="6"/>
      <c r="AK46">
        <v>1782243824000</v>
      </c>
      <c r="AL46">
        <v>13.8</v>
      </c>
      <c r="AN46">
        <v>1782238500000</v>
      </c>
      <c r="AO46">
        <v>104.4</v>
      </c>
      <c r="AQ46">
        <v>1782244113006</v>
      </c>
      <c r="AR46">
        <v>13.3</v>
      </c>
      <c r="AT46">
        <v>1782241914000</v>
      </c>
      <c r="AU46">
        <v>74.5</v>
      </c>
      <c r="AV46" s="6"/>
      <c r="AW46">
        <v>1784062448000</v>
      </c>
      <c r="AX46">
        <v>72.2</v>
      </c>
      <c r="AZ46">
        <v>1784059101000</v>
      </c>
      <c r="BA46">
        <v>67.2</v>
      </c>
      <c r="BC46">
        <v>1784068361000</v>
      </c>
      <c r="BD46">
        <v>27.8</v>
      </c>
      <c r="BF46">
        <v>1784064244000</v>
      </c>
      <c r="BG46">
        <v>78.5</v>
      </c>
      <c r="BH46" s="6"/>
      <c r="BI46">
        <v>1784142116000</v>
      </c>
      <c r="BJ46">
        <v>1.8</v>
      </c>
      <c r="BL46">
        <v>1784142468000</v>
      </c>
      <c r="BM46">
        <v>14.5</v>
      </c>
      <c r="BO46">
        <v>1784145180000</v>
      </c>
      <c r="BP46">
        <v>109.7</v>
      </c>
      <c r="BR46">
        <v>1784163692003</v>
      </c>
      <c r="BS46">
        <v>41</v>
      </c>
      <c r="BT46" s="6"/>
    </row>
    <row r="47" spans="1:72">
      <c r="A47">
        <v>1778013127008</v>
      </c>
      <c r="B47">
        <v>79.900000000000006</v>
      </c>
      <c r="D47">
        <v>1778012819001</v>
      </c>
      <c r="E47">
        <v>25.1</v>
      </c>
      <c r="G47">
        <v>1778019611002</v>
      </c>
      <c r="H47">
        <v>0</v>
      </c>
      <c r="J47">
        <v>1777995906000</v>
      </c>
      <c r="K47">
        <v>3.2</v>
      </c>
      <c r="L47" s="6"/>
      <c r="M47">
        <v>1778097812000</v>
      </c>
      <c r="N47">
        <v>111.2</v>
      </c>
      <c r="P47">
        <v>1778095128000</v>
      </c>
      <c r="Q47">
        <v>65.599999999999994</v>
      </c>
      <c r="S47">
        <v>1778102261000</v>
      </c>
      <c r="T47">
        <v>8.4</v>
      </c>
      <c r="V47">
        <v>1778084946000</v>
      </c>
      <c r="W47">
        <v>48.8</v>
      </c>
      <c r="X47" s="6"/>
      <c r="Y47">
        <v>1779131312000</v>
      </c>
      <c r="Z47">
        <v>108.6</v>
      </c>
      <c r="AB47">
        <v>1779135098004</v>
      </c>
      <c r="AC47">
        <v>0.2</v>
      </c>
      <c r="AE47">
        <v>1779134901009</v>
      </c>
      <c r="AF47">
        <v>71.2</v>
      </c>
      <c r="AH47">
        <v>1779141244000</v>
      </c>
      <c r="AI47">
        <v>13.6</v>
      </c>
      <c r="AJ47" s="6"/>
      <c r="AK47">
        <v>1782244088000</v>
      </c>
      <c r="AL47">
        <v>71.900000000000006</v>
      </c>
      <c r="AN47">
        <v>1782239026005</v>
      </c>
      <c r="AO47">
        <v>67.8</v>
      </c>
      <c r="AQ47">
        <v>1782245436000</v>
      </c>
      <c r="AR47">
        <v>33.200000000000003</v>
      </c>
      <c r="AT47">
        <v>1782242838000</v>
      </c>
      <c r="AU47">
        <v>78.400000000000006</v>
      </c>
      <c r="AV47" s="6"/>
      <c r="AW47">
        <v>1784064622009</v>
      </c>
      <c r="AX47">
        <v>77</v>
      </c>
      <c r="AZ47">
        <v>1784060156003</v>
      </c>
      <c r="BA47">
        <v>103.4</v>
      </c>
      <c r="BC47">
        <v>1784068661000</v>
      </c>
      <c r="BD47">
        <v>99.4</v>
      </c>
      <c r="BF47">
        <v>1784064844000</v>
      </c>
      <c r="BG47">
        <v>110.9</v>
      </c>
      <c r="BH47" s="6"/>
      <c r="BI47">
        <v>1784142247006</v>
      </c>
      <c r="BJ47">
        <v>32</v>
      </c>
      <c r="BL47">
        <v>1784143260000</v>
      </c>
      <c r="BM47">
        <v>21.1</v>
      </c>
      <c r="BO47">
        <v>1784146493003</v>
      </c>
      <c r="BP47">
        <v>44.6</v>
      </c>
      <c r="BR47">
        <v>1784168322000</v>
      </c>
      <c r="BS47">
        <v>6.6</v>
      </c>
      <c r="BT47" s="6"/>
    </row>
    <row r="48" spans="1:72">
      <c r="A48">
        <v>1778013656000</v>
      </c>
      <c r="B48">
        <v>13.6</v>
      </c>
      <c r="D48">
        <v>1778012949001</v>
      </c>
      <c r="E48">
        <v>22.5</v>
      </c>
      <c r="G48">
        <v>1778020361000</v>
      </c>
      <c r="H48">
        <v>25.8</v>
      </c>
      <c r="J48">
        <v>1777996038000</v>
      </c>
      <c r="K48">
        <v>108</v>
      </c>
      <c r="L48" s="6"/>
      <c r="M48">
        <v>1778098073007</v>
      </c>
      <c r="N48">
        <v>27.6</v>
      </c>
      <c r="P48">
        <v>1778096573002</v>
      </c>
      <c r="Q48">
        <v>96.3</v>
      </c>
      <c r="S48">
        <v>1778102861000</v>
      </c>
      <c r="T48">
        <v>65.7</v>
      </c>
      <c r="V48">
        <v>1778085474000</v>
      </c>
      <c r="W48">
        <v>3.7</v>
      </c>
      <c r="X48" s="6"/>
      <c r="Y48">
        <v>1779131576000</v>
      </c>
      <c r="Z48">
        <v>13</v>
      </c>
      <c r="AB48">
        <v>1779135756000</v>
      </c>
      <c r="AC48">
        <v>58.9</v>
      </c>
      <c r="AE48">
        <v>1779135037006</v>
      </c>
      <c r="AF48">
        <v>0</v>
      </c>
      <c r="AH48">
        <v>1779142895003</v>
      </c>
      <c r="AI48">
        <v>0.2</v>
      </c>
      <c r="AJ48" s="6"/>
      <c r="AK48">
        <v>1782244880000</v>
      </c>
      <c r="AL48">
        <v>46.9</v>
      </c>
      <c r="AN48">
        <v>1782239156002</v>
      </c>
      <c r="AO48">
        <v>53.7</v>
      </c>
      <c r="AQ48">
        <v>1782245694007</v>
      </c>
      <c r="AR48">
        <v>41.5</v>
      </c>
      <c r="AT48">
        <v>1782242970000</v>
      </c>
      <c r="AU48">
        <v>31.1</v>
      </c>
      <c r="AV48" s="6"/>
      <c r="AW48">
        <v>1784065391000</v>
      </c>
      <c r="AX48">
        <v>76.2</v>
      </c>
      <c r="AZ48">
        <v>1784060952000</v>
      </c>
      <c r="BA48">
        <v>128.6</v>
      </c>
      <c r="BC48">
        <v>1784070158006</v>
      </c>
      <c r="BD48">
        <v>10</v>
      </c>
      <c r="BF48">
        <v>1784066044002</v>
      </c>
      <c r="BG48">
        <v>0</v>
      </c>
      <c r="BH48" s="6"/>
      <c r="BI48">
        <v>1784143040000</v>
      </c>
      <c r="BJ48">
        <v>27.8</v>
      </c>
      <c r="BL48">
        <v>1784144573002</v>
      </c>
      <c r="BM48">
        <v>80.400000000000006</v>
      </c>
      <c r="BO48">
        <v>1784147168008</v>
      </c>
      <c r="BP48">
        <v>0</v>
      </c>
      <c r="BR48">
        <v>1784168586000</v>
      </c>
      <c r="BS48">
        <v>86.7</v>
      </c>
      <c r="BT48" s="6"/>
    </row>
    <row r="49" spans="1:72">
      <c r="A49">
        <v>1778013788000</v>
      </c>
      <c r="B49">
        <v>47.2</v>
      </c>
      <c r="D49">
        <v>1778013876000</v>
      </c>
      <c r="E49">
        <v>128.30000000000001</v>
      </c>
      <c r="G49">
        <v>1778021575003</v>
      </c>
      <c r="H49">
        <v>0</v>
      </c>
      <c r="J49">
        <v>1777996170000</v>
      </c>
      <c r="K49">
        <v>111.2</v>
      </c>
      <c r="L49" s="6"/>
      <c r="M49">
        <v>1778098736000</v>
      </c>
      <c r="N49">
        <v>85</v>
      </c>
      <c r="P49">
        <v>1778098560000</v>
      </c>
      <c r="Q49">
        <v>32.700000000000003</v>
      </c>
      <c r="S49">
        <v>1778104058007</v>
      </c>
      <c r="T49">
        <v>0</v>
      </c>
      <c r="V49">
        <v>1778086002000</v>
      </c>
      <c r="W49">
        <v>16.3</v>
      </c>
      <c r="X49" s="6"/>
      <c r="Y49">
        <v>1779132220006</v>
      </c>
      <c r="Z49">
        <v>8.4</v>
      </c>
      <c r="AB49">
        <v>1779137205005</v>
      </c>
      <c r="AC49">
        <v>85.8</v>
      </c>
      <c r="AE49">
        <v>1779135960000</v>
      </c>
      <c r="AF49">
        <v>180.2</v>
      </c>
      <c r="AH49">
        <v>1779143194000</v>
      </c>
      <c r="AI49">
        <v>66.599999999999994</v>
      </c>
      <c r="AJ49" s="6"/>
      <c r="AK49">
        <v>1782245009007</v>
      </c>
      <c r="AL49">
        <v>41.5</v>
      </c>
      <c r="AN49">
        <v>1782240870004</v>
      </c>
      <c r="AO49">
        <v>76.7</v>
      </c>
      <c r="AQ49">
        <v>1782247395008</v>
      </c>
      <c r="AR49">
        <v>5</v>
      </c>
      <c r="AT49">
        <v>1782243630000</v>
      </c>
      <c r="AU49">
        <v>7.4</v>
      </c>
      <c r="AV49" s="6"/>
      <c r="AW49">
        <v>1784065410009</v>
      </c>
      <c r="AX49">
        <v>0</v>
      </c>
      <c r="AZ49">
        <v>1784061345008</v>
      </c>
      <c r="BA49">
        <v>16.7</v>
      </c>
      <c r="BC49">
        <v>1784070761000</v>
      </c>
      <c r="BD49">
        <v>72.599999999999994</v>
      </c>
      <c r="BF49">
        <v>1784066494000</v>
      </c>
      <c r="BG49">
        <v>0.5</v>
      </c>
      <c r="BH49" s="6"/>
      <c r="BI49">
        <v>1784144756000</v>
      </c>
      <c r="BJ49">
        <v>89.1</v>
      </c>
      <c r="BL49">
        <v>1784144840008</v>
      </c>
      <c r="BM49">
        <v>56.1</v>
      </c>
      <c r="BO49">
        <v>1784148084000</v>
      </c>
      <c r="BP49">
        <v>93.8</v>
      </c>
      <c r="BR49">
        <v>1784168850000</v>
      </c>
      <c r="BS49">
        <v>90.1</v>
      </c>
      <c r="BT49" s="6"/>
    </row>
    <row r="50" spans="1:72">
      <c r="A50">
        <v>1778015878000</v>
      </c>
      <c r="B50">
        <v>62</v>
      </c>
      <c r="D50">
        <v>1778014138005</v>
      </c>
      <c r="E50">
        <v>90.1</v>
      </c>
      <c r="G50">
        <v>1778023511000</v>
      </c>
      <c r="H50">
        <v>9.9</v>
      </c>
      <c r="J50">
        <v>1777996302000</v>
      </c>
      <c r="K50">
        <v>52.1</v>
      </c>
      <c r="L50" s="6"/>
      <c r="M50">
        <v>1778100320000</v>
      </c>
      <c r="N50">
        <v>111.2</v>
      </c>
      <c r="P50">
        <v>1778098689003</v>
      </c>
      <c r="Q50">
        <v>3.1</v>
      </c>
      <c r="S50">
        <v>1778104811000</v>
      </c>
      <c r="T50">
        <v>59.3</v>
      </c>
      <c r="V50">
        <v>1778087586000</v>
      </c>
      <c r="W50">
        <v>0.7</v>
      </c>
      <c r="X50" s="6"/>
      <c r="Y50">
        <v>1779132368000</v>
      </c>
      <c r="Z50">
        <v>8.1999999999999993</v>
      </c>
      <c r="AB50">
        <v>1779137340000</v>
      </c>
      <c r="AC50">
        <v>10.5</v>
      </c>
      <c r="AE50">
        <v>1779136884000</v>
      </c>
      <c r="AF50">
        <v>2.5</v>
      </c>
      <c r="AH50">
        <v>1779143644000</v>
      </c>
      <c r="AI50">
        <v>89.4</v>
      </c>
      <c r="AJ50" s="6"/>
      <c r="AK50">
        <v>1782246462009</v>
      </c>
      <c r="AL50">
        <v>8.6</v>
      </c>
      <c r="AN50">
        <v>1782241536000</v>
      </c>
      <c r="AO50">
        <v>21.9</v>
      </c>
      <c r="AQ50">
        <v>1782248444001</v>
      </c>
      <c r="AR50">
        <v>31.6</v>
      </c>
      <c r="AT50">
        <v>1782245874000</v>
      </c>
      <c r="AU50">
        <v>22.2</v>
      </c>
      <c r="AV50" s="6"/>
      <c r="AW50">
        <v>1784065530006</v>
      </c>
      <c r="AX50">
        <v>117.5</v>
      </c>
      <c r="AZ50">
        <v>1784061476009</v>
      </c>
      <c r="BA50">
        <v>48</v>
      </c>
      <c r="BC50">
        <v>1784071061000</v>
      </c>
      <c r="BD50">
        <v>7.8</v>
      </c>
      <c r="BF50">
        <v>1784067394000</v>
      </c>
      <c r="BG50">
        <v>20.2</v>
      </c>
      <c r="BH50" s="6"/>
      <c r="BI50">
        <v>1784145290005</v>
      </c>
      <c r="BJ50">
        <v>0</v>
      </c>
      <c r="BL50">
        <v>1784145896001</v>
      </c>
      <c r="BM50">
        <v>54.3</v>
      </c>
      <c r="BO50">
        <v>1784148216000</v>
      </c>
      <c r="BP50">
        <v>2.7</v>
      </c>
      <c r="BR50">
        <v>1784169114000</v>
      </c>
      <c r="BS50">
        <v>99.8</v>
      </c>
      <c r="BT50" s="6"/>
    </row>
    <row r="51" spans="1:72">
      <c r="A51">
        <v>1778016183004</v>
      </c>
      <c r="B51">
        <v>38.299999999999997</v>
      </c>
      <c r="D51">
        <v>1778014401006</v>
      </c>
      <c r="E51">
        <v>120</v>
      </c>
      <c r="G51">
        <v>1778026208002</v>
      </c>
      <c r="H51">
        <v>81</v>
      </c>
      <c r="J51">
        <v>1777996830000</v>
      </c>
      <c r="K51">
        <v>28.4</v>
      </c>
      <c r="L51" s="6"/>
      <c r="M51">
        <v>1778100584000</v>
      </c>
      <c r="N51">
        <v>51.7</v>
      </c>
      <c r="P51">
        <v>1778100535008</v>
      </c>
      <c r="Q51">
        <v>38.200000000000003</v>
      </c>
      <c r="S51">
        <v>1778105711001</v>
      </c>
      <c r="T51">
        <v>0</v>
      </c>
      <c r="V51">
        <v>1778087586003</v>
      </c>
      <c r="W51">
        <v>0</v>
      </c>
      <c r="X51" s="6"/>
      <c r="Y51">
        <v>1779132631009</v>
      </c>
      <c r="Z51">
        <v>0</v>
      </c>
      <c r="AB51">
        <v>1779138713002</v>
      </c>
      <c r="AC51">
        <v>112.5</v>
      </c>
      <c r="AE51">
        <v>1779137412000</v>
      </c>
      <c r="AF51">
        <v>23.8</v>
      </c>
      <c r="AH51">
        <v>1779144544000</v>
      </c>
      <c r="AI51">
        <v>4.3</v>
      </c>
      <c r="AJ51" s="6"/>
      <c r="AK51">
        <v>1782246596000</v>
      </c>
      <c r="AL51">
        <v>58.3</v>
      </c>
      <c r="AN51">
        <v>1782241932000</v>
      </c>
      <c r="AO51">
        <v>38.200000000000003</v>
      </c>
      <c r="AQ51">
        <v>1782251411000</v>
      </c>
      <c r="AR51">
        <v>83.2</v>
      </c>
      <c r="AT51">
        <v>1782246138001</v>
      </c>
      <c r="AU51">
        <v>0</v>
      </c>
      <c r="AV51" s="6"/>
      <c r="AW51">
        <v>1784066433009</v>
      </c>
      <c r="AX51">
        <v>59.1</v>
      </c>
      <c r="AZ51">
        <v>1784064414005</v>
      </c>
      <c r="BA51">
        <v>0.2</v>
      </c>
      <c r="BC51">
        <v>1784074061000</v>
      </c>
      <c r="BD51">
        <v>35.5</v>
      </c>
      <c r="BF51">
        <v>1784068294000</v>
      </c>
      <c r="BG51">
        <v>22.2</v>
      </c>
      <c r="BH51" s="6"/>
      <c r="BI51">
        <v>1784145411009</v>
      </c>
      <c r="BJ51">
        <v>36.299999999999997</v>
      </c>
      <c r="BL51">
        <v>1784146560000</v>
      </c>
      <c r="BM51">
        <v>119</v>
      </c>
      <c r="BO51">
        <v>1784148327008</v>
      </c>
      <c r="BP51">
        <v>24.8</v>
      </c>
      <c r="BR51">
        <v>1784169642000</v>
      </c>
      <c r="BS51">
        <v>60.7</v>
      </c>
      <c r="BT51" s="6"/>
    </row>
    <row r="52" spans="1:72">
      <c r="A52">
        <v>1778017087000</v>
      </c>
      <c r="B52">
        <v>81.8</v>
      </c>
      <c r="D52">
        <v>1778014937009</v>
      </c>
      <c r="E52">
        <v>41.3</v>
      </c>
      <c r="G52">
        <v>1778027261000</v>
      </c>
      <c r="H52">
        <v>45.3</v>
      </c>
      <c r="J52">
        <v>1777998678000</v>
      </c>
      <c r="K52">
        <v>11.6</v>
      </c>
      <c r="L52" s="6"/>
      <c r="M52">
        <v>1778101840003</v>
      </c>
      <c r="N52">
        <v>60.6</v>
      </c>
      <c r="P52">
        <v>1778101609006</v>
      </c>
      <c r="Q52">
        <v>71.7</v>
      </c>
      <c r="S52">
        <v>1778106606004</v>
      </c>
      <c r="T52">
        <v>38.700000000000003</v>
      </c>
      <c r="V52">
        <v>1778087718004</v>
      </c>
      <c r="W52">
        <v>0</v>
      </c>
      <c r="X52" s="6"/>
      <c r="Y52">
        <v>1779132764000</v>
      </c>
      <c r="Z52">
        <v>54.1</v>
      </c>
      <c r="AB52">
        <v>1779138865005</v>
      </c>
      <c r="AC52">
        <v>48.5</v>
      </c>
      <c r="AE52">
        <v>1779139625009</v>
      </c>
      <c r="AF52">
        <v>52.4</v>
      </c>
      <c r="AH52">
        <v>1779144750007</v>
      </c>
      <c r="AI52">
        <v>4.7</v>
      </c>
      <c r="AJ52" s="6"/>
      <c r="AK52">
        <v>1782248464009</v>
      </c>
      <c r="AL52">
        <v>43</v>
      </c>
      <c r="AN52">
        <v>1782242063007</v>
      </c>
      <c r="AO52">
        <v>62.7</v>
      </c>
      <c r="AQ52">
        <v>1782253511000</v>
      </c>
      <c r="AR52">
        <v>6.1</v>
      </c>
      <c r="AT52">
        <v>1782246666000</v>
      </c>
      <c r="AU52">
        <v>89.9</v>
      </c>
      <c r="AV52" s="6"/>
      <c r="AW52">
        <v>1784067491000</v>
      </c>
      <c r="AX52">
        <v>16</v>
      </c>
      <c r="AZ52">
        <v>1784064708000</v>
      </c>
      <c r="BA52">
        <v>60.8</v>
      </c>
      <c r="BC52">
        <v>1784075411000</v>
      </c>
      <c r="BD52">
        <v>40.4</v>
      </c>
      <c r="BF52">
        <v>1784069044000</v>
      </c>
      <c r="BG52">
        <v>117.6</v>
      </c>
      <c r="BH52" s="6"/>
      <c r="BI52">
        <v>1784145811007</v>
      </c>
      <c r="BJ52">
        <v>17.8</v>
      </c>
      <c r="BL52">
        <v>1784148007003</v>
      </c>
      <c r="BM52">
        <v>76.2</v>
      </c>
      <c r="BO52">
        <v>1784148477003</v>
      </c>
      <c r="BP52">
        <v>49.8</v>
      </c>
      <c r="BR52">
        <v>1784170830000</v>
      </c>
      <c r="BS52">
        <v>2.4</v>
      </c>
      <c r="BT52" s="6"/>
    </row>
    <row r="53" spans="1:72">
      <c r="A53">
        <v>1778017682003</v>
      </c>
      <c r="B53">
        <v>29.4</v>
      </c>
      <c r="D53">
        <v>1778016407004</v>
      </c>
      <c r="E53">
        <v>74.3</v>
      </c>
      <c r="G53">
        <v>1778029060006</v>
      </c>
      <c r="H53">
        <v>60.1</v>
      </c>
      <c r="J53">
        <v>1778000922000</v>
      </c>
      <c r="K53">
        <v>51.1</v>
      </c>
      <c r="L53" s="6"/>
      <c r="M53">
        <v>1778102140005</v>
      </c>
      <c r="N53">
        <v>50.6</v>
      </c>
      <c r="P53">
        <v>1778101762003</v>
      </c>
      <c r="Q53">
        <v>0.2</v>
      </c>
      <c r="S53">
        <v>1778108711000</v>
      </c>
      <c r="T53">
        <v>50.1</v>
      </c>
      <c r="V53">
        <v>1778087850000</v>
      </c>
      <c r="W53">
        <v>40.9</v>
      </c>
      <c r="X53" s="6"/>
      <c r="Y53">
        <v>1779133027002</v>
      </c>
      <c r="Z53">
        <v>13.1</v>
      </c>
      <c r="AB53">
        <v>1779139313006</v>
      </c>
      <c r="AC53">
        <v>34.5</v>
      </c>
      <c r="AE53">
        <v>1779139788001</v>
      </c>
      <c r="AF53">
        <v>20.100000000000001</v>
      </c>
      <c r="AH53">
        <v>1779146194000</v>
      </c>
      <c r="AI53">
        <v>22.6</v>
      </c>
      <c r="AJ53" s="6"/>
      <c r="AK53">
        <v>1782250684003</v>
      </c>
      <c r="AL53">
        <v>26</v>
      </c>
      <c r="AN53">
        <v>1782242192006</v>
      </c>
      <c r="AO53">
        <v>95.8</v>
      </c>
      <c r="AQ53">
        <v>1782253811000</v>
      </c>
      <c r="AR53">
        <v>54.9</v>
      </c>
      <c r="AT53">
        <v>1782250144000</v>
      </c>
      <c r="AU53">
        <v>6.9</v>
      </c>
      <c r="AV53" s="6"/>
      <c r="AW53">
        <v>1784068237004</v>
      </c>
      <c r="AX53">
        <v>46.9</v>
      </c>
      <c r="AZ53">
        <v>1784065308004</v>
      </c>
      <c r="BA53">
        <v>5.4</v>
      </c>
      <c r="BC53">
        <v>1784076140006</v>
      </c>
      <c r="BD53">
        <v>67</v>
      </c>
      <c r="BF53">
        <v>1784072044000</v>
      </c>
      <c r="BG53">
        <v>0.8</v>
      </c>
      <c r="BH53" s="6"/>
      <c r="BI53">
        <v>1784146729008</v>
      </c>
      <c r="BJ53">
        <v>30.7</v>
      </c>
      <c r="BL53">
        <v>1784148403000</v>
      </c>
      <c r="BM53">
        <v>50.7</v>
      </c>
      <c r="BO53">
        <v>1784148871003</v>
      </c>
      <c r="BP53">
        <v>28.9</v>
      </c>
      <c r="BR53">
        <v>1784171490001</v>
      </c>
      <c r="BS53">
        <v>0</v>
      </c>
      <c r="BT53" s="6"/>
    </row>
    <row r="54" spans="1:72">
      <c r="A54">
        <v>1778018885005</v>
      </c>
      <c r="B54">
        <v>7.9</v>
      </c>
      <c r="D54">
        <v>1778016858009</v>
      </c>
      <c r="E54">
        <v>5.4</v>
      </c>
      <c r="G54">
        <v>1778029656000</v>
      </c>
      <c r="H54">
        <v>26.9</v>
      </c>
      <c r="J54">
        <v>1778002770000</v>
      </c>
      <c r="K54">
        <v>35.799999999999997</v>
      </c>
      <c r="L54" s="6"/>
      <c r="M54">
        <v>1778103641000</v>
      </c>
      <c r="N54">
        <v>49</v>
      </c>
      <c r="P54">
        <v>1778102209002</v>
      </c>
      <c r="Q54">
        <v>42.2</v>
      </c>
      <c r="S54">
        <v>1778109156009</v>
      </c>
      <c r="T54">
        <v>27.2</v>
      </c>
      <c r="V54">
        <v>1778088246000</v>
      </c>
      <c r="W54">
        <v>62.3</v>
      </c>
      <c r="X54" s="6"/>
      <c r="Y54">
        <v>1779135668000</v>
      </c>
      <c r="Z54">
        <v>56.5</v>
      </c>
      <c r="AB54">
        <v>1779139728002</v>
      </c>
      <c r="AC54">
        <v>148.19999999999999</v>
      </c>
      <c r="AE54">
        <v>1779140861000</v>
      </c>
      <c r="AF54">
        <v>6.9</v>
      </c>
      <c r="AH54">
        <v>1779146655003</v>
      </c>
      <c r="AI54">
        <v>0.2</v>
      </c>
      <c r="AJ54" s="6"/>
      <c r="AK54">
        <v>1782254138009</v>
      </c>
      <c r="AL54">
        <v>62.5</v>
      </c>
      <c r="AN54">
        <v>1782242327007</v>
      </c>
      <c r="AO54">
        <v>64.099999999999994</v>
      </c>
      <c r="AQ54">
        <v>1782254111000</v>
      </c>
      <c r="AR54">
        <v>96.8</v>
      </c>
      <c r="AT54">
        <v>1782250744002</v>
      </c>
      <c r="AU54">
        <v>0</v>
      </c>
      <c r="AV54" s="6"/>
      <c r="AW54">
        <v>1784068389008</v>
      </c>
      <c r="AX54">
        <v>61.5</v>
      </c>
      <c r="AZ54">
        <v>1784065611006</v>
      </c>
      <c r="BA54">
        <v>59.6</v>
      </c>
      <c r="BC54">
        <v>1784077232006</v>
      </c>
      <c r="BD54">
        <v>41.8</v>
      </c>
      <c r="BF54">
        <v>1784072644004</v>
      </c>
      <c r="BG54">
        <v>0</v>
      </c>
      <c r="BH54" s="6"/>
      <c r="BI54">
        <v>1784147264000</v>
      </c>
      <c r="BJ54">
        <v>56.2</v>
      </c>
      <c r="BL54">
        <v>1784149198005</v>
      </c>
      <c r="BM54">
        <v>50.9</v>
      </c>
      <c r="BO54">
        <v>1784150561000</v>
      </c>
      <c r="BP54">
        <v>177.6</v>
      </c>
      <c r="BR54">
        <v>1784174262000</v>
      </c>
      <c r="BS54">
        <v>65.400000000000006</v>
      </c>
      <c r="BT54" s="6"/>
    </row>
    <row r="55" spans="1:72">
      <c r="A55">
        <v>1778019189008</v>
      </c>
      <c r="B55">
        <v>94</v>
      </c>
      <c r="D55">
        <v>1778017912000</v>
      </c>
      <c r="E55">
        <v>123.8</v>
      </c>
      <c r="G55">
        <v>1778030186003</v>
      </c>
      <c r="H55">
        <v>0</v>
      </c>
      <c r="J55">
        <v>1778003166000</v>
      </c>
      <c r="K55">
        <v>94.3</v>
      </c>
      <c r="L55" s="6"/>
      <c r="M55">
        <v>1778104080003</v>
      </c>
      <c r="N55">
        <v>40.799999999999997</v>
      </c>
      <c r="P55">
        <v>1778102666000</v>
      </c>
      <c r="Q55">
        <v>22.1</v>
      </c>
      <c r="S55">
        <v>1778109611000</v>
      </c>
      <c r="T55">
        <v>56.4</v>
      </c>
      <c r="V55">
        <v>1778088378000</v>
      </c>
      <c r="W55">
        <v>84.4</v>
      </c>
      <c r="X55" s="6"/>
      <c r="Y55">
        <v>1779136328000</v>
      </c>
      <c r="Z55">
        <v>20.5</v>
      </c>
      <c r="AB55">
        <v>1779140214008</v>
      </c>
      <c r="AC55">
        <v>0.2</v>
      </c>
      <c r="AE55">
        <v>1779142044006</v>
      </c>
      <c r="AF55">
        <v>20</v>
      </c>
      <c r="AH55">
        <v>1779146944005</v>
      </c>
      <c r="AI55">
        <v>0.2</v>
      </c>
      <c r="AJ55" s="6"/>
      <c r="AK55">
        <v>1782255035004</v>
      </c>
      <c r="AL55">
        <v>93.5</v>
      </c>
      <c r="AN55">
        <v>1782242589004</v>
      </c>
      <c r="AO55">
        <v>106.7</v>
      </c>
      <c r="AQ55">
        <v>1782254561000</v>
      </c>
      <c r="AR55">
        <v>21.5</v>
      </c>
      <c r="AT55">
        <v>1782251044000</v>
      </c>
      <c r="AU55">
        <v>66.099999999999994</v>
      </c>
      <c r="AV55" s="6"/>
      <c r="AW55">
        <v>1784069438002</v>
      </c>
      <c r="AX55">
        <v>24.3</v>
      </c>
      <c r="AZ55">
        <v>1784066505007</v>
      </c>
      <c r="BA55">
        <v>57.2</v>
      </c>
      <c r="BC55">
        <v>1784077392000</v>
      </c>
      <c r="BD55">
        <v>35.700000000000003</v>
      </c>
      <c r="BF55">
        <v>1784072794000</v>
      </c>
      <c r="BG55">
        <v>0.2</v>
      </c>
      <c r="BH55" s="6"/>
      <c r="BI55">
        <v>1784147792000</v>
      </c>
      <c r="BJ55">
        <v>18.8</v>
      </c>
      <c r="BL55">
        <v>1784150361000</v>
      </c>
      <c r="BM55">
        <v>0.5</v>
      </c>
      <c r="BO55">
        <v>1784150711000</v>
      </c>
      <c r="BP55">
        <v>77.8</v>
      </c>
      <c r="BR55">
        <v>1784174609007</v>
      </c>
      <c r="BS55">
        <v>85.7</v>
      </c>
      <c r="BT55" s="6"/>
    </row>
    <row r="56" spans="1:72">
      <c r="A56">
        <v>1778021281002</v>
      </c>
      <c r="B56">
        <v>55.6</v>
      </c>
      <c r="D56">
        <v>1778018211006</v>
      </c>
      <c r="E56">
        <v>53.6</v>
      </c>
      <c r="G56">
        <v>1778030314009</v>
      </c>
      <c r="H56">
        <v>38.1</v>
      </c>
      <c r="J56">
        <v>1778004090000</v>
      </c>
      <c r="K56">
        <v>17.899999999999999</v>
      </c>
      <c r="L56" s="6"/>
      <c r="M56">
        <v>1778104391000</v>
      </c>
      <c r="N56">
        <v>20</v>
      </c>
      <c r="P56">
        <v>1778102813003</v>
      </c>
      <c r="Q56">
        <v>9</v>
      </c>
      <c r="S56">
        <v>1778109755006</v>
      </c>
      <c r="T56">
        <v>2.1</v>
      </c>
      <c r="V56">
        <v>1778088906000</v>
      </c>
      <c r="W56">
        <v>61.8</v>
      </c>
      <c r="X56" s="6"/>
      <c r="Y56">
        <v>1779136856000</v>
      </c>
      <c r="Z56">
        <v>4.4000000000000004</v>
      </c>
      <c r="AB56">
        <v>1779141112002</v>
      </c>
      <c r="AC56">
        <v>61.4</v>
      </c>
      <c r="AE56">
        <v>1779142355005</v>
      </c>
      <c r="AF56">
        <v>55.2</v>
      </c>
      <c r="AH56">
        <v>1779147694000</v>
      </c>
      <c r="AI56">
        <v>46.9</v>
      </c>
      <c r="AJ56" s="6"/>
      <c r="AK56">
        <v>1782257287003</v>
      </c>
      <c r="AL56">
        <v>52.7</v>
      </c>
      <c r="AN56">
        <v>1782243648000</v>
      </c>
      <c r="AO56">
        <v>121.1</v>
      </c>
      <c r="AQ56">
        <v>1782257114007</v>
      </c>
      <c r="AR56">
        <v>0</v>
      </c>
      <c r="AT56">
        <v>1782252844000</v>
      </c>
      <c r="AU56">
        <v>40.4</v>
      </c>
      <c r="AV56" s="6"/>
      <c r="AW56">
        <v>1784071541000</v>
      </c>
      <c r="AX56">
        <v>26.1</v>
      </c>
      <c r="AZ56">
        <v>1784068157002</v>
      </c>
      <c r="BA56">
        <v>27.4</v>
      </c>
      <c r="BC56">
        <v>1784077779008</v>
      </c>
      <c r="BD56">
        <v>20.3</v>
      </c>
      <c r="BF56">
        <v>1784073245006</v>
      </c>
      <c r="BG56">
        <v>0.2</v>
      </c>
      <c r="BH56" s="6"/>
      <c r="BI56">
        <v>1784148048005</v>
      </c>
      <c r="BJ56">
        <v>71.8</v>
      </c>
      <c r="BL56">
        <v>1784153205002</v>
      </c>
      <c r="BM56">
        <v>132.80000000000001</v>
      </c>
      <c r="BO56">
        <v>1784152661000</v>
      </c>
      <c r="BP56">
        <v>49.7</v>
      </c>
      <c r="BR56">
        <v>1784177237009</v>
      </c>
      <c r="BS56">
        <v>36.200000000000003</v>
      </c>
      <c r="BT56" s="6"/>
    </row>
    <row r="57" spans="1:72">
      <c r="A57">
        <v>1778023239002</v>
      </c>
      <c r="B57">
        <v>32.200000000000003</v>
      </c>
      <c r="D57">
        <v>1778018366000</v>
      </c>
      <c r="E57">
        <v>141.5</v>
      </c>
      <c r="G57">
        <v>1778032282004</v>
      </c>
      <c r="H57">
        <v>30.1</v>
      </c>
      <c r="J57">
        <v>1778006730000</v>
      </c>
      <c r="K57">
        <v>54.7</v>
      </c>
      <c r="L57" s="6"/>
      <c r="M57">
        <v>1778104977008</v>
      </c>
      <c r="N57">
        <v>46.1</v>
      </c>
      <c r="P57">
        <v>1778104007005</v>
      </c>
      <c r="Q57">
        <v>30.1</v>
      </c>
      <c r="S57">
        <v>1778109911000</v>
      </c>
      <c r="T57">
        <v>74.400000000000006</v>
      </c>
      <c r="V57">
        <v>1778089302000</v>
      </c>
      <c r="W57">
        <v>36.4</v>
      </c>
      <c r="X57" s="6"/>
      <c r="Y57">
        <v>1779139231006</v>
      </c>
      <c r="Z57">
        <v>51.7</v>
      </c>
      <c r="AB57">
        <v>1779141863008</v>
      </c>
      <c r="AC57">
        <v>113.1</v>
      </c>
      <c r="AE57">
        <v>1779143709009</v>
      </c>
      <c r="AF57">
        <v>15.1</v>
      </c>
      <c r="AH57">
        <v>1779147994000</v>
      </c>
      <c r="AI57">
        <v>138.4</v>
      </c>
      <c r="AJ57" s="6"/>
      <c r="AK57">
        <v>1782258038002</v>
      </c>
      <c r="AL57">
        <v>23.9</v>
      </c>
      <c r="AN57">
        <v>1782243912000</v>
      </c>
      <c r="AO57">
        <v>63.1</v>
      </c>
      <c r="AQ57">
        <v>1782258914006</v>
      </c>
      <c r="AR57">
        <v>0</v>
      </c>
      <c r="AT57">
        <v>1782253444000</v>
      </c>
      <c r="AU57">
        <v>117.1</v>
      </c>
      <c r="AV57" s="6"/>
      <c r="AW57">
        <v>1784071990004</v>
      </c>
      <c r="AX57">
        <v>2.5</v>
      </c>
      <c r="AZ57">
        <v>1784068316000</v>
      </c>
      <c r="BA57">
        <v>48.3</v>
      </c>
      <c r="BC57">
        <v>1784078693006</v>
      </c>
      <c r="BD57">
        <v>38.4</v>
      </c>
      <c r="BF57">
        <v>1784073245008</v>
      </c>
      <c r="BG57">
        <v>0</v>
      </c>
      <c r="BH57" s="6"/>
      <c r="BI57">
        <v>1784148568000</v>
      </c>
      <c r="BJ57">
        <v>66.900000000000006</v>
      </c>
      <c r="BL57">
        <v>1784153512003</v>
      </c>
      <c r="BM57">
        <v>133</v>
      </c>
      <c r="BO57">
        <v>1784154461000</v>
      </c>
      <c r="BP57">
        <v>62.1</v>
      </c>
      <c r="BT57" s="6"/>
    </row>
    <row r="58" spans="1:72">
      <c r="A58">
        <v>1778023832003</v>
      </c>
      <c r="B58">
        <v>79.400000000000006</v>
      </c>
      <c r="D58">
        <v>1778019265004</v>
      </c>
      <c r="E58">
        <v>0</v>
      </c>
      <c r="G58">
        <v>1778033088000</v>
      </c>
      <c r="H58">
        <v>63.4</v>
      </c>
      <c r="J58">
        <v>1778007258000</v>
      </c>
      <c r="K58">
        <v>20.7</v>
      </c>
      <c r="L58" s="6"/>
      <c r="M58">
        <v>1778105284003</v>
      </c>
      <c r="N58">
        <v>35.1</v>
      </c>
      <c r="P58">
        <v>1778104165008</v>
      </c>
      <c r="Q58">
        <v>36.6</v>
      </c>
      <c r="S58">
        <v>1778110511000</v>
      </c>
      <c r="T58">
        <v>64.900000000000006</v>
      </c>
      <c r="V58">
        <v>1778090754000</v>
      </c>
      <c r="W58">
        <v>3.8</v>
      </c>
      <c r="X58" s="6"/>
      <c r="Y58">
        <v>1779141031000</v>
      </c>
      <c r="Z58">
        <v>23.4</v>
      </c>
      <c r="AB58">
        <v>1779142309001</v>
      </c>
      <c r="AC58">
        <v>25.2</v>
      </c>
      <c r="AE58">
        <v>1779144161000</v>
      </c>
      <c r="AF58">
        <v>52.3</v>
      </c>
      <c r="AH58">
        <v>1779148144000</v>
      </c>
      <c r="AI58">
        <v>67.5</v>
      </c>
      <c r="AJ58" s="6"/>
      <c r="AK58">
        <v>1782259234002</v>
      </c>
      <c r="AL58">
        <v>46.9</v>
      </c>
      <c r="AN58">
        <v>1782244836000</v>
      </c>
      <c r="AO58">
        <v>50.8</v>
      </c>
      <c r="AQ58">
        <v>1782259055004</v>
      </c>
      <c r="AR58">
        <v>24.2</v>
      </c>
      <c r="AT58">
        <v>1782254044000</v>
      </c>
      <c r="AU58">
        <v>34.299999999999997</v>
      </c>
      <c r="AV58" s="6"/>
      <c r="AW58">
        <v>1784072891000</v>
      </c>
      <c r="AX58">
        <v>78.900000000000006</v>
      </c>
      <c r="AZ58">
        <v>1784069959001</v>
      </c>
      <c r="BA58">
        <v>13.6</v>
      </c>
      <c r="BC58">
        <v>1784083068000</v>
      </c>
      <c r="BD58">
        <v>53.5</v>
      </c>
      <c r="BF58">
        <v>1784074144000</v>
      </c>
      <c r="BG58">
        <v>123.1</v>
      </c>
      <c r="BH58" s="6"/>
      <c r="BI58">
        <v>1784149521002</v>
      </c>
      <c r="BJ58">
        <v>36.5</v>
      </c>
      <c r="BL58">
        <v>1784153655002</v>
      </c>
      <c r="BM58">
        <v>63.5</v>
      </c>
      <c r="BO58">
        <v>1784155661000</v>
      </c>
      <c r="BP58">
        <v>24.3</v>
      </c>
      <c r="BT58" s="6"/>
    </row>
    <row r="59" spans="1:72">
      <c r="A59">
        <v>1778024591000</v>
      </c>
      <c r="B59">
        <v>50.5</v>
      </c>
      <c r="D59">
        <v>1778019415002</v>
      </c>
      <c r="E59">
        <v>99.1</v>
      </c>
      <c r="G59">
        <v>1778036255001</v>
      </c>
      <c r="H59">
        <v>57.3</v>
      </c>
      <c r="J59">
        <v>1778007918000</v>
      </c>
      <c r="K59">
        <v>13.8</v>
      </c>
      <c r="L59" s="6"/>
      <c r="M59">
        <v>1778106482007</v>
      </c>
      <c r="N59">
        <v>0</v>
      </c>
      <c r="P59">
        <v>1778105206003</v>
      </c>
      <c r="Q59">
        <v>70.5</v>
      </c>
      <c r="S59">
        <v>1778110661000</v>
      </c>
      <c r="T59">
        <v>95</v>
      </c>
      <c r="V59">
        <v>1778091414001</v>
      </c>
      <c r="W59">
        <v>0</v>
      </c>
      <c r="X59" s="6"/>
      <c r="Y59">
        <v>1779141341000</v>
      </c>
      <c r="Z59">
        <v>76.900000000000006</v>
      </c>
      <c r="AB59">
        <v>1779142466000</v>
      </c>
      <c r="AC59">
        <v>19.899999999999999</v>
      </c>
      <c r="AE59">
        <v>1779144808009</v>
      </c>
      <c r="AF59">
        <v>18.8</v>
      </c>
      <c r="AH59">
        <v>1779148594000</v>
      </c>
      <c r="AI59">
        <v>14.9</v>
      </c>
      <c r="AJ59" s="6"/>
      <c r="AK59">
        <v>1782259689005</v>
      </c>
      <c r="AL59">
        <v>54</v>
      </c>
      <c r="AN59">
        <v>1782244962009</v>
      </c>
      <c r="AO59">
        <v>35.5</v>
      </c>
      <c r="AQ59">
        <v>1782262209007</v>
      </c>
      <c r="AR59">
        <v>0.5</v>
      </c>
      <c r="AT59">
        <v>1782254498008</v>
      </c>
      <c r="AU59">
        <v>0.2</v>
      </c>
      <c r="AV59" s="6"/>
      <c r="AW59">
        <v>1784074985009</v>
      </c>
      <c r="AX59">
        <v>9.1</v>
      </c>
      <c r="AZ59">
        <v>1784070416000</v>
      </c>
      <c r="BA59">
        <v>70.099999999999994</v>
      </c>
      <c r="BC59">
        <v>1784083322009</v>
      </c>
      <c r="BD59">
        <v>68.8</v>
      </c>
      <c r="BF59">
        <v>1784074599002</v>
      </c>
      <c r="BG59">
        <v>0.2</v>
      </c>
      <c r="BH59" s="6"/>
      <c r="BI59">
        <v>1784149981001</v>
      </c>
      <c r="BJ59">
        <v>8.1999999999999993</v>
      </c>
      <c r="BL59">
        <v>1784155756006</v>
      </c>
      <c r="BM59">
        <v>14</v>
      </c>
      <c r="BO59">
        <v>1784156259009</v>
      </c>
      <c r="BP59">
        <v>71.3</v>
      </c>
      <c r="BT59" s="6"/>
    </row>
    <row r="60" spans="1:72">
      <c r="A60">
        <v>1778025337007</v>
      </c>
      <c r="B60">
        <v>63.8</v>
      </c>
      <c r="D60">
        <v>1778020311000</v>
      </c>
      <c r="E60">
        <v>20.7</v>
      </c>
      <c r="G60">
        <v>1778036645004</v>
      </c>
      <c r="H60">
        <v>112.5</v>
      </c>
      <c r="J60">
        <v>1778009502000</v>
      </c>
      <c r="K60">
        <v>5</v>
      </c>
      <c r="L60" s="6"/>
      <c r="M60">
        <v>1778106632006</v>
      </c>
      <c r="N60">
        <v>119.4</v>
      </c>
      <c r="P60">
        <v>1778105659007</v>
      </c>
      <c r="Q60">
        <v>73.2</v>
      </c>
      <c r="S60">
        <v>1778111861000</v>
      </c>
      <c r="T60">
        <v>90.5</v>
      </c>
      <c r="V60">
        <v>1778092602000</v>
      </c>
      <c r="W60">
        <v>54.2</v>
      </c>
      <c r="X60" s="6"/>
      <c r="Y60">
        <v>1779141488000</v>
      </c>
      <c r="Z60">
        <v>0</v>
      </c>
      <c r="AB60">
        <v>1779143213001</v>
      </c>
      <c r="AC60">
        <v>53.4</v>
      </c>
      <c r="AE60">
        <v>1779145062005</v>
      </c>
      <c r="AF60">
        <v>44.5</v>
      </c>
      <c r="AH60">
        <v>1779148744000</v>
      </c>
      <c r="AI60">
        <v>110.6</v>
      </c>
      <c r="AJ60" s="6"/>
      <c r="AK60">
        <v>1782259838005</v>
      </c>
      <c r="AL60">
        <v>1.4</v>
      </c>
      <c r="AN60">
        <v>1782245100001</v>
      </c>
      <c r="AO60">
        <v>0</v>
      </c>
      <c r="AQ60">
        <v>1782264439000</v>
      </c>
      <c r="AR60">
        <v>53.4</v>
      </c>
      <c r="AT60">
        <v>1782256444000</v>
      </c>
      <c r="AU60">
        <v>9.1</v>
      </c>
      <c r="AV60" s="6"/>
      <c r="AW60">
        <v>1784075885000</v>
      </c>
      <c r="AX60">
        <v>5.5</v>
      </c>
      <c r="AZ60">
        <v>1784070858009</v>
      </c>
      <c r="BA60">
        <v>38.5</v>
      </c>
      <c r="BC60">
        <v>1784083464000</v>
      </c>
      <c r="BD60">
        <v>21.8</v>
      </c>
      <c r="BF60">
        <v>1784075494000</v>
      </c>
      <c r="BG60">
        <v>116.7</v>
      </c>
      <c r="BH60" s="6"/>
      <c r="BI60">
        <v>1784150738006</v>
      </c>
      <c r="BJ60">
        <v>46.9</v>
      </c>
      <c r="BL60">
        <v>1784157407007</v>
      </c>
      <c r="BM60">
        <v>80</v>
      </c>
      <c r="BO60">
        <v>1784156560006</v>
      </c>
      <c r="BP60">
        <v>21.8</v>
      </c>
      <c r="BT60" s="6"/>
    </row>
    <row r="61" spans="1:72">
      <c r="A61">
        <v>1778025788007</v>
      </c>
      <c r="B61">
        <v>43.6</v>
      </c>
      <c r="D61">
        <v>1778020910009</v>
      </c>
      <c r="E61">
        <v>4.5999999999999996</v>
      </c>
      <c r="G61">
        <v>1778038230005</v>
      </c>
      <c r="H61">
        <v>28.2</v>
      </c>
      <c r="J61">
        <v>1778010294000</v>
      </c>
      <c r="K61">
        <v>21</v>
      </c>
      <c r="L61" s="6"/>
      <c r="M61">
        <v>1778106924009</v>
      </c>
      <c r="N61">
        <v>50.2</v>
      </c>
      <c r="P61">
        <v>1778105966000</v>
      </c>
      <c r="Q61">
        <v>24.5</v>
      </c>
      <c r="S61">
        <v>1778115011000</v>
      </c>
      <c r="T61">
        <v>11.3</v>
      </c>
      <c r="V61">
        <v>1778093922001</v>
      </c>
      <c r="W61">
        <v>0</v>
      </c>
      <c r="X61" s="6"/>
      <c r="Y61">
        <v>1779142682005</v>
      </c>
      <c r="Z61">
        <v>57.2</v>
      </c>
      <c r="AB61">
        <v>1779145021003</v>
      </c>
      <c r="AC61">
        <v>75.400000000000006</v>
      </c>
      <c r="AE61">
        <v>1779145511000</v>
      </c>
      <c r="AF61">
        <v>86.8</v>
      </c>
      <c r="AH61">
        <v>1779149194009</v>
      </c>
      <c r="AI61">
        <v>0.2</v>
      </c>
      <c r="AJ61" s="6"/>
      <c r="AK61">
        <v>1782261031008</v>
      </c>
      <c r="AL61">
        <v>40.200000000000003</v>
      </c>
      <c r="AN61">
        <v>1782246683006</v>
      </c>
      <c r="AO61">
        <v>21.7</v>
      </c>
      <c r="AQ61">
        <v>1782265104000</v>
      </c>
      <c r="AR61">
        <v>64</v>
      </c>
      <c r="AT61">
        <v>1782257344000</v>
      </c>
      <c r="AU61">
        <v>89.7</v>
      </c>
      <c r="AV61" s="6"/>
      <c r="AW61">
        <v>1784076477004</v>
      </c>
      <c r="AX61">
        <v>59</v>
      </c>
      <c r="AZ61">
        <v>1784074156000</v>
      </c>
      <c r="BA61">
        <v>61.7</v>
      </c>
      <c r="BC61">
        <v>1784086867006</v>
      </c>
      <c r="BD61">
        <v>41.3</v>
      </c>
      <c r="BF61">
        <v>1784075794000</v>
      </c>
      <c r="BG61">
        <v>25.8</v>
      </c>
      <c r="BH61" s="6"/>
      <c r="BI61">
        <v>1784152377005</v>
      </c>
      <c r="BJ61">
        <v>72.8</v>
      </c>
      <c r="BL61">
        <v>1784157559003</v>
      </c>
      <c r="BM61">
        <v>35.700000000000003</v>
      </c>
      <c r="BO61">
        <v>1784158964004</v>
      </c>
      <c r="BP61">
        <v>0</v>
      </c>
      <c r="BT61" s="6"/>
    </row>
    <row r="62" spans="1:72">
      <c r="A62">
        <v>1778026230008</v>
      </c>
      <c r="B62">
        <v>54.4</v>
      </c>
      <c r="D62">
        <v>1778021066000</v>
      </c>
      <c r="E62">
        <v>72.400000000000006</v>
      </c>
      <c r="G62">
        <v>1778039791001</v>
      </c>
      <c r="H62">
        <v>66.400000000000006</v>
      </c>
      <c r="J62">
        <v>1778010690000</v>
      </c>
      <c r="K62">
        <v>84</v>
      </c>
      <c r="L62" s="6"/>
      <c r="M62">
        <v>1778107688007</v>
      </c>
      <c r="N62">
        <v>53.3</v>
      </c>
      <c r="P62">
        <v>1778106116000</v>
      </c>
      <c r="Q62">
        <v>111.9</v>
      </c>
      <c r="S62">
        <v>1778115461000</v>
      </c>
      <c r="T62">
        <v>76.2</v>
      </c>
      <c r="V62">
        <v>1778095638000</v>
      </c>
      <c r="W62">
        <v>22.4</v>
      </c>
      <c r="X62" s="6"/>
      <c r="Y62">
        <v>1779143579007</v>
      </c>
      <c r="Z62">
        <v>36.9</v>
      </c>
      <c r="AB62">
        <v>1779145460008</v>
      </c>
      <c r="AC62">
        <v>49.3</v>
      </c>
      <c r="AE62">
        <v>1779145661000</v>
      </c>
      <c r="AF62">
        <v>42.5</v>
      </c>
      <c r="AH62">
        <v>1779149496002</v>
      </c>
      <c r="AI62">
        <v>0.2</v>
      </c>
      <c r="AJ62" s="6"/>
      <c r="AK62">
        <v>1782261332008</v>
      </c>
      <c r="AL62">
        <v>50.3</v>
      </c>
      <c r="AN62">
        <v>1782247080004</v>
      </c>
      <c r="AO62">
        <v>0.2</v>
      </c>
      <c r="AQ62">
        <v>1782265620006</v>
      </c>
      <c r="AR62">
        <v>16.2</v>
      </c>
      <c r="AT62">
        <v>1782258244000</v>
      </c>
      <c r="AU62">
        <v>2.2000000000000002</v>
      </c>
      <c r="AV62" s="6"/>
      <c r="AW62">
        <v>1784077361000</v>
      </c>
      <c r="AX62">
        <v>67.900000000000006</v>
      </c>
      <c r="AZ62">
        <v>1784074460000</v>
      </c>
      <c r="BA62">
        <v>0</v>
      </c>
      <c r="BC62">
        <v>1784087004006</v>
      </c>
      <c r="BD62">
        <v>14.5</v>
      </c>
      <c r="BF62">
        <v>1784076994000</v>
      </c>
      <c r="BG62">
        <v>128.9</v>
      </c>
      <c r="BH62" s="6"/>
      <c r="BI62">
        <v>1784152522007</v>
      </c>
      <c r="BJ62">
        <v>31.6</v>
      </c>
      <c r="BL62">
        <v>1784157711003</v>
      </c>
      <c r="BM62">
        <v>3.2</v>
      </c>
      <c r="BO62">
        <v>1784159410005</v>
      </c>
      <c r="BP62">
        <v>76.3</v>
      </c>
      <c r="BT62" s="6"/>
    </row>
    <row r="63" spans="1:72">
      <c r="A63">
        <v>1778027429004</v>
      </c>
      <c r="B63">
        <v>92</v>
      </c>
      <c r="D63">
        <v>1778021364004</v>
      </c>
      <c r="E63">
        <v>133.69999999999999</v>
      </c>
      <c r="G63">
        <v>1778044241007</v>
      </c>
      <c r="H63">
        <v>57.3</v>
      </c>
      <c r="J63">
        <v>1778011218000</v>
      </c>
      <c r="K63">
        <v>1.7</v>
      </c>
      <c r="L63" s="6"/>
      <c r="M63">
        <v>1778107987002</v>
      </c>
      <c r="N63">
        <v>123.9</v>
      </c>
      <c r="P63">
        <v>1778106563007</v>
      </c>
      <c r="Q63">
        <v>75.599999999999994</v>
      </c>
      <c r="S63">
        <v>1778115792000</v>
      </c>
      <c r="T63">
        <v>56.7</v>
      </c>
      <c r="V63">
        <v>1778096562000</v>
      </c>
      <c r="W63">
        <v>79.7</v>
      </c>
      <c r="X63" s="6"/>
      <c r="Y63">
        <v>1779144188006</v>
      </c>
      <c r="Z63">
        <v>16.2</v>
      </c>
      <c r="AB63">
        <v>1779145915002</v>
      </c>
      <c r="AC63">
        <v>118.5</v>
      </c>
      <c r="AE63">
        <v>1779146411000</v>
      </c>
      <c r="AF63">
        <v>87.2</v>
      </c>
      <c r="AH63">
        <v>1779150694000</v>
      </c>
      <c r="AI63">
        <v>0.5</v>
      </c>
      <c r="AJ63" s="6"/>
      <c r="AK63">
        <v>1782262382002</v>
      </c>
      <c r="AL63">
        <v>234</v>
      </c>
      <c r="AN63">
        <v>1782247476000</v>
      </c>
      <c r="AO63">
        <v>49.2</v>
      </c>
      <c r="AQ63">
        <v>1782266552005</v>
      </c>
      <c r="AR63">
        <v>85.4</v>
      </c>
      <c r="AT63">
        <v>1782258994000</v>
      </c>
      <c r="AU63">
        <v>84.4</v>
      </c>
      <c r="AV63" s="6"/>
      <c r="AW63">
        <v>1784078935000</v>
      </c>
      <c r="AX63">
        <v>46.5</v>
      </c>
      <c r="AZ63">
        <v>1784074757005</v>
      </c>
      <c r="BA63">
        <v>122.1</v>
      </c>
      <c r="BC63">
        <v>1784091454004</v>
      </c>
      <c r="BD63">
        <v>34</v>
      </c>
      <c r="BF63">
        <v>1784077146008</v>
      </c>
      <c r="BG63">
        <v>0.2</v>
      </c>
      <c r="BH63" s="6"/>
      <c r="BI63">
        <v>1784152680009</v>
      </c>
      <c r="BJ63">
        <v>1.4</v>
      </c>
      <c r="BL63">
        <v>1784158305002</v>
      </c>
      <c r="BM63">
        <v>43.1</v>
      </c>
      <c r="BO63">
        <v>1784160011000</v>
      </c>
      <c r="BP63">
        <v>6.1</v>
      </c>
      <c r="BT63" s="6"/>
    </row>
    <row r="64" spans="1:72">
      <c r="A64">
        <v>1778027607005</v>
      </c>
      <c r="B64">
        <v>0</v>
      </c>
      <c r="D64">
        <v>1778021516000</v>
      </c>
      <c r="E64">
        <v>96.4</v>
      </c>
      <c r="G64">
        <v>1778045259001</v>
      </c>
      <c r="H64">
        <v>0</v>
      </c>
      <c r="J64">
        <v>1778012538000</v>
      </c>
      <c r="K64">
        <v>67.8</v>
      </c>
      <c r="L64" s="6"/>
      <c r="M64">
        <v>1778108738005</v>
      </c>
      <c r="N64">
        <v>11</v>
      </c>
      <c r="P64">
        <v>1778106710007</v>
      </c>
      <c r="Q64">
        <v>43.9</v>
      </c>
      <c r="S64">
        <v>1778116188000</v>
      </c>
      <c r="T64">
        <v>9.9</v>
      </c>
      <c r="V64">
        <v>1778100522000</v>
      </c>
      <c r="W64">
        <v>66.7</v>
      </c>
      <c r="X64" s="6"/>
      <c r="Y64">
        <v>1779147191000</v>
      </c>
      <c r="Z64">
        <v>26.2</v>
      </c>
      <c r="AB64">
        <v>1779146066000</v>
      </c>
      <c r="AC64">
        <v>60.1</v>
      </c>
      <c r="AE64">
        <v>1779147011000</v>
      </c>
      <c r="AF64">
        <v>64.7</v>
      </c>
      <c r="AH64">
        <v>1779151444000</v>
      </c>
      <c r="AI64">
        <v>56.2</v>
      </c>
      <c r="AJ64" s="6"/>
      <c r="AK64">
        <v>1782263885005</v>
      </c>
      <c r="AL64">
        <v>41.9</v>
      </c>
      <c r="AN64">
        <v>1782248992006</v>
      </c>
      <c r="AO64">
        <v>27.5</v>
      </c>
      <c r="AQ64">
        <v>1782271835004</v>
      </c>
      <c r="AR64">
        <v>2.1</v>
      </c>
      <c r="AT64">
        <v>1782259144001</v>
      </c>
      <c r="AU64">
        <v>0</v>
      </c>
      <c r="AV64" s="6"/>
      <c r="AW64">
        <v>1784079076004</v>
      </c>
      <c r="AX64">
        <v>59.8</v>
      </c>
      <c r="AZ64">
        <v>1784077307008</v>
      </c>
      <c r="BA64">
        <v>0.2</v>
      </c>
      <c r="BF64">
        <v>1784077566000</v>
      </c>
      <c r="BG64">
        <v>40</v>
      </c>
      <c r="BH64" s="6"/>
      <c r="BI64">
        <v>1784154941000</v>
      </c>
      <c r="BJ64">
        <v>60.7</v>
      </c>
      <c r="BL64">
        <v>1784159239008</v>
      </c>
      <c r="BM64">
        <v>51</v>
      </c>
      <c r="BO64">
        <v>1784160149002</v>
      </c>
      <c r="BP64">
        <v>36.1</v>
      </c>
      <c r="BT64" s="6"/>
    </row>
    <row r="65" spans="1:72">
      <c r="A65">
        <v>1778027717001</v>
      </c>
      <c r="B65">
        <v>103.9</v>
      </c>
      <c r="D65">
        <v>1778021816000</v>
      </c>
      <c r="E65">
        <v>43.7</v>
      </c>
      <c r="J65">
        <v>1778012802000</v>
      </c>
      <c r="K65">
        <v>95.4</v>
      </c>
      <c r="L65" s="6"/>
      <c r="M65">
        <v>1778109786000</v>
      </c>
      <c r="N65">
        <v>55.5</v>
      </c>
      <c r="P65">
        <v>1778107616000</v>
      </c>
      <c r="Q65">
        <v>8.1999999999999993</v>
      </c>
      <c r="S65">
        <v>1778116848000</v>
      </c>
      <c r="T65">
        <v>34.700000000000003</v>
      </c>
      <c r="V65">
        <v>1778100786000</v>
      </c>
      <c r="W65">
        <v>102.7</v>
      </c>
      <c r="X65" s="6"/>
      <c r="Y65">
        <v>1779147338008</v>
      </c>
      <c r="Z65">
        <v>50.7</v>
      </c>
      <c r="AB65">
        <v>1779147411009</v>
      </c>
      <c r="AC65">
        <v>41.9</v>
      </c>
      <c r="AE65">
        <v>1779147161000</v>
      </c>
      <c r="AF65">
        <v>33.700000000000003</v>
      </c>
      <c r="AH65">
        <v>1779152045005</v>
      </c>
      <c r="AI65">
        <v>0.2</v>
      </c>
      <c r="AJ65" s="6"/>
      <c r="AK65">
        <v>1782264278000</v>
      </c>
      <c r="AL65">
        <v>10.5</v>
      </c>
      <c r="AN65">
        <v>1782249714008</v>
      </c>
      <c r="AO65">
        <v>76.5</v>
      </c>
      <c r="AQ65">
        <v>1782272748009</v>
      </c>
      <c r="AR65">
        <v>14.8</v>
      </c>
      <c r="AT65">
        <v>1782261394000</v>
      </c>
      <c r="AU65">
        <v>121.2</v>
      </c>
      <c r="AV65" s="6"/>
      <c r="AW65">
        <v>1784079476000</v>
      </c>
      <c r="AX65">
        <v>86.8</v>
      </c>
      <c r="AZ65">
        <v>1784077583000</v>
      </c>
      <c r="BA65">
        <v>97.5</v>
      </c>
      <c r="BF65">
        <v>1784078226000</v>
      </c>
      <c r="BG65">
        <v>26.9</v>
      </c>
      <c r="BH65" s="6"/>
      <c r="BI65">
        <v>1784156587003</v>
      </c>
      <c r="BJ65">
        <v>114.8</v>
      </c>
      <c r="BL65">
        <v>1784159966000</v>
      </c>
      <c r="BM65">
        <v>10.199999999999999</v>
      </c>
      <c r="BO65">
        <v>1784160761001</v>
      </c>
      <c r="BP65">
        <v>0</v>
      </c>
      <c r="BT65" s="6"/>
    </row>
    <row r="66" spans="1:72">
      <c r="A66">
        <v>1778027884009</v>
      </c>
      <c r="B66">
        <v>51.7</v>
      </c>
      <c r="D66">
        <v>1778023760001</v>
      </c>
      <c r="E66">
        <v>0.2</v>
      </c>
      <c r="J66">
        <v>1778012934000</v>
      </c>
      <c r="K66">
        <v>102</v>
      </c>
      <c r="L66" s="6"/>
      <c r="M66">
        <v>1778110391000</v>
      </c>
      <c r="N66">
        <v>36.1</v>
      </c>
      <c r="P66">
        <v>1778108366000</v>
      </c>
      <c r="Q66">
        <v>52.2</v>
      </c>
      <c r="S66">
        <v>1778118032006</v>
      </c>
      <c r="T66">
        <v>0.3</v>
      </c>
      <c r="V66">
        <v>1778102194000</v>
      </c>
      <c r="W66">
        <v>111.9</v>
      </c>
      <c r="X66" s="6"/>
      <c r="Y66">
        <v>1779147788009</v>
      </c>
      <c r="Z66">
        <v>49</v>
      </c>
      <c r="AB66">
        <v>1779147865004</v>
      </c>
      <c r="AC66">
        <v>16</v>
      </c>
      <c r="AE66">
        <v>1779147611000</v>
      </c>
      <c r="AF66">
        <v>35.5</v>
      </c>
      <c r="AH66">
        <v>1779154482003</v>
      </c>
      <c r="AI66">
        <v>0</v>
      </c>
      <c r="AJ66" s="6"/>
      <c r="AK66">
        <v>1782264545000</v>
      </c>
      <c r="AL66">
        <v>14.9</v>
      </c>
      <c r="AN66">
        <v>1782249866000</v>
      </c>
      <c r="AO66">
        <v>9</v>
      </c>
      <c r="AQ66">
        <v>1782273125002</v>
      </c>
      <c r="AR66">
        <v>17</v>
      </c>
      <c r="AT66">
        <v>1782262297001</v>
      </c>
      <c r="AU66">
        <v>0.2</v>
      </c>
      <c r="AV66" s="6"/>
      <c r="AW66">
        <v>1784079872000</v>
      </c>
      <c r="AX66">
        <v>111.3</v>
      </c>
      <c r="AZ66">
        <v>1784081262000</v>
      </c>
      <c r="BA66">
        <v>59.2</v>
      </c>
      <c r="BF66">
        <v>1784079810000</v>
      </c>
      <c r="BG66">
        <v>100.3</v>
      </c>
      <c r="BH66" s="6"/>
      <c r="BI66">
        <v>1784157191000</v>
      </c>
      <c r="BJ66">
        <v>53.1</v>
      </c>
      <c r="BL66">
        <v>1784160257004</v>
      </c>
      <c r="BM66">
        <v>12</v>
      </c>
      <c r="BO66">
        <v>1784161061000</v>
      </c>
      <c r="BP66">
        <v>54</v>
      </c>
      <c r="BT66" s="6"/>
    </row>
    <row r="67" spans="1:72">
      <c r="A67">
        <v>1778028485003</v>
      </c>
      <c r="B67">
        <v>41</v>
      </c>
      <c r="D67">
        <v>1778025712001</v>
      </c>
      <c r="E67">
        <v>13.1</v>
      </c>
      <c r="J67">
        <v>1778013066000</v>
      </c>
      <c r="K67">
        <v>24.5</v>
      </c>
      <c r="L67" s="6"/>
      <c r="M67">
        <v>1778110689000</v>
      </c>
      <c r="N67">
        <v>10.1</v>
      </c>
      <c r="P67">
        <v>1778109859006</v>
      </c>
      <c r="Q67">
        <v>126.6</v>
      </c>
      <c r="S67">
        <v>1778119355005</v>
      </c>
      <c r="T67">
        <v>63.3</v>
      </c>
      <c r="V67">
        <v>1778104144000</v>
      </c>
      <c r="W67">
        <v>89.1</v>
      </c>
      <c r="X67" s="6"/>
      <c r="Y67">
        <v>1779150790000</v>
      </c>
      <c r="Z67">
        <v>91.7</v>
      </c>
      <c r="AB67">
        <v>1779150256008</v>
      </c>
      <c r="AC67">
        <v>119.9</v>
      </c>
      <c r="AE67">
        <v>1779151360003</v>
      </c>
      <c r="AF67">
        <v>3.4</v>
      </c>
      <c r="AH67">
        <v>1779154746000</v>
      </c>
      <c r="AI67">
        <v>0</v>
      </c>
      <c r="AJ67" s="6"/>
      <c r="AK67">
        <v>1782265335000</v>
      </c>
      <c r="AL67">
        <v>0</v>
      </c>
      <c r="AN67">
        <v>1782250014003</v>
      </c>
      <c r="AO67">
        <v>32.299999999999997</v>
      </c>
      <c r="AQ67">
        <v>1782274173008</v>
      </c>
      <c r="AR67">
        <v>16.3</v>
      </c>
      <c r="AT67">
        <v>1782262444000</v>
      </c>
      <c r="AU67">
        <v>48.2</v>
      </c>
      <c r="AV67" s="6"/>
      <c r="AW67">
        <v>1784081852000</v>
      </c>
      <c r="AX67">
        <v>25.8</v>
      </c>
      <c r="AZ67">
        <v>1784082468000</v>
      </c>
      <c r="BA67">
        <v>72.8</v>
      </c>
      <c r="BF67">
        <v>1784081790000</v>
      </c>
      <c r="BG67">
        <v>124.4</v>
      </c>
      <c r="BH67" s="6"/>
      <c r="BI67">
        <v>1784157484003</v>
      </c>
      <c r="BJ67">
        <v>121.2</v>
      </c>
      <c r="BL67">
        <v>1784161312001</v>
      </c>
      <c r="BM67">
        <v>117.1</v>
      </c>
      <c r="BO67">
        <v>1784161211000</v>
      </c>
      <c r="BP67">
        <v>23.5</v>
      </c>
      <c r="BT67" s="6"/>
    </row>
    <row r="68" spans="1:72">
      <c r="A68">
        <v>1778029760000</v>
      </c>
      <c r="B68">
        <v>8.5</v>
      </c>
      <c r="D68">
        <v>1778026908004</v>
      </c>
      <c r="E68">
        <v>48.6</v>
      </c>
      <c r="J68">
        <v>1778013462000</v>
      </c>
      <c r="K68">
        <v>20</v>
      </c>
      <c r="L68" s="6"/>
      <c r="M68">
        <v>1778111441000</v>
      </c>
      <c r="N68">
        <v>127.8</v>
      </c>
      <c r="P68">
        <v>1778109862002</v>
      </c>
      <c r="Q68">
        <v>0</v>
      </c>
      <c r="S68">
        <v>1778120148000</v>
      </c>
      <c r="T68">
        <v>14.2</v>
      </c>
      <c r="V68">
        <v>1778104294000</v>
      </c>
      <c r="W68">
        <v>37.5</v>
      </c>
      <c r="X68" s="6"/>
      <c r="Y68">
        <v>1779151536000</v>
      </c>
      <c r="Z68">
        <v>15</v>
      </c>
      <c r="AB68">
        <v>1779151314007</v>
      </c>
      <c r="AC68">
        <v>0.2</v>
      </c>
      <c r="AE68">
        <v>1779151661000</v>
      </c>
      <c r="AF68">
        <v>1</v>
      </c>
      <c r="AH68">
        <v>1779156066000</v>
      </c>
      <c r="AI68">
        <v>98.8</v>
      </c>
      <c r="AJ68" s="6"/>
      <c r="AK68">
        <v>1782266000000</v>
      </c>
      <c r="AL68">
        <v>81.2</v>
      </c>
      <c r="AN68">
        <v>1782250457008</v>
      </c>
      <c r="AO68">
        <v>0</v>
      </c>
      <c r="AQ68">
        <v>1782279636009</v>
      </c>
      <c r="AR68">
        <v>21.1</v>
      </c>
      <c r="AT68">
        <v>1782262744000</v>
      </c>
      <c r="AU68">
        <v>65.599999999999994</v>
      </c>
      <c r="AV68" s="6"/>
      <c r="AW68">
        <v>1784083301008</v>
      </c>
      <c r="AX68">
        <v>11.7</v>
      </c>
      <c r="AZ68">
        <v>1784083519008</v>
      </c>
      <c r="BA68">
        <v>24.8</v>
      </c>
      <c r="BF68">
        <v>1784083242000</v>
      </c>
      <c r="BG68">
        <v>17.899999999999999</v>
      </c>
      <c r="BH68" s="6"/>
      <c r="BI68">
        <v>1784157632009</v>
      </c>
      <c r="BJ68">
        <v>113.5</v>
      </c>
      <c r="BL68">
        <v>1784164904001</v>
      </c>
      <c r="BM68">
        <v>72.099999999999994</v>
      </c>
      <c r="BO68">
        <v>1784161647001</v>
      </c>
      <c r="BP68">
        <v>67.8</v>
      </c>
      <c r="BT68" s="6"/>
    </row>
    <row r="69" spans="1:72">
      <c r="A69">
        <v>1778030024000</v>
      </c>
      <c r="B69">
        <v>24.3</v>
      </c>
      <c r="D69">
        <v>1778027656000</v>
      </c>
      <c r="E69">
        <v>54.5</v>
      </c>
      <c r="J69">
        <v>1778014518000</v>
      </c>
      <c r="K69">
        <v>101.5</v>
      </c>
      <c r="L69" s="6"/>
      <c r="M69">
        <v>1778111884007</v>
      </c>
      <c r="N69">
        <v>54.8</v>
      </c>
      <c r="P69">
        <v>1778110015008</v>
      </c>
      <c r="Q69">
        <v>0.2</v>
      </c>
      <c r="S69">
        <v>1778120671001</v>
      </c>
      <c r="T69">
        <v>49.1</v>
      </c>
      <c r="V69">
        <v>1778105794000</v>
      </c>
      <c r="W69">
        <v>66.7</v>
      </c>
      <c r="X69" s="6"/>
      <c r="Y69">
        <v>1779151682000</v>
      </c>
      <c r="Z69">
        <v>15</v>
      </c>
      <c r="AB69">
        <v>1779151461007</v>
      </c>
      <c r="AC69">
        <v>101.4</v>
      </c>
      <c r="AE69">
        <v>1779152592000</v>
      </c>
      <c r="AF69">
        <v>50.1</v>
      </c>
      <c r="AH69">
        <v>1779157386000</v>
      </c>
      <c r="AI69">
        <v>97.2</v>
      </c>
      <c r="AJ69" s="6"/>
      <c r="AK69">
        <v>1782266393002</v>
      </c>
      <c r="AL69">
        <v>39.4</v>
      </c>
      <c r="AN69">
        <v>1782250763004</v>
      </c>
      <c r="AO69">
        <v>46.3</v>
      </c>
      <c r="AT69">
        <v>1782264222000</v>
      </c>
      <c r="AU69">
        <v>24.8</v>
      </c>
      <c r="AV69" s="6"/>
      <c r="AW69">
        <v>1784083436000</v>
      </c>
      <c r="AX69">
        <v>45.3</v>
      </c>
      <c r="AZ69">
        <v>1784085895008</v>
      </c>
      <c r="BA69">
        <v>63</v>
      </c>
      <c r="BF69">
        <v>1784083506000</v>
      </c>
      <c r="BG69">
        <v>68.2</v>
      </c>
      <c r="BH69" s="6"/>
      <c r="BI69">
        <v>1784157793005</v>
      </c>
      <c r="BJ69">
        <v>0</v>
      </c>
      <c r="BL69">
        <v>1784165699009</v>
      </c>
      <c r="BM69">
        <v>91.2</v>
      </c>
      <c r="BO69">
        <v>1784163311000</v>
      </c>
      <c r="BP69">
        <v>19.7</v>
      </c>
      <c r="BT69" s="6"/>
    </row>
    <row r="70" spans="1:72">
      <c r="A70">
        <v>1778030680002</v>
      </c>
      <c r="B70">
        <v>39.5</v>
      </c>
      <c r="D70">
        <v>1778029450005</v>
      </c>
      <c r="E70">
        <v>122.6</v>
      </c>
      <c r="J70">
        <v>1778014917002</v>
      </c>
      <c r="K70">
        <v>91.9</v>
      </c>
      <c r="L70" s="6"/>
      <c r="M70">
        <v>1778113083001</v>
      </c>
      <c r="N70">
        <v>31.5</v>
      </c>
      <c r="P70">
        <v>1778110311009</v>
      </c>
      <c r="Q70">
        <v>15.4</v>
      </c>
      <c r="S70">
        <v>1778121333000</v>
      </c>
      <c r="T70">
        <v>5.3</v>
      </c>
      <c r="V70">
        <v>1778106394000</v>
      </c>
      <c r="W70">
        <v>25.4</v>
      </c>
      <c r="X70" s="6"/>
      <c r="Y70">
        <v>1779154672005</v>
      </c>
      <c r="Z70">
        <v>0</v>
      </c>
      <c r="AB70">
        <v>1779151608005</v>
      </c>
      <c r="AC70">
        <v>17.2</v>
      </c>
      <c r="AE70">
        <v>1779153648000</v>
      </c>
      <c r="AF70">
        <v>36.200000000000003</v>
      </c>
      <c r="AH70">
        <v>1779159366000</v>
      </c>
      <c r="AI70">
        <v>123.4</v>
      </c>
      <c r="AJ70" s="6"/>
      <c r="AK70">
        <v>1782266924000</v>
      </c>
      <c r="AL70">
        <v>7.1</v>
      </c>
      <c r="AN70">
        <v>1782251658005</v>
      </c>
      <c r="AO70">
        <v>9.3000000000000007</v>
      </c>
      <c r="AT70">
        <v>1782265410000</v>
      </c>
      <c r="AU70">
        <v>6.6</v>
      </c>
      <c r="AV70" s="6"/>
      <c r="AW70">
        <v>1784084198008</v>
      </c>
      <c r="AX70">
        <v>30.7</v>
      </c>
      <c r="AZ70">
        <v>1784088413006</v>
      </c>
      <c r="BA70">
        <v>33.299999999999997</v>
      </c>
      <c r="BF70">
        <v>1784086278000</v>
      </c>
      <c r="BG70">
        <v>24.8</v>
      </c>
      <c r="BH70" s="6"/>
      <c r="BI70">
        <v>1784157941000</v>
      </c>
      <c r="BJ70">
        <v>74</v>
      </c>
      <c r="BL70">
        <v>1784165946001</v>
      </c>
      <c r="BM70">
        <v>68.599999999999994</v>
      </c>
      <c r="BO70">
        <v>1784164590007</v>
      </c>
      <c r="BP70">
        <v>0</v>
      </c>
      <c r="BT70" s="6"/>
    </row>
    <row r="71" spans="1:72">
      <c r="A71">
        <v>1778030802004</v>
      </c>
      <c r="B71">
        <v>21.8</v>
      </c>
      <c r="D71">
        <v>1778030639000</v>
      </c>
      <c r="E71">
        <v>79</v>
      </c>
      <c r="J71">
        <v>1778015344000</v>
      </c>
      <c r="K71">
        <v>125.8</v>
      </c>
      <c r="L71" s="6"/>
      <c r="M71">
        <v>1778113240000</v>
      </c>
      <c r="N71">
        <v>54.1</v>
      </c>
      <c r="P71">
        <v>1778110463002</v>
      </c>
      <c r="Q71">
        <v>36.200000000000003</v>
      </c>
      <c r="S71">
        <v>1778121468000</v>
      </c>
      <c r="T71">
        <v>29.5</v>
      </c>
      <c r="V71">
        <v>1778106844000</v>
      </c>
      <c r="W71">
        <v>19.399999999999999</v>
      </c>
      <c r="X71" s="6"/>
      <c r="Y71">
        <v>1779155996000</v>
      </c>
      <c r="Z71">
        <v>69.099999999999994</v>
      </c>
      <c r="AB71">
        <v>1779153574000</v>
      </c>
      <c r="AC71">
        <v>31.3</v>
      </c>
      <c r="AE71">
        <v>1779154041007</v>
      </c>
      <c r="AF71">
        <v>10.4</v>
      </c>
      <c r="AH71">
        <v>1779162270000</v>
      </c>
      <c r="AI71">
        <v>74.2</v>
      </c>
      <c r="AJ71" s="6"/>
      <c r="AK71">
        <v>1782267046004</v>
      </c>
      <c r="AL71">
        <v>0</v>
      </c>
      <c r="AN71">
        <v>1782251962008</v>
      </c>
      <c r="AO71">
        <v>11.8</v>
      </c>
      <c r="AT71">
        <v>1782266466000</v>
      </c>
      <c r="AU71">
        <v>127.9</v>
      </c>
      <c r="AV71" s="6"/>
      <c r="AW71">
        <v>1784084888000</v>
      </c>
      <c r="AX71">
        <v>42.9</v>
      </c>
      <c r="AZ71">
        <v>1784093995002</v>
      </c>
      <c r="BA71">
        <v>13.3</v>
      </c>
      <c r="BF71">
        <v>1784091597005</v>
      </c>
      <c r="BG71">
        <v>25.3</v>
      </c>
      <c r="BH71" s="6"/>
      <c r="BI71">
        <v>1784158376006</v>
      </c>
      <c r="BJ71">
        <v>47.4</v>
      </c>
      <c r="BL71">
        <v>1784167543008</v>
      </c>
      <c r="BM71">
        <v>63.3</v>
      </c>
      <c r="BO71">
        <v>1784167092000</v>
      </c>
      <c r="BP71">
        <v>15.8</v>
      </c>
      <c r="BT71" s="6"/>
    </row>
    <row r="72" spans="1:72">
      <c r="A72">
        <v>1778032664000</v>
      </c>
      <c r="B72">
        <v>68.099999999999994</v>
      </c>
      <c r="D72">
        <v>1778032217006</v>
      </c>
      <c r="E72">
        <v>90.5</v>
      </c>
      <c r="J72">
        <v>1778019544003</v>
      </c>
      <c r="K72">
        <v>0</v>
      </c>
      <c r="L72" s="6"/>
      <c r="M72">
        <v>1778113391000</v>
      </c>
      <c r="N72">
        <v>8.4</v>
      </c>
      <c r="P72">
        <v>1778110916000</v>
      </c>
      <c r="Q72">
        <v>29.3</v>
      </c>
      <c r="S72">
        <v>1778121732000</v>
      </c>
      <c r="T72">
        <v>73.2</v>
      </c>
      <c r="V72">
        <v>1778108944000</v>
      </c>
      <c r="W72">
        <v>89.3</v>
      </c>
      <c r="X72" s="6"/>
      <c r="Y72">
        <v>1779157052000</v>
      </c>
      <c r="Z72">
        <v>48.7</v>
      </c>
      <c r="AB72">
        <v>1779155685008</v>
      </c>
      <c r="AC72">
        <v>66.400000000000006</v>
      </c>
      <c r="AE72">
        <v>1779154175009</v>
      </c>
      <c r="AF72">
        <v>6.1</v>
      </c>
      <c r="AH72">
        <v>1779163318004</v>
      </c>
      <c r="AI72">
        <v>0.1</v>
      </c>
      <c r="AJ72" s="6"/>
      <c r="AK72">
        <v>1782267847003</v>
      </c>
      <c r="AL72">
        <v>40.5</v>
      </c>
      <c r="AN72">
        <v>1782253017002</v>
      </c>
      <c r="AO72">
        <v>0.2</v>
      </c>
      <c r="AT72">
        <v>1782266598000</v>
      </c>
      <c r="AU72">
        <v>41.9</v>
      </c>
      <c r="AV72" s="6"/>
      <c r="AW72">
        <v>1784085403004</v>
      </c>
      <c r="AX72">
        <v>0</v>
      </c>
      <c r="BH72" s="6"/>
      <c r="BI72">
        <v>1784160041000</v>
      </c>
      <c r="BJ72">
        <v>90.1</v>
      </c>
      <c r="BL72">
        <v>1784167680002</v>
      </c>
      <c r="BM72">
        <v>0.2</v>
      </c>
      <c r="BO72">
        <v>1784167619008</v>
      </c>
      <c r="BP72">
        <v>58.5</v>
      </c>
      <c r="BT72" s="6"/>
    </row>
    <row r="73" spans="1:72">
      <c r="A73">
        <v>1778032793001</v>
      </c>
      <c r="B73">
        <v>78.5</v>
      </c>
      <c r="D73">
        <v>1778032484009</v>
      </c>
      <c r="E73">
        <v>103</v>
      </c>
      <c r="J73">
        <v>1778019844000</v>
      </c>
      <c r="K73">
        <v>65.099999999999994</v>
      </c>
      <c r="L73" s="6"/>
      <c r="M73">
        <v>1778114441000</v>
      </c>
      <c r="N73">
        <v>79.5</v>
      </c>
      <c r="P73">
        <v>1778111966000</v>
      </c>
      <c r="Q73">
        <v>124.4</v>
      </c>
      <c r="S73">
        <v>1778123448000</v>
      </c>
      <c r="T73">
        <v>84.3</v>
      </c>
      <c r="V73">
        <v>1778109244000</v>
      </c>
      <c r="W73">
        <v>59</v>
      </c>
      <c r="X73" s="6"/>
      <c r="Y73">
        <v>1779157712000</v>
      </c>
      <c r="Z73">
        <v>54.6</v>
      </c>
      <c r="AB73">
        <v>1779156084000</v>
      </c>
      <c r="AC73">
        <v>47.6</v>
      </c>
      <c r="AE73">
        <v>1779155479003</v>
      </c>
      <c r="AF73">
        <v>40.1</v>
      </c>
      <c r="AH73">
        <v>1779166541000</v>
      </c>
      <c r="AI73">
        <v>16.2</v>
      </c>
      <c r="AJ73" s="6"/>
      <c r="AK73">
        <v>1782270734006</v>
      </c>
      <c r="AL73">
        <v>60.9</v>
      </c>
      <c r="AN73">
        <v>1782253017004</v>
      </c>
      <c r="AO73">
        <v>0</v>
      </c>
      <c r="AT73">
        <v>1782268314000</v>
      </c>
      <c r="AU73">
        <v>16.899999999999999</v>
      </c>
      <c r="AV73" s="6"/>
      <c r="AW73">
        <v>1784085548000</v>
      </c>
      <c r="AX73">
        <v>111.3</v>
      </c>
      <c r="BH73" s="6"/>
      <c r="BI73">
        <v>1784164952000</v>
      </c>
      <c r="BJ73">
        <v>44.3</v>
      </c>
      <c r="BL73">
        <v>1784168732005</v>
      </c>
      <c r="BM73">
        <v>15.6</v>
      </c>
      <c r="BO73">
        <v>1784168280000</v>
      </c>
      <c r="BP73">
        <v>32.5</v>
      </c>
      <c r="BT73" s="6"/>
    </row>
    <row r="74" spans="1:72">
      <c r="A74">
        <v>1778032938009</v>
      </c>
      <c r="B74">
        <v>0</v>
      </c>
      <c r="D74">
        <v>1778033808000</v>
      </c>
      <c r="E74">
        <v>97.7</v>
      </c>
      <c r="J74">
        <v>1778020594000</v>
      </c>
      <c r="K74">
        <v>81.7</v>
      </c>
      <c r="L74" s="6"/>
      <c r="M74">
        <v>1778114885001</v>
      </c>
      <c r="N74">
        <v>0</v>
      </c>
      <c r="P74">
        <v>1778112113009</v>
      </c>
      <c r="Q74">
        <v>64.099999999999994</v>
      </c>
      <c r="S74">
        <v>1778124228003</v>
      </c>
      <c r="T74">
        <v>60.4</v>
      </c>
      <c r="V74">
        <v>1778111194000</v>
      </c>
      <c r="W74">
        <v>21.2</v>
      </c>
      <c r="X74" s="6"/>
      <c r="Y74">
        <v>1779157851009</v>
      </c>
      <c r="Z74">
        <v>0</v>
      </c>
      <c r="AB74">
        <v>1779157135000</v>
      </c>
      <c r="AC74">
        <v>62.7</v>
      </c>
      <c r="AE74">
        <v>1779156145006</v>
      </c>
      <c r="AF74">
        <v>25.4</v>
      </c>
      <c r="AH74">
        <v>1779167669006</v>
      </c>
      <c r="AI74">
        <v>3.1</v>
      </c>
      <c r="AJ74" s="6"/>
      <c r="AK74">
        <v>1782271811004</v>
      </c>
      <c r="AL74">
        <v>0</v>
      </c>
      <c r="AN74">
        <v>1782253460006</v>
      </c>
      <c r="AO74">
        <v>46.5</v>
      </c>
      <c r="AT74">
        <v>1782269502000</v>
      </c>
      <c r="AU74">
        <v>49.7</v>
      </c>
      <c r="AV74" s="6"/>
      <c r="AW74">
        <v>1784086467007</v>
      </c>
      <c r="AX74">
        <v>0</v>
      </c>
      <c r="BH74" s="6"/>
      <c r="BI74">
        <v>1784167454005</v>
      </c>
      <c r="BJ74">
        <v>33</v>
      </c>
      <c r="BL74">
        <v>1784171376000</v>
      </c>
      <c r="BM74">
        <v>68.8</v>
      </c>
      <c r="BO74">
        <v>1784170255002</v>
      </c>
      <c r="BP74">
        <v>10.6</v>
      </c>
      <c r="BT74" s="6"/>
    </row>
    <row r="75" spans="1:72">
      <c r="A75">
        <v>1778033324000</v>
      </c>
      <c r="B75">
        <v>46.6</v>
      </c>
      <c r="D75">
        <v>1778035524000</v>
      </c>
      <c r="E75">
        <v>8.3000000000000007</v>
      </c>
      <c r="J75">
        <v>1778021944000</v>
      </c>
      <c r="K75">
        <v>1.6</v>
      </c>
      <c r="L75" s="6"/>
      <c r="M75">
        <v>1778115332001</v>
      </c>
      <c r="N75">
        <v>11.7</v>
      </c>
      <c r="P75">
        <v>1778112257000</v>
      </c>
      <c r="Q75">
        <v>46.2</v>
      </c>
      <c r="S75">
        <v>1778125683000</v>
      </c>
      <c r="T75">
        <v>14.8</v>
      </c>
      <c r="V75">
        <v>1778112094000</v>
      </c>
      <c r="W75">
        <v>9.5</v>
      </c>
      <c r="X75" s="6"/>
      <c r="Y75">
        <v>1779158504000</v>
      </c>
      <c r="Z75">
        <v>74.8</v>
      </c>
      <c r="AB75">
        <v>1779157536000</v>
      </c>
      <c r="AC75">
        <v>59.5</v>
      </c>
      <c r="AE75">
        <v>1779158268000</v>
      </c>
      <c r="AF75">
        <v>35</v>
      </c>
      <c r="AJ75" s="6"/>
      <c r="AK75">
        <v>1782271937002</v>
      </c>
      <c r="AL75">
        <v>108.4</v>
      </c>
      <c r="AN75">
        <v>1782253612004</v>
      </c>
      <c r="AO75">
        <v>82.1</v>
      </c>
      <c r="AT75">
        <v>1782271614000</v>
      </c>
      <c r="AU75">
        <v>79.7</v>
      </c>
      <c r="AV75" s="6"/>
      <c r="AW75">
        <v>1784086848006</v>
      </c>
      <c r="AX75">
        <v>12.7</v>
      </c>
      <c r="BH75" s="6"/>
      <c r="BI75">
        <v>1784168252000</v>
      </c>
      <c r="BJ75">
        <v>38.799999999999997</v>
      </c>
      <c r="BL75">
        <v>1784171505008</v>
      </c>
      <c r="BM75">
        <v>56.5</v>
      </c>
      <c r="BO75">
        <v>1784170774001</v>
      </c>
      <c r="BP75">
        <v>22.8</v>
      </c>
      <c r="BT75" s="6"/>
    </row>
    <row r="76" spans="1:72">
      <c r="A76">
        <v>1778034113004</v>
      </c>
      <c r="B76">
        <v>7.6</v>
      </c>
      <c r="D76">
        <v>1778035920000</v>
      </c>
      <c r="E76">
        <v>67.7</v>
      </c>
      <c r="J76">
        <v>1778022544000</v>
      </c>
      <c r="K76">
        <v>71.3</v>
      </c>
      <c r="L76" s="6"/>
      <c r="M76">
        <v>1778115491000</v>
      </c>
      <c r="N76">
        <v>30</v>
      </c>
      <c r="P76">
        <v>1778112860008</v>
      </c>
      <c r="Q76">
        <v>14.8</v>
      </c>
      <c r="S76">
        <v>1778128017007</v>
      </c>
      <c r="T76">
        <v>41</v>
      </c>
      <c r="V76">
        <v>1778112544000</v>
      </c>
      <c r="W76">
        <v>57.6</v>
      </c>
      <c r="X76" s="6"/>
      <c r="Y76">
        <v>1779158759000</v>
      </c>
      <c r="Z76">
        <v>11.2</v>
      </c>
      <c r="AB76">
        <v>1779158064000</v>
      </c>
      <c r="AC76">
        <v>44.5</v>
      </c>
      <c r="AE76">
        <v>1779158380004</v>
      </c>
      <c r="AF76">
        <v>6</v>
      </c>
      <c r="AJ76" s="6"/>
      <c r="AK76">
        <v>1782272864000</v>
      </c>
      <c r="AL76">
        <v>8.6</v>
      </c>
      <c r="AN76">
        <v>1782254494000</v>
      </c>
      <c r="AO76">
        <v>41.7</v>
      </c>
      <c r="AT76">
        <v>1782273594000</v>
      </c>
      <c r="AU76">
        <v>22.1</v>
      </c>
      <c r="AV76" s="6"/>
      <c r="BH76" s="6"/>
      <c r="BI76">
        <v>1784168384000</v>
      </c>
      <c r="BJ76">
        <v>63</v>
      </c>
      <c r="BL76">
        <v>1784171901002</v>
      </c>
      <c r="BM76">
        <v>49.8</v>
      </c>
      <c r="BO76">
        <v>1784171179007</v>
      </c>
      <c r="BP76">
        <v>64.7</v>
      </c>
      <c r="BT76" s="6"/>
    </row>
    <row r="77" spans="1:72">
      <c r="A77">
        <v>1778038071007</v>
      </c>
      <c r="B77">
        <v>12.8</v>
      </c>
      <c r="D77">
        <v>1778036184000</v>
      </c>
      <c r="E77">
        <v>30</v>
      </c>
      <c r="J77">
        <v>1778022844000</v>
      </c>
      <c r="K77">
        <v>43.6</v>
      </c>
      <c r="L77" s="6"/>
      <c r="M77">
        <v>1778117348000</v>
      </c>
      <c r="N77">
        <v>0</v>
      </c>
      <c r="P77">
        <v>1778113465009</v>
      </c>
      <c r="Q77">
        <v>91.6</v>
      </c>
      <c r="S77">
        <v>1778129941001</v>
      </c>
      <c r="T77">
        <v>46.9</v>
      </c>
      <c r="V77">
        <v>1778112995007</v>
      </c>
      <c r="W77">
        <v>0.2</v>
      </c>
      <c r="X77" s="6"/>
      <c r="Y77">
        <v>1779159284004</v>
      </c>
      <c r="Z77">
        <v>36.700000000000003</v>
      </c>
      <c r="AB77">
        <v>1779159381007</v>
      </c>
      <c r="AC77">
        <v>71.099999999999994</v>
      </c>
      <c r="AE77">
        <v>1779158921003</v>
      </c>
      <c r="AF77">
        <v>68.400000000000006</v>
      </c>
      <c r="AJ77" s="6"/>
      <c r="AK77">
        <v>1782273259009</v>
      </c>
      <c r="AL77">
        <v>31.9</v>
      </c>
      <c r="AN77">
        <v>1782255418009</v>
      </c>
      <c r="AO77">
        <v>0.2</v>
      </c>
      <c r="AT77">
        <v>1782274130003</v>
      </c>
      <c r="AU77">
        <v>32.799999999999997</v>
      </c>
      <c r="AV77" s="6"/>
      <c r="BH77" s="6"/>
      <c r="BI77">
        <v>1784169440000</v>
      </c>
      <c r="BJ77">
        <v>62.4</v>
      </c>
      <c r="BL77">
        <v>1784172426003</v>
      </c>
      <c r="BM77">
        <v>52.4</v>
      </c>
      <c r="BO77">
        <v>1784174530000</v>
      </c>
      <c r="BP77">
        <v>0.3</v>
      </c>
      <c r="BT77" s="6"/>
    </row>
    <row r="78" spans="1:72">
      <c r="A78">
        <v>1778040069009</v>
      </c>
      <c r="B78">
        <v>8.4</v>
      </c>
      <c r="D78">
        <v>1778036578003</v>
      </c>
      <c r="E78">
        <v>26.7</v>
      </c>
      <c r="J78">
        <v>1778023744000</v>
      </c>
      <c r="K78">
        <v>54.1</v>
      </c>
      <c r="L78" s="6"/>
      <c r="M78">
        <v>1778118008000</v>
      </c>
      <c r="N78">
        <v>11.1</v>
      </c>
      <c r="P78">
        <v>1778114059006</v>
      </c>
      <c r="Q78">
        <v>41.2</v>
      </c>
      <c r="S78">
        <v>1778132444005</v>
      </c>
      <c r="T78">
        <v>5.0999999999999996</v>
      </c>
      <c r="V78">
        <v>1778114044000</v>
      </c>
      <c r="W78">
        <v>33.299999999999997</v>
      </c>
      <c r="X78" s="6"/>
      <c r="Y78">
        <v>1779160731001</v>
      </c>
      <c r="Z78">
        <v>0.2</v>
      </c>
      <c r="AB78">
        <v>1779159780000</v>
      </c>
      <c r="AC78">
        <v>55.1</v>
      </c>
      <c r="AE78">
        <v>1779159702009</v>
      </c>
      <c r="AF78">
        <v>63.3</v>
      </c>
      <c r="AJ78" s="6"/>
      <c r="AK78">
        <v>1782274074004</v>
      </c>
      <c r="AL78">
        <v>33.1</v>
      </c>
      <c r="AN78">
        <v>1782255706004</v>
      </c>
      <c r="AO78">
        <v>35.299999999999997</v>
      </c>
      <c r="AT78">
        <v>1782275155003</v>
      </c>
      <c r="AU78">
        <v>41.1</v>
      </c>
      <c r="AV78" s="6"/>
      <c r="BH78" s="6"/>
      <c r="BI78">
        <v>1784170092006</v>
      </c>
      <c r="BJ78">
        <v>28.5</v>
      </c>
      <c r="BL78">
        <v>1784173088009</v>
      </c>
      <c r="BM78">
        <v>58.3</v>
      </c>
      <c r="BO78">
        <v>1784176702000</v>
      </c>
      <c r="BP78">
        <v>0.3</v>
      </c>
      <c r="BT78" s="6"/>
    </row>
    <row r="79" spans="1:72">
      <c r="A79">
        <v>1778040486004</v>
      </c>
      <c r="B79">
        <v>0.3</v>
      </c>
      <c r="D79">
        <v>1778036973007</v>
      </c>
      <c r="E79">
        <v>47.9</v>
      </c>
      <c r="J79">
        <v>1778024083002</v>
      </c>
      <c r="K79">
        <v>2.8</v>
      </c>
      <c r="L79" s="6"/>
      <c r="M79">
        <v>1778118286005</v>
      </c>
      <c r="N79">
        <v>0</v>
      </c>
      <c r="P79">
        <v>1778114810000</v>
      </c>
      <c r="Q79">
        <v>0</v>
      </c>
      <c r="S79">
        <v>1778133354008</v>
      </c>
      <c r="T79">
        <v>4.2</v>
      </c>
      <c r="V79">
        <v>1778114194000</v>
      </c>
      <c r="W79">
        <v>126.6</v>
      </c>
      <c r="X79" s="6"/>
      <c r="Y79">
        <v>1779160731005</v>
      </c>
      <c r="Z79">
        <v>0</v>
      </c>
      <c r="AB79">
        <v>1779159894000</v>
      </c>
      <c r="AC79">
        <v>66.099999999999994</v>
      </c>
      <c r="AE79">
        <v>1779162470006</v>
      </c>
      <c r="AF79">
        <v>60.6</v>
      </c>
      <c r="AJ79" s="6"/>
      <c r="AK79">
        <v>1782275622009</v>
      </c>
      <c r="AL79">
        <v>0.3</v>
      </c>
      <c r="AN79">
        <v>1782255863003</v>
      </c>
      <c r="AO79">
        <v>16.2</v>
      </c>
      <c r="AT79">
        <v>1782276099008</v>
      </c>
      <c r="AU79">
        <v>67.7</v>
      </c>
      <c r="AV79" s="6"/>
      <c r="BH79" s="6"/>
      <c r="BI79">
        <v>1784170232000</v>
      </c>
      <c r="BJ79">
        <v>77.5</v>
      </c>
      <c r="BL79">
        <v>1784173602000</v>
      </c>
      <c r="BM79">
        <v>101</v>
      </c>
      <c r="BO79">
        <v>1784177453006</v>
      </c>
      <c r="BP79">
        <v>71.3</v>
      </c>
      <c r="BT79" s="6"/>
    </row>
    <row r="80" spans="1:72">
      <c r="A80">
        <v>1778040486006</v>
      </c>
      <c r="B80">
        <v>0</v>
      </c>
      <c r="D80">
        <v>1778037638007</v>
      </c>
      <c r="E80">
        <v>0.2</v>
      </c>
      <c r="J80">
        <v>1778024216008</v>
      </c>
      <c r="K80">
        <v>3.7</v>
      </c>
      <c r="L80" s="6"/>
      <c r="M80">
        <v>1778118668000</v>
      </c>
      <c r="N80">
        <v>69.599999999999994</v>
      </c>
      <c r="P80">
        <v>1778115565004</v>
      </c>
      <c r="Q80">
        <v>18.8</v>
      </c>
      <c r="V80">
        <v>1778114794000</v>
      </c>
      <c r="W80">
        <v>95.9</v>
      </c>
      <c r="X80" s="6"/>
      <c r="Y80">
        <v>1779162176002</v>
      </c>
      <c r="Z80">
        <v>26.5</v>
      </c>
      <c r="AB80">
        <v>1779160040007</v>
      </c>
      <c r="AC80">
        <v>40.4</v>
      </c>
      <c r="AE80">
        <v>1779162610005</v>
      </c>
      <c r="AF80">
        <v>18.399999999999999</v>
      </c>
      <c r="AJ80" s="6"/>
      <c r="AN80">
        <v>1782257361007</v>
      </c>
      <c r="AO80">
        <v>31.4</v>
      </c>
      <c r="AT80">
        <v>1782278412006</v>
      </c>
      <c r="AU80">
        <v>0.7</v>
      </c>
      <c r="AV80" s="6"/>
      <c r="BH80" s="6"/>
      <c r="BI80">
        <v>1784171156000</v>
      </c>
      <c r="BJ80">
        <v>0</v>
      </c>
      <c r="BL80">
        <v>1784173749007</v>
      </c>
      <c r="BM80">
        <v>6.7</v>
      </c>
      <c r="BO80">
        <v>1784178100000</v>
      </c>
      <c r="BP80">
        <v>0.3</v>
      </c>
      <c r="BT80" s="6"/>
    </row>
    <row r="81" spans="1:72">
      <c r="A81">
        <v>1778040925003</v>
      </c>
      <c r="B81">
        <v>16.7</v>
      </c>
      <c r="D81">
        <v>1778038291005</v>
      </c>
      <c r="E81">
        <v>23.5</v>
      </c>
      <c r="J81">
        <v>1778024644000</v>
      </c>
      <c r="K81">
        <v>96.5</v>
      </c>
      <c r="L81" s="6"/>
      <c r="M81">
        <v>1778119196000</v>
      </c>
      <c r="N81">
        <v>92.2</v>
      </c>
      <c r="P81">
        <v>1778117964000</v>
      </c>
      <c r="Q81">
        <v>20</v>
      </c>
      <c r="V81">
        <v>1778114946006</v>
      </c>
      <c r="W81">
        <v>0.2</v>
      </c>
      <c r="X81" s="6"/>
      <c r="Y81">
        <v>1779163105006</v>
      </c>
      <c r="Z81">
        <v>58.8</v>
      </c>
      <c r="AB81">
        <v>1779162547002</v>
      </c>
      <c r="AC81">
        <v>61.2</v>
      </c>
      <c r="AE81">
        <v>1779163252009</v>
      </c>
      <c r="AF81">
        <v>59.4</v>
      </c>
      <c r="AJ81" s="6"/>
      <c r="AN81">
        <v>1782257507000</v>
      </c>
      <c r="AO81">
        <v>4.5999999999999996</v>
      </c>
      <c r="AT81">
        <v>1782279593004</v>
      </c>
      <c r="AU81">
        <v>52.2</v>
      </c>
      <c r="AV81" s="6"/>
      <c r="BH81" s="6"/>
      <c r="BI81">
        <v>1784171687009</v>
      </c>
      <c r="BJ81">
        <v>0</v>
      </c>
      <c r="BT81" s="6"/>
    </row>
    <row r="82" spans="1:72">
      <c r="A82">
        <v>1778045859001</v>
      </c>
      <c r="B82">
        <v>0.3</v>
      </c>
      <c r="D82">
        <v>1778040109003</v>
      </c>
      <c r="E82">
        <v>81.099999999999994</v>
      </c>
      <c r="J82">
        <v>1778024794000</v>
      </c>
      <c r="K82">
        <v>50.3</v>
      </c>
      <c r="L82" s="6"/>
      <c r="M82">
        <v>1778119328000</v>
      </c>
      <c r="N82">
        <v>82.2</v>
      </c>
      <c r="P82">
        <v>1778118888000</v>
      </c>
      <c r="Q82">
        <v>15.3</v>
      </c>
      <c r="V82">
        <v>1778116230000</v>
      </c>
      <c r="W82">
        <v>16.399999999999999</v>
      </c>
      <c r="X82" s="6"/>
      <c r="Y82">
        <v>1779164521005</v>
      </c>
      <c r="Z82">
        <v>0</v>
      </c>
      <c r="AB82">
        <v>1779163211006</v>
      </c>
      <c r="AC82">
        <v>21</v>
      </c>
      <c r="AE82">
        <v>1779164420005</v>
      </c>
      <c r="AF82">
        <v>20.5</v>
      </c>
      <c r="AJ82" s="6"/>
      <c r="AN82">
        <v>1782258556009</v>
      </c>
      <c r="AO82">
        <v>2.6</v>
      </c>
      <c r="AV82" s="6"/>
      <c r="BH82" s="6"/>
      <c r="BI82">
        <v>1784172344006</v>
      </c>
      <c r="BJ82">
        <v>0</v>
      </c>
      <c r="BT82" s="6"/>
    </row>
    <row r="83" spans="1:72">
      <c r="J83">
        <v>1778027196005</v>
      </c>
      <c r="K83">
        <v>0.2</v>
      </c>
      <c r="L83" s="6"/>
      <c r="M83">
        <v>1778120388005</v>
      </c>
      <c r="N83">
        <v>0</v>
      </c>
      <c r="P83">
        <v>1778119150009</v>
      </c>
      <c r="Q83">
        <v>42.7</v>
      </c>
      <c r="V83">
        <v>1778116758000</v>
      </c>
      <c r="W83">
        <v>48.9</v>
      </c>
      <c r="X83" s="6"/>
      <c r="Y83">
        <v>1779164639005</v>
      </c>
      <c r="Z83">
        <v>20.100000000000001</v>
      </c>
      <c r="AB83">
        <v>1779164234006</v>
      </c>
      <c r="AC83">
        <v>44.4</v>
      </c>
      <c r="AE83">
        <v>1779164509003</v>
      </c>
      <c r="AF83">
        <v>0.3</v>
      </c>
      <c r="AJ83" s="6"/>
      <c r="AN83">
        <v>1782259005002</v>
      </c>
      <c r="AO83">
        <v>69.5</v>
      </c>
      <c r="AV83" s="6"/>
      <c r="BH83" s="6"/>
      <c r="BI83">
        <v>1784172472008</v>
      </c>
      <c r="BJ83">
        <v>108.1</v>
      </c>
      <c r="BT83" s="6"/>
    </row>
    <row r="84" spans="1:72">
      <c r="J84">
        <v>1778027494000</v>
      </c>
      <c r="K84">
        <v>130.9</v>
      </c>
      <c r="L84" s="6"/>
      <c r="M84">
        <v>1778121704000</v>
      </c>
      <c r="N84">
        <v>34.6</v>
      </c>
      <c r="P84">
        <v>1778119284000</v>
      </c>
      <c r="Q84">
        <v>47.8</v>
      </c>
      <c r="V84">
        <v>1778118474000</v>
      </c>
      <c r="W84">
        <v>106.5</v>
      </c>
      <c r="X84" s="6"/>
      <c r="Y84">
        <v>1779167633000</v>
      </c>
      <c r="Z84">
        <v>24.3</v>
      </c>
      <c r="AB84">
        <v>1779164583000</v>
      </c>
      <c r="AC84">
        <v>0</v>
      </c>
      <c r="AE84">
        <v>1779165700000</v>
      </c>
      <c r="AF84">
        <v>3.7</v>
      </c>
      <c r="AJ84" s="6"/>
      <c r="AN84">
        <v>1782259914003</v>
      </c>
      <c r="AO84">
        <v>113.6</v>
      </c>
      <c r="AV84" s="6"/>
      <c r="BH84" s="6"/>
      <c r="BI84">
        <v>1784172997002</v>
      </c>
      <c r="BJ84">
        <v>95.4</v>
      </c>
      <c r="BT84" s="6"/>
    </row>
    <row r="85" spans="1:72">
      <c r="J85">
        <v>1778028844000</v>
      </c>
      <c r="K85">
        <v>48.7</v>
      </c>
      <c r="L85" s="6"/>
      <c r="M85">
        <v>1778123156000</v>
      </c>
      <c r="N85">
        <v>19.600000000000001</v>
      </c>
      <c r="P85">
        <v>1778119944000</v>
      </c>
      <c r="Q85">
        <v>24.2</v>
      </c>
      <c r="V85">
        <v>1778118870003</v>
      </c>
      <c r="W85">
        <v>0</v>
      </c>
      <c r="X85" s="6"/>
      <c r="AB85">
        <v>1779167682003</v>
      </c>
      <c r="AC85">
        <v>68.8</v>
      </c>
      <c r="AE85">
        <v>1779166656006</v>
      </c>
      <c r="AF85">
        <v>0.3</v>
      </c>
      <c r="AJ85" s="6"/>
      <c r="AN85">
        <v>1782262166000</v>
      </c>
      <c r="AO85">
        <v>12.1</v>
      </c>
      <c r="AV85" s="6"/>
      <c r="BH85" s="6"/>
      <c r="BI85">
        <v>1784173136000</v>
      </c>
      <c r="BJ85">
        <v>24.1</v>
      </c>
      <c r="BT85" s="6"/>
    </row>
    <row r="86" spans="1:72">
      <c r="J86">
        <v>1778032602000</v>
      </c>
      <c r="K86">
        <v>14.1</v>
      </c>
      <c r="L86" s="6"/>
      <c r="M86">
        <v>1778123552000</v>
      </c>
      <c r="N86">
        <v>36.5</v>
      </c>
      <c r="P86">
        <v>1778120736000</v>
      </c>
      <c r="Q86">
        <v>121.6</v>
      </c>
      <c r="V86">
        <v>1778119398000</v>
      </c>
      <c r="W86">
        <v>81.3</v>
      </c>
      <c r="X86" s="6"/>
      <c r="AE86">
        <v>1779166806009</v>
      </c>
      <c r="AF86">
        <v>0.3</v>
      </c>
      <c r="AJ86" s="6"/>
      <c r="AN86">
        <v>1782262466000</v>
      </c>
      <c r="AO86">
        <v>103.5</v>
      </c>
      <c r="AV86" s="6"/>
      <c r="BH86" s="6"/>
      <c r="BI86">
        <v>1784174175000</v>
      </c>
      <c r="BJ86">
        <v>65.599999999999994</v>
      </c>
      <c r="BT86" s="6"/>
    </row>
    <row r="87" spans="1:72">
      <c r="J87">
        <v>1778033790000</v>
      </c>
      <c r="K87">
        <v>29.1</v>
      </c>
      <c r="L87" s="6"/>
      <c r="M87">
        <v>1778124080000</v>
      </c>
      <c r="N87">
        <v>111.2</v>
      </c>
      <c r="P87">
        <v>1778122056000</v>
      </c>
      <c r="Q87">
        <v>78.7</v>
      </c>
      <c r="V87">
        <v>1778120982000</v>
      </c>
      <c r="W87">
        <v>42.9</v>
      </c>
      <c r="X87" s="6"/>
      <c r="AE87">
        <v>1779168063002</v>
      </c>
      <c r="AF87">
        <v>0.3</v>
      </c>
      <c r="AJ87" s="6"/>
      <c r="AN87">
        <v>1782262960004</v>
      </c>
      <c r="AO87">
        <v>159.19999999999999</v>
      </c>
      <c r="AV87" s="6"/>
      <c r="BH87" s="6"/>
      <c r="BI87">
        <v>1784174322004</v>
      </c>
      <c r="BJ87">
        <v>0</v>
      </c>
      <c r="BT87" s="6"/>
    </row>
    <row r="88" spans="1:72">
      <c r="J88">
        <v>1778035110000</v>
      </c>
      <c r="K88">
        <v>69.900000000000006</v>
      </c>
      <c r="L88" s="6"/>
      <c r="M88">
        <v>1778126053006</v>
      </c>
      <c r="N88">
        <v>0</v>
      </c>
      <c r="P88">
        <v>1778122318009</v>
      </c>
      <c r="Q88">
        <v>69.599999999999994</v>
      </c>
      <c r="V88">
        <v>1778121378000</v>
      </c>
      <c r="W88">
        <v>60.9</v>
      </c>
      <c r="X88" s="6"/>
      <c r="AE88">
        <v>1779168063003</v>
      </c>
      <c r="AF88">
        <v>0</v>
      </c>
      <c r="AJ88" s="6"/>
      <c r="AN88">
        <v>1782263185009</v>
      </c>
      <c r="AO88">
        <v>5.3</v>
      </c>
      <c r="AV88" s="6"/>
      <c r="BH88" s="6"/>
      <c r="BI88">
        <v>1784176387003</v>
      </c>
      <c r="BJ88">
        <v>0</v>
      </c>
      <c r="BT88" s="6"/>
    </row>
    <row r="89" spans="1:72">
      <c r="J89">
        <v>1778036166000</v>
      </c>
      <c r="K89">
        <v>13.4</v>
      </c>
      <c r="L89" s="6"/>
      <c r="M89">
        <v>1778126183007</v>
      </c>
      <c r="N89">
        <v>20.5</v>
      </c>
      <c r="P89">
        <v>1778122980000</v>
      </c>
      <c r="Q89">
        <v>31.2</v>
      </c>
      <c r="V89">
        <v>1778121510000</v>
      </c>
      <c r="W89">
        <v>19.100000000000001</v>
      </c>
      <c r="X89" s="6"/>
      <c r="AJ89" s="6"/>
      <c r="AN89">
        <v>1782263579009</v>
      </c>
      <c r="AO89">
        <v>0.2</v>
      </c>
      <c r="AV89" s="6"/>
      <c r="BH89" s="6"/>
      <c r="BI89">
        <v>1784176709005</v>
      </c>
      <c r="BJ89">
        <v>39.799999999999997</v>
      </c>
      <c r="BT89" s="6"/>
    </row>
    <row r="90" spans="1:72">
      <c r="J90">
        <v>1778036694000</v>
      </c>
      <c r="K90">
        <v>42.5</v>
      </c>
      <c r="L90" s="6"/>
      <c r="M90">
        <v>1778129953007</v>
      </c>
      <c r="N90">
        <v>25</v>
      </c>
      <c r="P90">
        <v>1778123376000</v>
      </c>
      <c r="Q90">
        <v>45</v>
      </c>
      <c r="V90">
        <v>1778124414000</v>
      </c>
      <c r="W90">
        <v>74.099999999999994</v>
      </c>
      <c r="X90" s="6"/>
      <c r="AJ90" s="6"/>
      <c r="AN90">
        <v>1782263844000</v>
      </c>
      <c r="AO90">
        <v>27.7</v>
      </c>
      <c r="AV90" s="6"/>
      <c r="BH90" s="6"/>
      <c r="BT90" s="6"/>
    </row>
    <row r="91" spans="1:72">
      <c r="J91">
        <v>1778037618000</v>
      </c>
      <c r="K91">
        <v>41.8</v>
      </c>
      <c r="L91" s="6"/>
      <c r="P91">
        <v>1778123640000</v>
      </c>
      <c r="Q91">
        <v>8.6999999999999993</v>
      </c>
      <c r="V91">
        <v>1778125866000</v>
      </c>
      <c r="W91">
        <v>84.4</v>
      </c>
      <c r="X91" s="6"/>
      <c r="AJ91" s="6"/>
      <c r="AN91">
        <v>1782264636000</v>
      </c>
      <c r="AO91">
        <v>32.1</v>
      </c>
      <c r="AV91" s="6"/>
      <c r="BH91" s="6"/>
      <c r="BT91" s="6"/>
    </row>
    <row r="92" spans="1:72">
      <c r="J92">
        <v>1778037750000</v>
      </c>
      <c r="K92">
        <v>28.6</v>
      </c>
      <c r="L92" s="6"/>
      <c r="P92">
        <v>1778124033006</v>
      </c>
      <c r="Q92">
        <v>42</v>
      </c>
      <c r="V92">
        <v>1778126262000</v>
      </c>
      <c r="W92">
        <v>56</v>
      </c>
      <c r="X92" s="6"/>
      <c r="AJ92" s="6"/>
      <c r="AN92">
        <v>1782264895009</v>
      </c>
      <c r="AO92">
        <v>27.6</v>
      </c>
      <c r="AV92" s="6"/>
      <c r="BH92" s="6"/>
      <c r="BT92" s="6"/>
    </row>
    <row r="93" spans="1:72">
      <c r="J93">
        <v>1778038278000</v>
      </c>
      <c r="K93">
        <v>79.2</v>
      </c>
      <c r="L93" s="6"/>
      <c r="P93">
        <v>1778125087002</v>
      </c>
      <c r="Q93">
        <v>0.2</v>
      </c>
      <c r="V93">
        <v>1778126840008</v>
      </c>
      <c r="W93">
        <v>10</v>
      </c>
      <c r="X93" s="6"/>
      <c r="AJ93" s="6"/>
      <c r="AN93">
        <v>1782265031002</v>
      </c>
      <c r="AO93">
        <v>57</v>
      </c>
      <c r="AV93" s="6"/>
      <c r="BH93" s="6"/>
      <c r="BT93" s="6"/>
    </row>
    <row r="94" spans="1:72">
      <c r="J94">
        <v>1778039994000</v>
      </c>
      <c r="K94">
        <v>32.5</v>
      </c>
      <c r="L94" s="6"/>
      <c r="P94">
        <v>1778125488000</v>
      </c>
      <c r="Q94">
        <v>37.5</v>
      </c>
      <c r="V94">
        <v>1778129897006</v>
      </c>
      <c r="W94">
        <v>51.2</v>
      </c>
      <c r="X94" s="6"/>
      <c r="AJ94" s="6"/>
      <c r="AN94">
        <v>1782265820002</v>
      </c>
      <c r="AO94">
        <v>0</v>
      </c>
      <c r="AV94" s="6"/>
      <c r="BH94" s="6"/>
      <c r="BT94" s="6"/>
    </row>
    <row r="95" spans="1:72">
      <c r="J95">
        <v>1778040428001</v>
      </c>
      <c r="K95">
        <v>73.400000000000006</v>
      </c>
      <c r="L95" s="6"/>
      <c r="P95">
        <v>1778126012005</v>
      </c>
      <c r="Q95">
        <v>0</v>
      </c>
      <c r="X95" s="6"/>
      <c r="AJ95" s="6"/>
      <c r="AN95">
        <v>1782266219000</v>
      </c>
      <c r="AO95">
        <v>109.3</v>
      </c>
      <c r="AV95" s="6"/>
      <c r="BH95" s="6"/>
      <c r="BT95" s="6"/>
    </row>
    <row r="96" spans="1:72">
      <c r="J96">
        <v>1778042189006</v>
      </c>
      <c r="K96">
        <v>0</v>
      </c>
      <c r="L96" s="6"/>
      <c r="P96">
        <v>1778128229009</v>
      </c>
      <c r="Q96">
        <v>68.5</v>
      </c>
      <c r="X96" s="6"/>
      <c r="AJ96" s="6"/>
      <c r="AN96">
        <v>1782266352000</v>
      </c>
      <c r="AO96">
        <v>24.8</v>
      </c>
      <c r="AV96" s="6"/>
      <c r="BH96" s="6"/>
      <c r="BT96" s="6"/>
    </row>
    <row r="97" spans="10:72">
      <c r="J97">
        <v>1778045215005</v>
      </c>
      <c r="K97">
        <v>12.5</v>
      </c>
      <c r="L97" s="6"/>
      <c r="P97">
        <v>1778130486009</v>
      </c>
      <c r="Q97">
        <v>5.6</v>
      </c>
      <c r="X97" s="6"/>
      <c r="AJ97" s="6"/>
      <c r="AN97">
        <v>1782269520000</v>
      </c>
      <c r="AO97">
        <v>33</v>
      </c>
      <c r="AV97" s="6"/>
      <c r="BH97" s="6"/>
      <c r="BT97" s="6"/>
    </row>
    <row r="98" spans="10:72">
      <c r="L98" s="6"/>
      <c r="P98">
        <v>1778131062008</v>
      </c>
      <c r="Q98">
        <v>47.4</v>
      </c>
      <c r="X98" s="6"/>
      <c r="AJ98" s="6"/>
      <c r="AN98">
        <v>1782270162000</v>
      </c>
      <c r="AO98">
        <v>26.1</v>
      </c>
      <c r="AV98" s="6"/>
      <c r="BH98" s="6"/>
      <c r="BT98" s="6"/>
    </row>
    <row r="99" spans="10:72">
      <c r="L99" s="6"/>
      <c r="P99">
        <v>1778132206002</v>
      </c>
      <c r="Q99">
        <v>29</v>
      </c>
      <c r="X99" s="6"/>
      <c r="AJ99" s="6"/>
      <c r="AN99">
        <v>1782271231002</v>
      </c>
      <c r="AO99">
        <v>40.1</v>
      </c>
      <c r="AV99" s="6"/>
      <c r="BH99" s="6"/>
      <c r="BT99" s="6"/>
    </row>
    <row r="100" spans="10:72">
      <c r="L100" s="6"/>
      <c r="X100" s="6"/>
      <c r="AJ100" s="6"/>
      <c r="AN100">
        <v>1782271365008</v>
      </c>
      <c r="AO100">
        <v>31.3</v>
      </c>
      <c r="AV100" s="6"/>
      <c r="BH100" s="6"/>
      <c r="BT100" s="6"/>
    </row>
    <row r="101" spans="10:72">
      <c r="L101" s="6"/>
      <c r="X101" s="6"/>
      <c r="AJ101" s="6"/>
      <c r="AN101">
        <v>1782272819007</v>
      </c>
      <c r="AO101">
        <v>51.8</v>
      </c>
      <c r="AV101" s="6"/>
      <c r="BH101" s="6"/>
      <c r="BT101" s="6"/>
    </row>
    <row r="102" spans="10:72">
      <c r="L102" s="6"/>
      <c r="X102" s="6"/>
      <c r="AJ102" s="6"/>
      <c r="AN102">
        <v>1782273198000</v>
      </c>
      <c r="AO102">
        <v>73</v>
      </c>
      <c r="AV102" s="6"/>
      <c r="BH102" s="6"/>
      <c r="BT102" s="6"/>
    </row>
    <row r="103" spans="10:72">
      <c r="L103" s="6"/>
      <c r="X103" s="6"/>
      <c r="AJ103" s="6"/>
      <c r="AN103">
        <v>1782273479009</v>
      </c>
      <c r="AO103">
        <v>29</v>
      </c>
      <c r="AV103" s="6"/>
      <c r="BH103" s="6"/>
      <c r="BT103" s="6"/>
    </row>
    <row r="104" spans="10:72">
      <c r="L104" s="6"/>
      <c r="X104" s="6"/>
      <c r="AJ104" s="6"/>
      <c r="AN104">
        <v>1782274436002</v>
      </c>
      <c r="AO104">
        <v>9.6</v>
      </c>
      <c r="AV104" s="6"/>
      <c r="BH104" s="6"/>
      <c r="BT104" s="6"/>
    </row>
    <row r="105" spans="10:72">
      <c r="L105" s="6"/>
      <c r="X105" s="6"/>
      <c r="AJ105" s="6"/>
      <c r="AV105" s="6"/>
      <c r="BH105" s="6"/>
      <c r="BT105" s="6"/>
    </row>
    <row r="106" spans="10:72">
      <c r="L106" s="6"/>
      <c r="X106" s="6"/>
      <c r="AJ106" s="6"/>
      <c r="AV106" s="6"/>
      <c r="BH106" s="6"/>
      <c r="BT106" s="6"/>
    </row>
    <row r="107" spans="10:72">
      <c r="L107" s="6"/>
      <c r="X107" s="6"/>
      <c r="AJ107" s="6"/>
      <c r="AV107" s="6"/>
      <c r="BH107" s="6"/>
      <c r="BT107" s="6"/>
    </row>
    <row r="108" spans="10:72">
      <c r="L108" s="6"/>
      <c r="X108" s="6"/>
      <c r="AJ108" s="6"/>
      <c r="AV108" s="6"/>
      <c r="BH108" s="6"/>
      <c r="BT108" s="6"/>
    </row>
    <row r="109" spans="10:72">
      <c r="L109" s="6"/>
      <c r="X109" s="6"/>
      <c r="AJ109" s="6"/>
      <c r="AV109" s="6"/>
      <c r="BH109" s="6"/>
      <c r="BT109" s="6"/>
    </row>
    <row r="110" spans="10:72">
      <c r="L110" s="6"/>
      <c r="X110" s="6"/>
      <c r="AJ110" s="6"/>
      <c r="AV110" s="6"/>
      <c r="BH110" s="6"/>
      <c r="BT110" s="6"/>
    </row>
    <row r="111" spans="10:72">
      <c r="L111" s="6"/>
      <c r="X111" s="6"/>
      <c r="AJ111" s="6"/>
      <c r="AV111" s="6"/>
      <c r="BH111" s="6"/>
      <c r="BT111" s="6"/>
    </row>
    <row r="112" spans="10:72">
      <c r="L112" s="6"/>
      <c r="X112" s="6"/>
      <c r="AJ112" s="6"/>
      <c r="AV112" s="6"/>
      <c r="BH112" s="6"/>
      <c r="BT112" s="6"/>
    </row>
    <row r="113" spans="12:72">
      <c r="L113" s="6"/>
      <c r="X113" s="6"/>
      <c r="AJ113" s="6"/>
      <c r="AV113" s="6"/>
      <c r="BH113" s="6"/>
      <c r="BT113" s="6"/>
    </row>
    <row r="114" spans="12:72">
      <c r="L114" s="6"/>
      <c r="X114" s="6"/>
      <c r="AJ114" s="6"/>
      <c r="AV114" s="6"/>
      <c r="BH114" s="6"/>
      <c r="BT114" s="6"/>
    </row>
    <row r="115" spans="12:72">
      <c r="L115" s="6"/>
      <c r="X115" s="6"/>
      <c r="AJ115" s="6"/>
      <c r="AV115" s="6"/>
      <c r="BH115" s="6"/>
      <c r="BT115" s="6"/>
    </row>
    <row r="116" spans="12:72">
      <c r="L116" s="6"/>
      <c r="X116" s="6"/>
      <c r="AJ116" s="6"/>
      <c r="AV116" s="6"/>
      <c r="BH116" s="6"/>
      <c r="BT116" s="6"/>
    </row>
    <row r="117" spans="12:72">
      <c r="L117" s="6"/>
      <c r="X117" s="6"/>
      <c r="AJ117" s="6"/>
      <c r="AV117" s="6"/>
      <c r="BH117" s="6"/>
      <c r="BT117" s="6"/>
    </row>
    <row r="118" spans="12:72">
      <c r="L118" s="6"/>
      <c r="X118" s="6"/>
      <c r="AJ118" s="6"/>
      <c r="AV118" s="6"/>
      <c r="BH118" s="6"/>
      <c r="BT118" s="6"/>
    </row>
  </sheetData>
  <hyperlinks>
    <hyperlink ref="A2" r:id="rId1" display="https://atspm.udot.utah.gov/performance-measures" xr:uid="{D7A4CB87-C3AD-4012-9551-0ADCF3508AD1}"/>
    <hyperlink ref="M2" r:id="rId2" display="https://atspm.udot.utah.gov/performance-measures" xr:uid="{91A302CB-71E2-42FC-AA98-6405CFCA2DCB}"/>
    <hyperlink ref="Y2" r:id="rId3" display="https://atspm.udot.utah.gov/performance-measures" xr:uid="{B51E5496-4B53-4EEC-B814-680CA05C2C05}"/>
    <hyperlink ref="AK2" r:id="rId4" display="https://atspm.udot.utah.gov/performance-measures" xr:uid="{CE96E6A0-6FAB-4F46-A036-206625DAEBE9}"/>
    <hyperlink ref="AW2" r:id="rId5" display="https://atspm.udot.utah.gov/performance-measures" xr:uid="{707BF910-4E7A-4AAC-B3DB-AD80D4876DA9}"/>
    <hyperlink ref="BI2" r:id="rId6" display="https://atspm.udot.utah.gov/performance-measures" xr:uid="{B1B2FD8F-BFF1-4CE5-9DD2-4D86B7FFB40B}"/>
  </hyperlinks>
  <pageMargins left="0.7" right="0.7" top="0.75" bottom="0.75" header="0.3" footer="0.3"/>
  <pageSetup orientation="portrait" horizontalDpi="0" verticalDpi="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DC80-796F-4CFF-9842-2E20F5723446}">
  <dimension ref="A1:EN122"/>
  <sheetViews>
    <sheetView workbookViewId="0">
      <selection activeCell="A4" sqref="A4:XFD4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73</v>
      </c>
      <c r="X1" s="6"/>
      <c r="Y1" s="1" t="s">
        <v>74</v>
      </c>
      <c r="AV1" s="6"/>
      <c r="AW1" s="1" t="s">
        <v>75</v>
      </c>
      <c r="BT1" s="6"/>
      <c r="BU1" s="1" t="s">
        <v>76</v>
      </c>
      <c r="CR1" s="6"/>
      <c r="CS1" s="1" t="s">
        <v>77</v>
      </c>
      <c r="DP1" s="6"/>
      <c r="DQ1" s="1" t="s">
        <v>78</v>
      </c>
      <c r="EN1" s="6"/>
    </row>
    <row r="2" spans="1:144">
      <c r="A2" s="2" t="s">
        <v>79</v>
      </c>
      <c r="X2" s="6"/>
      <c r="Y2" s="2" t="s">
        <v>79</v>
      </c>
      <c r="AV2" s="6"/>
      <c r="AW2" s="2" t="s">
        <v>79</v>
      </c>
      <c r="BT2" s="6"/>
      <c r="BU2" s="2" t="s">
        <v>79</v>
      </c>
      <c r="CR2" s="6"/>
      <c r="CS2" s="2" t="s">
        <v>79</v>
      </c>
      <c r="DP2" s="6"/>
      <c r="DQ2" s="2" t="s">
        <v>79</v>
      </c>
      <c r="EN2" s="6"/>
    </row>
    <row r="3" spans="1:144">
      <c r="A3" t="s">
        <v>48</v>
      </c>
      <c r="X3" s="6"/>
      <c r="Y3" t="s">
        <v>48</v>
      </c>
      <c r="AV3" s="6"/>
      <c r="AW3" t="s">
        <v>48</v>
      </c>
      <c r="BT3" s="6"/>
      <c r="BU3" t="s">
        <v>48</v>
      </c>
      <c r="CR3" s="6"/>
      <c r="CS3" t="s">
        <v>48</v>
      </c>
      <c r="DP3" s="6"/>
      <c r="DQ3" t="s">
        <v>48</v>
      </c>
      <c r="EN3" s="6"/>
    </row>
    <row r="4" spans="1:144">
      <c r="A4" t="s">
        <v>81</v>
      </c>
      <c r="X4" s="6"/>
      <c r="Y4" t="s">
        <v>81</v>
      </c>
      <c r="AV4" s="6"/>
      <c r="AW4" t="s">
        <v>81</v>
      </c>
      <c r="BT4" s="6"/>
      <c r="BU4" t="s">
        <v>81</v>
      </c>
      <c r="CR4" s="6"/>
      <c r="CS4" t="s">
        <v>81</v>
      </c>
      <c r="DP4" s="6"/>
      <c r="DQ4" t="s">
        <v>81</v>
      </c>
      <c r="EN4" s="6"/>
    </row>
    <row r="5" spans="1:144">
      <c r="A5" s="5" t="s">
        <v>97</v>
      </c>
      <c r="X5" s="6"/>
      <c r="Y5" s="5" t="s">
        <v>98</v>
      </c>
      <c r="AV5" s="6"/>
      <c r="AW5" s="5" t="s">
        <v>99</v>
      </c>
      <c r="BT5" s="6"/>
      <c r="BU5" s="5" t="s">
        <v>100</v>
      </c>
      <c r="CR5" s="6"/>
      <c r="CS5" s="5" t="s">
        <v>101</v>
      </c>
      <c r="DP5" s="6"/>
      <c r="DQ5" s="5" t="s">
        <v>102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104</v>
      </c>
      <c r="X7" s="6"/>
      <c r="Y7" s="3" t="s">
        <v>104</v>
      </c>
      <c r="AV7" s="6"/>
      <c r="AW7" s="3" t="s">
        <v>104</v>
      </c>
      <c r="BT7" s="6"/>
      <c r="BU7" s="3" t="s">
        <v>104</v>
      </c>
      <c r="CR7" s="6"/>
      <c r="CS7" s="3" t="s">
        <v>104</v>
      </c>
      <c r="DP7" s="6"/>
      <c r="DQ7" s="3" t="s">
        <v>104</v>
      </c>
      <c r="EN7" s="6"/>
    </row>
    <row r="8" spans="1:144">
      <c r="A8" t="s">
        <v>50</v>
      </c>
      <c r="C8" s="9">
        <f>AVERAGE(B:B,E:E,H:H,K:K,,N:N,Q:Q,T:T,W:W)</f>
        <v>61.390597014925319</v>
      </c>
      <c r="D8" t="s">
        <v>6</v>
      </c>
      <c r="X8" s="6"/>
      <c r="Y8" t="s">
        <v>50</v>
      </c>
      <c r="AA8" s="9">
        <f>AVERAGE(Z:Z,AC:AC,AF:AF,AI:AI,AL:AL,AO:AO,AR:AR,AU:AU)</f>
        <v>62.540080862533706</v>
      </c>
      <c r="AB8" t="s">
        <v>6</v>
      </c>
      <c r="AV8" s="6"/>
      <c r="AW8" t="s">
        <v>50</v>
      </c>
      <c r="AY8" s="9">
        <f>AVERAGE(AX:AX,BA:BA,BD:BD,BG:BG,BJ:BJ,BM:BM,BP:BP,BS:BS)</f>
        <v>62.391349095966596</v>
      </c>
      <c r="AZ8" t="s">
        <v>6</v>
      </c>
      <c r="BT8" s="6"/>
      <c r="BU8" t="s">
        <v>50</v>
      </c>
      <c r="BW8" s="9">
        <f>AVERAGE(BV:BV,BY:BY,CB:CB,CE:CE,CH:CH,CK:CK,CN:CN,CQ:CQ)</f>
        <v>60.821689373296977</v>
      </c>
      <c r="BX8" t="s">
        <v>6</v>
      </c>
      <c r="CR8" s="6"/>
      <c r="CS8" t="s">
        <v>50</v>
      </c>
      <c r="CU8" s="9">
        <f>AVERAGE(CT:CT,CW:CW,CZ:CZ,DC:DC,DF:DF,DI:DI,DL:DL,DO:DO)</f>
        <v>60.462834008097133</v>
      </c>
      <c r="CV8" t="s">
        <v>6</v>
      </c>
      <c r="DP8" s="6"/>
      <c r="DQ8" t="s">
        <v>50</v>
      </c>
      <c r="DR8" s="9"/>
      <c r="DS8" s="9">
        <f>AVERAGE(DR:DR,DU:DU,DX:DX,EA:EA,ED:ED,EG:EG,EJ:EJ,EM:EM)</f>
        <v>61.392080536912772</v>
      </c>
      <c r="DT8" t="s">
        <v>6</v>
      </c>
      <c r="EN8" s="6"/>
    </row>
    <row r="9" spans="1:144">
      <c r="A9" t="s">
        <v>51</v>
      </c>
      <c r="C9" s="9">
        <f>AVERAGE(B:B)</f>
        <v>69.080568181818208</v>
      </c>
      <c r="D9" t="s">
        <v>6</v>
      </c>
      <c r="X9" s="6"/>
      <c r="Y9" t="s">
        <v>51</v>
      </c>
      <c r="AA9" s="9">
        <f>AVERAGE(Z:Z)</f>
        <v>70.691648351648325</v>
      </c>
      <c r="AB9" t="s">
        <v>6</v>
      </c>
      <c r="AV9" s="6"/>
      <c r="AW9" t="s">
        <v>51</v>
      </c>
      <c r="AY9" s="9">
        <f>AVERAGE(AX:AX)</f>
        <v>75.883647058823541</v>
      </c>
      <c r="AZ9" t="s">
        <v>6</v>
      </c>
      <c r="BT9" s="6"/>
      <c r="BU9" t="s">
        <v>51</v>
      </c>
      <c r="BW9" s="9">
        <f>AVERAGE(BV:BV)</f>
        <v>69.796292134831447</v>
      </c>
      <c r="BX9" t="s">
        <v>6</v>
      </c>
      <c r="CR9" s="6"/>
      <c r="CS9" t="s">
        <v>51</v>
      </c>
      <c r="CU9" s="9">
        <f>AVERAGE(CT:CT)</f>
        <v>67.655714285714311</v>
      </c>
      <c r="CV9" t="s">
        <v>6</v>
      </c>
      <c r="DP9" s="6"/>
      <c r="DQ9" t="s">
        <v>51</v>
      </c>
      <c r="DR9" s="4"/>
      <c r="DS9" s="9">
        <f>AVERAGE(DR:DR)</f>
        <v>66.243118279569899</v>
      </c>
      <c r="DT9" t="s">
        <v>6</v>
      </c>
      <c r="EN9" s="6"/>
    </row>
    <row r="10" spans="1:144">
      <c r="A10" t="s">
        <v>4</v>
      </c>
      <c r="C10" s="9">
        <f>AVERAGE(E:E)</f>
        <v>49.439565217391319</v>
      </c>
      <c r="D10" t="s">
        <v>6</v>
      </c>
      <c r="X10" s="6"/>
      <c r="Y10" t="s">
        <v>4</v>
      </c>
      <c r="AA10" s="9">
        <f>AVERAGE(AC:AC)</f>
        <v>51.169687500000009</v>
      </c>
      <c r="AB10" t="s">
        <v>6</v>
      </c>
      <c r="AV10" s="6"/>
      <c r="AW10" t="s">
        <v>4</v>
      </c>
      <c r="AY10" s="9">
        <f>AVERAGE(BA:BA)</f>
        <v>49.344777777777786</v>
      </c>
      <c r="AZ10" t="s">
        <v>6</v>
      </c>
      <c r="BT10" s="6"/>
      <c r="BU10" t="s">
        <v>4</v>
      </c>
      <c r="BW10" s="9">
        <f>AVERAGE(BY:BY)</f>
        <v>49.681413043478244</v>
      </c>
      <c r="BX10" t="s">
        <v>6</v>
      </c>
      <c r="CR10" s="6"/>
      <c r="CS10" t="s">
        <v>4</v>
      </c>
      <c r="CU10" s="9">
        <f>AVERAGE(CW:CW)</f>
        <v>50.89133333333335</v>
      </c>
      <c r="CV10" t="s">
        <v>6</v>
      </c>
      <c r="DP10" s="6"/>
      <c r="DQ10" t="s">
        <v>4</v>
      </c>
      <c r="DR10" s="9"/>
      <c r="DS10" s="9">
        <f>AVERAGE(DU:DU)</f>
        <v>51.719120879120894</v>
      </c>
      <c r="DT10" t="s">
        <v>6</v>
      </c>
      <c r="EN10" s="6"/>
    </row>
    <row r="11" spans="1:144">
      <c r="A11" t="s">
        <v>52</v>
      </c>
      <c r="C11" s="9">
        <f>AVERAGE(H:H)</f>
        <v>65.586744186046516</v>
      </c>
      <c r="D11" t="s">
        <v>6</v>
      </c>
      <c r="X11" s="6"/>
      <c r="Y11" t="s">
        <v>52</v>
      </c>
      <c r="AA11" s="9">
        <f>AVERAGE(AF:AF)</f>
        <v>65.161686746987925</v>
      </c>
      <c r="AB11" t="s">
        <v>6</v>
      </c>
      <c r="AV11" s="6"/>
      <c r="AW11" t="s">
        <v>52</v>
      </c>
      <c r="AY11" s="9">
        <f>AVERAGE(BD:BD)</f>
        <v>60.652874999999995</v>
      </c>
      <c r="AZ11" t="s">
        <v>6</v>
      </c>
      <c r="BT11" s="6"/>
      <c r="BU11" t="s">
        <v>52</v>
      </c>
      <c r="BW11" s="9">
        <f>AVERAGE(CB:CB)</f>
        <v>60.359999999999978</v>
      </c>
      <c r="BX11" t="s">
        <v>6</v>
      </c>
      <c r="CR11" s="6"/>
      <c r="CS11" t="s">
        <v>52</v>
      </c>
      <c r="CU11" s="9">
        <f>AVERAGE(CZ:CZ)</f>
        <v>64.997529411764702</v>
      </c>
      <c r="CV11" t="s">
        <v>6</v>
      </c>
      <c r="DP11" s="6"/>
      <c r="DQ11" t="s">
        <v>52</v>
      </c>
      <c r="DR11" s="9"/>
      <c r="DS11" s="9">
        <f>AVERAGE(DX:DX)</f>
        <v>68.039647058823533</v>
      </c>
      <c r="DT11" t="s">
        <v>6</v>
      </c>
      <c r="EN11" s="6"/>
    </row>
    <row r="12" spans="1:144">
      <c r="A12" t="s">
        <v>53</v>
      </c>
      <c r="C12" s="9">
        <f>AVERAGE(K:K)</f>
        <v>53.478421052631589</v>
      </c>
      <c r="D12" t="s">
        <v>6</v>
      </c>
      <c r="X12" s="6"/>
      <c r="Y12" t="s">
        <v>53</v>
      </c>
      <c r="AA12" s="9">
        <f>AVERAGE(AI:AI)</f>
        <v>52.914574468085135</v>
      </c>
      <c r="AB12" t="s">
        <v>6</v>
      </c>
      <c r="AV12" s="6"/>
      <c r="AW12" t="s">
        <v>53</v>
      </c>
      <c r="AY12" s="9">
        <f>AVERAGE(BG:BG)</f>
        <v>54.167934782608697</v>
      </c>
      <c r="AZ12" t="s">
        <v>6</v>
      </c>
      <c r="BT12" s="6"/>
      <c r="BU12" t="s">
        <v>53</v>
      </c>
      <c r="BW12" s="9">
        <f>AVERAGE(CE:CE)</f>
        <v>50.739782608695656</v>
      </c>
      <c r="BX12" t="s">
        <v>6</v>
      </c>
      <c r="CR12" s="6"/>
      <c r="CS12" t="s">
        <v>53</v>
      </c>
      <c r="CU12" s="9">
        <f>AVERAGE(DC:DC)</f>
        <v>53.870526315789462</v>
      </c>
      <c r="CV12" t="s">
        <v>6</v>
      </c>
      <c r="DP12" s="6"/>
      <c r="DQ12" t="s">
        <v>53</v>
      </c>
      <c r="DR12" s="9"/>
      <c r="DS12" s="9">
        <f>AVERAGE(EA:EA)</f>
        <v>50.963437499999998</v>
      </c>
      <c r="DT12" t="s">
        <v>6</v>
      </c>
      <c r="EN12" s="6"/>
    </row>
    <row r="13" spans="1:144">
      <c r="A13" t="s">
        <v>54</v>
      </c>
      <c r="C13" s="9">
        <f>AVERAGE(N:N)</f>
        <v>71.480208333333323</v>
      </c>
      <c r="D13" t="s">
        <v>6</v>
      </c>
      <c r="X13" s="6"/>
      <c r="Y13" t="s">
        <v>54</v>
      </c>
      <c r="AA13" s="9">
        <f>AVERAGE(AL:AL)</f>
        <v>72.980833333333322</v>
      </c>
      <c r="AB13" t="s">
        <v>6</v>
      </c>
      <c r="AV13" s="6"/>
      <c r="AW13" t="s">
        <v>54</v>
      </c>
      <c r="AY13" s="9">
        <f>AVERAGE(BJ:BJ)</f>
        <v>72.983763440860201</v>
      </c>
      <c r="AZ13" t="s">
        <v>6</v>
      </c>
      <c r="BT13" s="6"/>
      <c r="BU13" t="s">
        <v>54</v>
      </c>
      <c r="BW13" s="9">
        <f>AVERAGE(CH:CH)</f>
        <v>71.72712765957445</v>
      </c>
      <c r="BX13" t="s">
        <v>6</v>
      </c>
      <c r="CR13" s="6"/>
      <c r="CS13" t="s">
        <v>54</v>
      </c>
      <c r="CU13" s="9">
        <f>AVERAGE(DF:DF)</f>
        <v>70.783645833333367</v>
      </c>
      <c r="CV13" t="s">
        <v>6</v>
      </c>
      <c r="DP13" s="6"/>
      <c r="DQ13" t="s">
        <v>54</v>
      </c>
      <c r="DR13" s="9"/>
      <c r="DS13" s="9">
        <f>AVERAGE(ED:ED)</f>
        <v>72.873052631578929</v>
      </c>
      <c r="DT13" t="s">
        <v>6</v>
      </c>
      <c r="EN13" s="6"/>
    </row>
    <row r="14" spans="1:144">
      <c r="A14" t="s">
        <v>5</v>
      </c>
      <c r="C14" s="9">
        <f>AVERAGE(Q:Q)</f>
        <v>56.549157894736815</v>
      </c>
      <c r="D14" t="s">
        <v>6</v>
      </c>
      <c r="X14" s="6"/>
      <c r="Y14" t="s">
        <v>5</v>
      </c>
      <c r="AA14" s="9">
        <f>AVERAGE(AO:AO)</f>
        <v>56.353333333333318</v>
      </c>
      <c r="AB14" t="s">
        <v>6</v>
      </c>
      <c r="AV14" s="6"/>
      <c r="AW14" t="s">
        <v>5</v>
      </c>
      <c r="AY14" s="9">
        <f>AVERAGE(BM:BM)</f>
        <v>56.605263157894726</v>
      </c>
      <c r="AZ14" t="s">
        <v>6</v>
      </c>
      <c r="BT14" s="6"/>
      <c r="BU14" t="s">
        <v>5</v>
      </c>
      <c r="BW14" s="9">
        <f>AVERAGE(CK:CK)</f>
        <v>57.418631578947384</v>
      </c>
      <c r="BX14" t="s">
        <v>6</v>
      </c>
      <c r="CR14" s="6"/>
      <c r="CS14" t="s">
        <v>5</v>
      </c>
      <c r="CU14" s="9">
        <f>AVERAGE(DI:DI)</f>
        <v>56.771894736842107</v>
      </c>
      <c r="CV14" t="s">
        <v>6</v>
      </c>
      <c r="DP14" s="6"/>
      <c r="DQ14" t="s">
        <v>5</v>
      </c>
      <c r="DR14" s="9"/>
      <c r="DS14" s="9">
        <f>AVERAGE(EG:EG)</f>
        <v>59.309479166666677</v>
      </c>
      <c r="DT14" t="s">
        <v>6</v>
      </c>
      <c r="EN14" s="6"/>
    </row>
    <row r="15" spans="1:144">
      <c r="A15" t="s">
        <v>55</v>
      </c>
      <c r="C15" s="9">
        <f>AVERAGE(T:T)</f>
        <v>63.620109890109866</v>
      </c>
      <c r="D15" t="s">
        <v>6</v>
      </c>
      <c r="X15" s="6"/>
      <c r="Y15" t="s">
        <v>55</v>
      </c>
      <c r="AA15" s="9">
        <f>AVERAGE(AR:AR)</f>
        <v>68.269239130434784</v>
      </c>
      <c r="AB15" t="s">
        <v>6</v>
      </c>
      <c r="AV15" s="6"/>
      <c r="AW15" t="s">
        <v>55</v>
      </c>
      <c r="AY15" s="9">
        <f>AVERAGE(BP:BP)</f>
        <v>66.607802197802229</v>
      </c>
      <c r="AZ15" t="s">
        <v>6</v>
      </c>
      <c r="BT15" s="6"/>
      <c r="BU15" t="s">
        <v>55</v>
      </c>
      <c r="BW15" s="9">
        <f>AVERAGE(CN:CN)</f>
        <v>64.789784946236551</v>
      </c>
      <c r="BX15" t="s">
        <v>6</v>
      </c>
      <c r="CR15" s="6"/>
      <c r="CS15" t="s">
        <v>55</v>
      </c>
      <c r="CU15" s="9">
        <f>AVERAGE(DL:DL)</f>
        <v>56.470624999999991</v>
      </c>
      <c r="CV15" t="s">
        <v>6</v>
      </c>
      <c r="DP15" s="6"/>
      <c r="DQ15" t="s">
        <v>55</v>
      </c>
      <c r="DR15" s="9"/>
      <c r="DS15" s="9">
        <f>AVERAGE(EJ:EJ)</f>
        <v>59.440744680851068</v>
      </c>
      <c r="DT15" t="s">
        <v>6</v>
      </c>
      <c r="EN15" s="6"/>
    </row>
    <row r="16" spans="1:144">
      <c r="A16" t="s">
        <v>56</v>
      </c>
      <c r="C16" s="9">
        <f>AVERAGE(W:W)</f>
        <v>63.147634408602165</v>
      </c>
      <c r="D16" t="s">
        <v>6</v>
      </c>
      <c r="X16" s="6"/>
      <c r="Y16" t="s">
        <v>56</v>
      </c>
      <c r="AA16" s="9">
        <f>AVERAGE(AU:AU)</f>
        <v>63.619893617021262</v>
      </c>
      <c r="AB16" t="s">
        <v>6</v>
      </c>
      <c r="AV16" s="6"/>
      <c r="AW16" t="s">
        <v>56</v>
      </c>
      <c r="AY16" s="9">
        <f>AVERAGE(BS:BS)</f>
        <v>63.508172043010752</v>
      </c>
      <c r="AZ16" t="s">
        <v>6</v>
      </c>
      <c r="BT16" s="6"/>
      <c r="BU16" t="s">
        <v>56</v>
      </c>
      <c r="BW16" s="9">
        <f>AVERAGE(CQ:CQ)</f>
        <v>62.139462365591392</v>
      </c>
      <c r="BX16" t="s">
        <v>6</v>
      </c>
      <c r="CR16" s="6"/>
      <c r="CS16" t="s">
        <v>56</v>
      </c>
      <c r="CU16" s="9">
        <f>AVERAGE(DO:DO)</f>
        <v>62.514408602150532</v>
      </c>
      <c r="CV16" t="s">
        <v>6</v>
      </c>
      <c r="DP16" s="6"/>
      <c r="DQ16" t="s">
        <v>56</v>
      </c>
      <c r="DR16" s="9"/>
      <c r="DS16" s="9">
        <f>AVERAGE(EM:EM)</f>
        <v>63.053789473684233</v>
      </c>
      <c r="DT16" t="s">
        <v>6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103</v>
      </c>
      <c r="B18" s="4"/>
      <c r="X18" s="6"/>
      <c r="Y18" s="3" t="s">
        <v>103</v>
      </c>
      <c r="Z18" s="4"/>
      <c r="AV18" s="6"/>
      <c r="AW18" s="3" t="s">
        <v>103</v>
      </c>
      <c r="AX18" s="4"/>
      <c r="BT18" s="6"/>
      <c r="BU18" s="3" t="s">
        <v>103</v>
      </c>
      <c r="BV18" s="4"/>
      <c r="CR18" s="6"/>
      <c r="CS18" s="3" t="s">
        <v>103</v>
      </c>
      <c r="CT18" s="4"/>
      <c r="DP18" s="6"/>
      <c r="DQ18" s="3" t="s">
        <v>103</v>
      </c>
      <c r="DR18" s="4"/>
      <c r="EN18" s="6"/>
    </row>
    <row r="19" spans="1:144">
      <c r="A19" s="3" t="s">
        <v>105</v>
      </c>
      <c r="B19" s="7"/>
      <c r="C19" s="3"/>
      <c r="D19" s="3" t="s">
        <v>4</v>
      </c>
      <c r="E19" s="3"/>
      <c r="F19" s="3"/>
      <c r="G19" s="3" t="s">
        <v>106</v>
      </c>
      <c r="H19" s="3"/>
      <c r="I19" s="3"/>
      <c r="J19" s="3" t="s">
        <v>53</v>
      </c>
      <c r="K19" s="3"/>
      <c r="L19" s="3"/>
      <c r="M19" s="3" t="s">
        <v>107</v>
      </c>
      <c r="N19" s="3"/>
      <c r="O19" s="3"/>
      <c r="P19" s="3" t="s">
        <v>5</v>
      </c>
      <c r="Q19" s="3"/>
      <c r="R19" s="3"/>
      <c r="S19" s="3" t="s">
        <v>108</v>
      </c>
      <c r="T19" s="3"/>
      <c r="U19" s="3"/>
      <c r="V19" s="3" t="s">
        <v>56</v>
      </c>
      <c r="W19" s="3"/>
      <c r="X19" s="8"/>
      <c r="Y19" s="3" t="s">
        <v>51</v>
      </c>
      <c r="Z19" s="7"/>
      <c r="AA19" s="3"/>
      <c r="AB19" s="3" t="s">
        <v>4</v>
      </c>
      <c r="AC19" s="3"/>
      <c r="AD19" s="3"/>
      <c r="AE19" s="3" t="s">
        <v>52</v>
      </c>
      <c r="AF19" s="3"/>
      <c r="AG19" s="3"/>
      <c r="AH19" s="3" t="s">
        <v>53</v>
      </c>
      <c r="AI19" s="3"/>
      <c r="AJ19" s="3"/>
      <c r="AK19" s="3" t="s">
        <v>54</v>
      </c>
      <c r="AL19" s="3"/>
      <c r="AM19" s="3"/>
      <c r="AN19" s="3" t="s">
        <v>5</v>
      </c>
      <c r="AO19" s="3"/>
      <c r="AP19" s="3"/>
      <c r="AQ19" s="3" t="s">
        <v>55</v>
      </c>
      <c r="AR19" s="3"/>
      <c r="AS19" s="3"/>
      <c r="AT19" s="3" t="s">
        <v>56</v>
      </c>
      <c r="AU19" s="3"/>
      <c r="AV19" s="8"/>
      <c r="AW19" s="3" t="s">
        <v>51</v>
      </c>
      <c r="AX19" s="7"/>
      <c r="AY19" s="3"/>
      <c r="AZ19" s="3" t="s">
        <v>4</v>
      </c>
      <c r="BA19" s="3"/>
      <c r="BB19" s="3"/>
      <c r="BC19" s="3" t="s">
        <v>52</v>
      </c>
      <c r="BD19" s="3"/>
      <c r="BE19" s="3"/>
      <c r="BF19" s="3" t="s">
        <v>53</v>
      </c>
      <c r="BG19" s="3"/>
      <c r="BH19" s="3"/>
      <c r="BI19" s="3" t="s">
        <v>54</v>
      </c>
      <c r="BJ19" s="3"/>
      <c r="BK19" s="3"/>
      <c r="BL19" s="3" t="s">
        <v>5</v>
      </c>
      <c r="BM19" s="3"/>
      <c r="BN19" s="3"/>
      <c r="BO19" s="3" t="s">
        <v>55</v>
      </c>
      <c r="BP19" s="3"/>
      <c r="BQ19" s="3"/>
      <c r="BR19" s="3" t="s">
        <v>56</v>
      </c>
      <c r="BS19" s="3"/>
      <c r="BT19" s="8"/>
      <c r="BU19" s="3" t="s">
        <v>51</v>
      </c>
      <c r="BV19" s="7"/>
      <c r="BW19" s="3"/>
      <c r="BX19" s="3" t="s">
        <v>4</v>
      </c>
      <c r="BY19" s="3"/>
      <c r="BZ19" s="3"/>
      <c r="CA19" s="3" t="s">
        <v>52</v>
      </c>
      <c r="CB19" s="3"/>
      <c r="CC19" s="3"/>
      <c r="CD19" s="3" t="s">
        <v>53</v>
      </c>
      <c r="CE19" s="3"/>
      <c r="CF19" s="3"/>
      <c r="CG19" s="3" t="s">
        <v>54</v>
      </c>
      <c r="CH19" s="3"/>
      <c r="CI19" s="3"/>
      <c r="CJ19" s="3" t="s">
        <v>5</v>
      </c>
      <c r="CK19" s="3"/>
      <c r="CL19" s="3"/>
      <c r="CM19" s="3" t="s">
        <v>55</v>
      </c>
      <c r="CN19" s="3"/>
      <c r="CO19" s="3"/>
      <c r="CP19" s="3" t="s">
        <v>56</v>
      </c>
      <c r="CQ19" s="3"/>
      <c r="CR19" s="8"/>
      <c r="CS19" s="3" t="s">
        <v>51</v>
      </c>
      <c r="CT19" s="7"/>
      <c r="CU19" s="3"/>
      <c r="CV19" s="3" t="s">
        <v>4</v>
      </c>
      <c r="CW19" s="3"/>
      <c r="CX19" s="3"/>
      <c r="CY19" s="3" t="s">
        <v>52</v>
      </c>
      <c r="CZ19" s="3"/>
      <c r="DA19" s="3"/>
      <c r="DB19" s="3" t="s">
        <v>53</v>
      </c>
      <c r="DC19" s="3"/>
      <c r="DD19" s="3"/>
      <c r="DE19" s="3" t="s">
        <v>54</v>
      </c>
      <c r="DF19" s="3"/>
      <c r="DG19" s="3"/>
      <c r="DH19" s="3" t="s">
        <v>5</v>
      </c>
      <c r="DI19" s="3"/>
      <c r="DJ19" s="3"/>
      <c r="DK19" s="3" t="s">
        <v>55</v>
      </c>
      <c r="DL19" s="3"/>
      <c r="DM19" s="3"/>
      <c r="DN19" s="3" t="s">
        <v>56</v>
      </c>
      <c r="DO19" s="3"/>
      <c r="DP19" s="8"/>
      <c r="DQ19" s="3" t="s">
        <v>51</v>
      </c>
      <c r="DR19" s="7"/>
      <c r="DS19" s="3"/>
      <c r="DT19" s="3" t="s">
        <v>4</v>
      </c>
      <c r="DU19" s="3"/>
      <c r="DV19" s="3"/>
      <c r="DW19" s="3" t="s">
        <v>52</v>
      </c>
      <c r="DX19" s="3"/>
      <c r="DY19" s="3"/>
      <c r="DZ19" s="3" t="s">
        <v>53</v>
      </c>
      <c r="EA19" s="3"/>
      <c r="EB19" s="3"/>
      <c r="EC19" s="3" t="s">
        <v>54</v>
      </c>
      <c r="ED19" s="3"/>
      <c r="EE19" s="3"/>
      <c r="EF19" s="3" t="s">
        <v>5</v>
      </c>
      <c r="EG19" s="3"/>
      <c r="EH19" s="3"/>
      <c r="EI19" s="3" t="s">
        <v>55</v>
      </c>
      <c r="EJ19" s="3"/>
      <c r="EK19" s="3"/>
      <c r="EL19" s="3" t="s">
        <v>56</v>
      </c>
      <c r="EM19" s="3"/>
      <c r="EN19" s="8"/>
    </row>
    <row r="20" spans="1:144">
      <c r="A20" t="s">
        <v>109</v>
      </c>
      <c r="D20" t="s">
        <v>109</v>
      </c>
      <c r="G20" t="s">
        <v>109</v>
      </c>
      <c r="J20" t="s">
        <v>109</v>
      </c>
      <c r="M20" t="s">
        <v>109</v>
      </c>
      <c r="P20" t="s">
        <v>109</v>
      </c>
      <c r="S20" t="s">
        <v>109</v>
      </c>
      <c r="V20" t="s">
        <v>109</v>
      </c>
      <c r="X20" s="6"/>
      <c r="Y20" t="s">
        <v>109</v>
      </c>
      <c r="Z20" s="4"/>
      <c r="AB20" t="s">
        <v>109</v>
      </c>
      <c r="AE20" t="s">
        <v>109</v>
      </c>
      <c r="AH20" t="s">
        <v>109</v>
      </c>
      <c r="AK20" t="s">
        <v>109</v>
      </c>
      <c r="AN20" t="s">
        <v>109</v>
      </c>
      <c r="AQ20" t="s">
        <v>109</v>
      </c>
      <c r="AT20" t="s">
        <v>109</v>
      </c>
      <c r="AV20" s="6"/>
      <c r="AW20" t="s">
        <v>109</v>
      </c>
      <c r="AX20" s="4"/>
      <c r="AZ20" t="s">
        <v>109</v>
      </c>
      <c r="BC20" t="s">
        <v>109</v>
      </c>
      <c r="BF20" t="s">
        <v>109</v>
      </c>
      <c r="BI20" t="s">
        <v>109</v>
      </c>
      <c r="BL20" t="s">
        <v>109</v>
      </c>
      <c r="BO20" t="s">
        <v>109</v>
      </c>
      <c r="BR20" t="s">
        <v>109</v>
      </c>
      <c r="BT20" s="6"/>
      <c r="BU20" t="s">
        <v>109</v>
      </c>
      <c r="BV20" s="4"/>
      <c r="BX20" t="s">
        <v>109</v>
      </c>
      <c r="CA20" t="s">
        <v>109</v>
      </c>
      <c r="CD20" t="s">
        <v>109</v>
      </c>
      <c r="CG20" t="s">
        <v>109</v>
      </c>
      <c r="CJ20" t="s">
        <v>109</v>
      </c>
      <c r="CM20" t="s">
        <v>109</v>
      </c>
      <c r="CP20" t="s">
        <v>109</v>
      </c>
      <c r="CR20" s="6"/>
      <c r="CS20" t="s">
        <v>109</v>
      </c>
      <c r="CT20" s="4"/>
      <c r="CV20" t="s">
        <v>109</v>
      </c>
      <c r="CY20" t="s">
        <v>109</v>
      </c>
      <c r="DB20" t="s">
        <v>109</v>
      </c>
      <c r="DE20" t="s">
        <v>109</v>
      </c>
      <c r="DH20" t="s">
        <v>109</v>
      </c>
      <c r="DK20" t="s">
        <v>109</v>
      </c>
      <c r="DN20" t="s">
        <v>109</v>
      </c>
      <c r="DP20" s="6"/>
      <c r="DQ20" t="s">
        <v>109</v>
      </c>
      <c r="DR20" s="4"/>
      <c r="DT20" t="s">
        <v>109</v>
      </c>
      <c r="DW20" t="s">
        <v>109</v>
      </c>
      <c r="DZ20" t="s">
        <v>109</v>
      </c>
      <c r="EC20" t="s">
        <v>109</v>
      </c>
      <c r="EF20" t="s">
        <v>109</v>
      </c>
      <c r="EI20" t="s">
        <v>109</v>
      </c>
      <c r="EL20" t="s">
        <v>109</v>
      </c>
      <c r="EN20" s="6"/>
    </row>
    <row r="21" spans="1:144">
      <c r="A21">
        <v>1777961700000</v>
      </c>
      <c r="B21">
        <v>6.1</v>
      </c>
      <c r="D21">
        <v>1777961700000</v>
      </c>
      <c r="E21">
        <v>4.8499999999999996</v>
      </c>
      <c r="G21">
        <v>1777961700000</v>
      </c>
      <c r="H21">
        <v>36.1</v>
      </c>
      <c r="J21">
        <v>1777961700000</v>
      </c>
      <c r="K21">
        <v>17.7</v>
      </c>
      <c r="M21">
        <v>1777961700000</v>
      </c>
      <c r="N21">
        <v>36.6</v>
      </c>
      <c r="P21">
        <v>1777961700000</v>
      </c>
      <c r="Q21">
        <v>7.5</v>
      </c>
      <c r="S21">
        <v>1777961700000</v>
      </c>
      <c r="T21">
        <v>17.399999999999999</v>
      </c>
      <c r="V21">
        <v>1777961700000</v>
      </c>
      <c r="W21">
        <v>17.23</v>
      </c>
      <c r="X21" s="6"/>
      <c r="Y21">
        <v>1778048100000</v>
      </c>
      <c r="Z21" s="4">
        <v>24.23</v>
      </c>
      <c r="AB21">
        <v>1778048100000</v>
      </c>
      <c r="AC21">
        <v>5.28</v>
      </c>
      <c r="AE21">
        <v>1778048100000</v>
      </c>
      <c r="AF21">
        <v>25.95</v>
      </c>
      <c r="AH21">
        <v>1778048100000</v>
      </c>
      <c r="AI21">
        <v>13.21</v>
      </c>
      <c r="AK21">
        <v>1778048100000</v>
      </c>
      <c r="AL21">
        <v>21.58</v>
      </c>
      <c r="AN21">
        <v>1778048100000</v>
      </c>
      <c r="AO21">
        <v>12.33</v>
      </c>
      <c r="AQ21">
        <v>1778048100000</v>
      </c>
      <c r="AR21">
        <v>38.9</v>
      </c>
      <c r="AT21">
        <v>1778048100000</v>
      </c>
      <c r="AU21">
        <v>12.67</v>
      </c>
      <c r="AV21" s="6"/>
      <c r="AW21">
        <v>1779084900000</v>
      </c>
      <c r="AX21" s="4">
        <v>6.1</v>
      </c>
      <c r="AZ21">
        <v>1779084900000</v>
      </c>
      <c r="BA21">
        <v>7.94</v>
      </c>
      <c r="BC21">
        <v>1779086700000</v>
      </c>
      <c r="BD21">
        <v>19.7</v>
      </c>
      <c r="BF21">
        <v>1779084900000</v>
      </c>
      <c r="BG21">
        <v>21.51</v>
      </c>
      <c r="BI21">
        <v>1779084900000</v>
      </c>
      <c r="BJ21">
        <v>23.14</v>
      </c>
      <c r="BL21">
        <v>1779084900000</v>
      </c>
      <c r="BM21">
        <v>11.45</v>
      </c>
      <c r="BO21">
        <v>1779084900000</v>
      </c>
      <c r="BP21">
        <v>40</v>
      </c>
      <c r="BR21">
        <v>1779084900000</v>
      </c>
      <c r="BS21">
        <v>19.13</v>
      </c>
      <c r="BT21" s="6"/>
      <c r="BU21">
        <v>1782195300000</v>
      </c>
      <c r="BV21" s="4">
        <v>39.72</v>
      </c>
      <c r="BX21">
        <v>1782195300000</v>
      </c>
      <c r="BY21">
        <v>10.75</v>
      </c>
      <c r="CA21">
        <v>1782195300000</v>
      </c>
      <c r="CB21">
        <v>33.299999999999997</v>
      </c>
      <c r="CD21">
        <v>1782195300000</v>
      </c>
      <c r="CE21">
        <v>16.53</v>
      </c>
      <c r="CG21">
        <v>1782195300000</v>
      </c>
      <c r="CH21">
        <v>31.63</v>
      </c>
      <c r="CJ21">
        <v>1782195300000</v>
      </c>
      <c r="CK21">
        <v>16.8</v>
      </c>
      <c r="CM21">
        <v>1782195300000</v>
      </c>
      <c r="CN21">
        <v>33.17</v>
      </c>
      <c r="CP21">
        <v>1782195300000</v>
      </c>
      <c r="CQ21">
        <v>33.299999999999997</v>
      </c>
      <c r="CR21" s="6"/>
      <c r="CS21">
        <v>1784009700000</v>
      </c>
      <c r="CT21" s="4">
        <v>16.5</v>
      </c>
      <c r="CV21">
        <v>1784009700000</v>
      </c>
      <c r="CW21">
        <v>22.19</v>
      </c>
      <c r="CY21">
        <v>1784009700000</v>
      </c>
      <c r="CZ21">
        <v>20.399999999999999</v>
      </c>
      <c r="DB21">
        <v>1784009700000</v>
      </c>
      <c r="DC21">
        <v>18.57</v>
      </c>
      <c r="DE21">
        <v>1784009700000</v>
      </c>
      <c r="DF21">
        <v>25.79</v>
      </c>
      <c r="DH21">
        <v>1784009700000</v>
      </c>
      <c r="DI21">
        <v>12.74</v>
      </c>
      <c r="DK21">
        <v>1784009700000</v>
      </c>
      <c r="DL21">
        <v>18.68</v>
      </c>
      <c r="DN21">
        <v>1784009700000</v>
      </c>
      <c r="DO21">
        <v>29.27</v>
      </c>
      <c r="DP21" s="6"/>
      <c r="DQ21">
        <v>1784096100000</v>
      </c>
      <c r="DR21" s="4">
        <v>17.149999999999999</v>
      </c>
      <c r="DT21">
        <v>1784096100000</v>
      </c>
      <c r="DU21">
        <v>12.05</v>
      </c>
      <c r="DW21">
        <v>1784096100000</v>
      </c>
      <c r="DX21">
        <v>28</v>
      </c>
      <c r="DZ21">
        <v>1784096100000</v>
      </c>
      <c r="EA21">
        <v>12.72</v>
      </c>
      <c r="EC21">
        <v>1784096100000</v>
      </c>
      <c r="ED21">
        <v>13.12</v>
      </c>
      <c r="EF21">
        <v>1784096100000</v>
      </c>
      <c r="EG21">
        <v>10.32</v>
      </c>
      <c r="EI21">
        <v>1784096100000</v>
      </c>
      <c r="EJ21">
        <v>10.55</v>
      </c>
      <c r="EL21">
        <v>1784096100000</v>
      </c>
      <c r="EM21">
        <v>26.98</v>
      </c>
      <c r="EN21" s="6"/>
    </row>
    <row r="22" spans="1:144">
      <c r="A22">
        <v>1777963500000</v>
      </c>
      <c r="B22">
        <v>40.5</v>
      </c>
      <c r="D22">
        <v>1777962600000</v>
      </c>
      <c r="E22">
        <v>8.36</v>
      </c>
      <c r="G22">
        <v>1777962600000</v>
      </c>
      <c r="H22">
        <v>27.35</v>
      </c>
      <c r="J22">
        <v>1777962600000</v>
      </c>
      <c r="K22">
        <v>5.65</v>
      </c>
      <c r="M22">
        <v>1777962600000</v>
      </c>
      <c r="N22">
        <v>17.71</v>
      </c>
      <c r="P22">
        <v>1777962600000</v>
      </c>
      <c r="Q22">
        <v>4.26</v>
      </c>
      <c r="S22">
        <v>1777962600000</v>
      </c>
      <c r="T22">
        <v>36.770000000000003</v>
      </c>
      <c r="V22">
        <v>1777962600000</v>
      </c>
      <c r="W22">
        <v>23.45</v>
      </c>
      <c r="X22" s="6"/>
      <c r="Y22">
        <v>1778049000000</v>
      </c>
      <c r="Z22" s="4">
        <v>6.1</v>
      </c>
      <c r="AB22">
        <v>1778049000000</v>
      </c>
      <c r="AC22">
        <v>6.75</v>
      </c>
      <c r="AE22">
        <v>1778049000000</v>
      </c>
      <c r="AF22">
        <v>34.299999999999997</v>
      </c>
      <c r="AH22">
        <v>1778049000000</v>
      </c>
      <c r="AI22">
        <v>11.74</v>
      </c>
      <c r="AK22">
        <v>1778049000000</v>
      </c>
      <c r="AL22">
        <v>18.71</v>
      </c>
      <c r="AN22">
        <v>1778049000000</v>
      </c>
      <c r="AO22">
        <v>10.87</v>
      </c>
      <c r="AQ22">
        <v>1778049000000</v>
      </c>
      <c r="AR22">
        <v>21.4</v>
      </c>
      <c r="AT22">
        <v>1778049000000</v>
      </c>
      <c r="AU22">
        <v>8.64</v>
      </c>
      <c r="AV22" s="6"/>
      <c r="AW22">
        <v>1779087600000</v>
      </c>
      <c r="AX22" s="4">
        <v>16.5</v>
      </c>
      <c r="AZ22">
        <v>1779085800000</v>
      </c>
      <c r="BA22">
        <v>2.99</v>
      </c>
      <c r="BC22">
        <v>1779087600000</v>
      </c>
      <c r="BD22">
        <v>28.6</v>
      </c>
      <c r="BF22">
        <v>1779085800000</v>
      </c>
      <c r="BG22">
        <v>11.87</v>
      </c>
      <c r="BI22">
        <v>1779085800000</v>
      </c>
      <c r="BJ22">
        <v>20.67</v>
      </c>
      <c r="BL22">
        <v>1779085800000</v>
      </c>
      <c r="BM22">
        <v>5.44</v>
      </c>
      <c r="BO22">
        <v>1779085800000</v>
      </c>
      <c r="BP22">
        <v>8.77</v>
      </c>
      <c r="BR22">
        <v>1779085800000</v>
      </c>
      <c r="BS22">
        <v>13.35</v>
      </c>
      <c r="BT22" s="6"/>
      <c r="BU22">
        <v>1782196200000</v>
      </c>
      <c r="BV22" s="4">
        <v>6.35</v>
      </c>
      <c r="BX22">
        <v>1782196200000</v>
      </c>
      <c r="BY22">
        <v>14.13</v>
      </c>
      <c r="CA22">
        <v>1782196200000</v>
      </c>
      <c r="CB22">
        <v>14.6</v>
      </c>
      <c r="CD22">
        <v>1782196200000</v>
      </c>
      <c r="CE22">
        <v>20.63</v>
      </c>
      <c r="CG22">
        <v>1782196200000</v>
      </c>
      <c r="CH22">
        <v>22.27</v>
      </c>
      <c r="CJ22">
        <v>1782196200000</v>
      </c>
      <c r="CK22">
        <v>5.8</v>
      </c>
      <c r="CM22">
        <v>1782196200000</v>
      </c>
      <c r="CN22">
        <v>11.34</v>
      </c>
      <c r="CP22">
        <v>1782196200000</v>
      </c>
      <c r="CQ22">
        <v>15.66</v>
      </c>
      <c r="CR22" s="6"/>
      <c r="CS22">
        <v>1784010600000</v>
      </c>
      <c r="CT22" s="4">
        <v>8.4</v>
      </c>
      <c r="CV22">
        <v>1784010600000</v>
      </c>
      <c r="CW22">
        <v>10.210000000000001</v>
      </c>
      <c r="CY22">
        <v>1784010600000</v>
      </c>
      <c r="CZ22">
        <v>51.2</v>
      </c>
      <c r="DB22">
        <v>1784010600000</v>
      </c>
      <c r="DC22">
        <v>18.2</v>
      </c>
      <c r="DE22">
        <v>1784010600000</v>
      </c>
      <c r="DF22">
        <v>19.87</v>
      </c>
      <c r="DH22">
        <v>1784010600000</v>
      </c>
      <c r="DI22">
        <v>9.27</v>
      </c>
      <c r="DK22">
        <v>1784010600000</v>
      </c>
      <c r="DL22">
        <v>35.08</v>
      </c>
      <c r="DN22">
        <v>1784010600000</v>
      </c>
      <c r="DO22">
        <v>21.4</v>
      </c>
      <c r="DP22" s="6"/>
      <c r="DQ22">
        <v>1784097000000</v>
      </c>
      <c r="DR22" s="4">
        <v>35.75</v>
      </c>
      <c r="DT22">
        <v>1784097000000</v>
      </c>
      <c r="DU22">
        <v>15.55</v>
      </c>
      <c r="DW22">
        <v>1784097000000</v>
      </c>
      <c r="DX22">
        <v>42.53</v>
      </c>
      <c r="DZ22">
        <v>1784097000000</v>
      </c>
      <c r="EA22">
        <v>18.43</v>
      </c>
      <c r="EC22">
        <v>1784097000000</v>
      </c>
      <c r="ED22">
        <v>20.07</v>
      </c>
      <c r="EF22">
        <v>1784097000000</v>
      </c>
      <c r="EG22">
        <v>14.58</v>
      </c>
      <c r="EI22">
        <v>1784097000000</v>
      </c>
      <c r="EJ22">
        <v>27.42</v>
      </c>
      <c r="EL22">
        <v>1784097000000</v>
      </c>
      <c r="EM22">
        <v>16.32</v>
      </c>
      <c r="EN22" s="6"/>
    </row>
    <row r="23" spans="1:144">
      <c r="A23">
        <v>1777964400000</v>
      </c>
      <c r="B23">
        <v>11.25</v>
      </c>
      <c r="D23">
        <v>1777963500000</v>
      </c>
      <c r="E23">
        <v>2.9</v>
      </c>
      <c r="G23">
        <v>1777965300000</v>
      </c>
      <c r="H23">
        <v>23.3</v>
      </c>
      <c r="J23">
        <v>1777963500000</v>
      </c>
      <c r="K23">
        <v>8.27</v>
      </c>
      <c r="M23">
        <v>1777963500000</v>
      </c>
      <c r="N23">
        <v>12.3</v>
      </c>
      <c r="P23">
        <v>1777963500000</v>
      </c>
      <c r="Q23">
        <v>8.0299999999999994</v>
      </c>
      <c r="S23">
        <v>1777963500000</v>
      </c>
      <c r="T23">
        <v>15.38</v>
      </c>
      <c r="V23">
        <v>1777963500000</v>
      </c>
      <c r="W23">
        <v>18.07</v>
      </c>
      <c r="X23" s="6"/>
      <c r="Y23">
        <v>1778049900000</v>
      </c>
      <c r="Z23" s="4">
        <v>8.9499999999999993</v>
      </c>
      <c r="AB23">
        <v>1778049900000</v>
      </c>
      <c r="AC23">
        <v>9.2799999999999994</v>
      </c>
      <c r="AE23">
        <v>1778049900000</v>
      </c>
      <c r="AF23">
        <v>32.1</v>
      </c>
      <c r="AH23">
        <v>1778049900000</v>
      </c>
      <c r="AI23">
        <v>17.77</v>
      </c>
      <c r="AK23">
        <v>1778049900000</v>
      </c>
      <c r="AL23">
        <v>25.6</v>
      </c>
      <c r="AN23">
        <v>1778049900000</v>
      </c>
      <c r="AO23">
        <v>4.2699999999999996</v>
      </c>
      <c r="AQ23">
        <v>1778049900000</v>
      </c>
      <c r="AR23">
        <v>45.95</v>
      </c>
      <c r="AT23">
        <v>1778049900000</v>
      </c>
      <c r="AU23">
        <v>23.47</v>
      </c>
      <c r="AV23" s="6"/>
      <c r="AW23">
        <v>1779088500000</v>
      </c>
      <c r="AX23" s="4">
        <v>22.8</v>
      </c>
      <c r="AZ23">
        <v>1779086700000</v>
      </c>
      <c r="BA23">
        <v>3.24</v>
      </c>
      <c r="BC23">
        <v>1779089400000</v>
      </c>
      <c r="BD23">
        <v>28.5</v>
      </c>
      <c r="BF23">
        <v>1779086700000</v>
      </c>
      <c r="BG23">
        <v>18.64</v>
      </c>
      <c r="BI23">
        <v>1779086700000</v>
      </c>
      <c r="BJ23">
        <v>15.3</v>
      </c>
      <c r="BL23">
        <v>1779086700000</v>
      </c>
      <c r="BM23">
        <v>3.16</v>
      </c>
      <c r="BO23">
        <v>1779086700000</v>
      </c>
      <c r="BP23">
        <v>20.9</v>
      </c>
      <c r="BR23">
        <v>1779086700000</v>
      </c>
      <c r="BS23">
        <v>13.17</v>
      </c>
      <c r="BT23" s="6"/>
      <c r="BU23">
        <v>1782197100000</v>
      </c>
      <c r="BV23" s="4">
        <v>45.47</v>
      </c>
      <c r="BX23">
        <v>1782197100000</v>
      </c>
      <c r="BY23">
        <v>12.37</v>
      </c>
      <c r="CA23">
        <v>1782197100000</v>
      </c>
      <c r="CB23">
        <v>47.3</v>
      </c>
      <c r="CD23">
        <v>1782197100000</v>
      </c>
      <c r="CE23">
        <v>9.39</v>
      </c>
      <c r="CG23">
        <v>1782197100000</v>
      </c>
      <c r="CH23">
        <v>16.600000000000001</v>
      </c>
      <c r="CJ23">
        <v>1782197100000</v>
      </c>
      <c r="CK23">
        <v>3.64</v>
      </c>
      <c r="CM23">
        <v>1782197100000</v>
      </c>
      <c r="CN23">
        <v>15.4</v>
      </c>
      <c r="CP23">
        <v>1782197100000</v>
      </c>
      <c r="CQ23">
        <v>15.51</v>
      </c>
      <c r="CR23" s="6"/>
      <c r="CS23">
        <v>1784011500000</v>
      </c>
      <c r="CT23" s="4">
        <v>9.4499999999999993</v>
      </c>
      <c r="CV23">
        <v>1784011500000</v>
      </c>
      <c r="CW23">
        <v>3.32</v>
      </c>
      <c r="CY23">
        <v>1784011500000</v>
      </c>
      <c r="CZ23">
        <v>11.4</v>
      </c>
      <c r="DB23">
        <v>1784011500000</v>
      </c>
      <c r="DC23">
        <v>15.94</v>
      </c>
      <c r="DE23">
        <v>1784011500000</v>
      </c>
      <c r="DF23">
        <v>13.74</v>
      </c>
      <c r="DH23">
        <v>1784011500000</v>
      </c>
      <c r="DI23">
        <v>8.14</v>
      </c>
      <c r="DK23">
        <v>1784011500000</v>
      </c>
      <c r="DL23">
        <v>15.15</v>
      </c>
      <c r="DN23">
        <v>1784011500000</v>
      </c>
      <c r="DO23">
        <v>15.72</v>
      </c>
      <c r="DP23" s="6"/>
      <c r="DQ23">
        <v>1784097900000</v>
      </c>
      <c r="DR23" s="4">
        <v>12.03</v>
      </c>
      <c r="DT23">
        <v>1784097900000</v>
      </c>
      <c r="DU23">
        <v>6.55</v>
      </c>
      <c r="DW23">
        <v>1784101500000</v>
      </c>
      <c r="DX23">
        <v>7.3</v>
      </c>
      <c r="DZ23">
        <v>1784097900000</v>
      </c>
      <c r="EA23">
        <v>10.69</v>
      </c>
      <c r="EC23">
        <v>1784097900000</v>
      </c>
      <c r="ED23">
        <v>18.8</v>
      </c>
      <c r="EF23">
        <v>1784097900000</v>
      </c>
      <c r="EG23">
        <v>16.3</v>
      </c>
      <c r="EI23">
        <v>1784097900000</v>
      </c>
      <c r="EJ23">
        <v>15.13</v>
      </c>
      <c r="EL23">
        <v>1784097900000</v>
      </c>
      <c r="EM23">
        <v>12.96</v>
      </c>
      <c r="EN23" s="6"/>
    </row>
    <row r="24" spans="1:144">
      <c r="A24">
        <v>1777966200000</v>
      </c>
      <c r="B24">
        <v>8.6</v>
      </c>
      <c r="D24">
        <v>1777964400000</v>
      </c>
      <c r="E24">
        <v>4.75</v>
      </c>
      <c r="G24">
        <v>1777966200000</v>
      </c>
      <c r="H24">
        <v>17.600000000000001</v>
      </c>
      <c r="J24">
        <v>1777964400000</v>
      </c>
      <c r="K24">
        <v>11.87</v>
      </c>
      <c r="M24">
        <v>1777964400000</v>
      </c>
      <c r="N24">
        <v>15.16</v>
      </c>
      <c r="P24">
        <v>1777964400000</v>
      </c>
      <c r="Q24">
        <v>1.65</v>
      </c>
      <c r="S24">
        <v>1777964400000</v>
      </c>
      <c r="T24">
        <v>15.93</v>
      </c>
      <c r="V24">
        <v>1777964400000</v>
      </c>
      <c r="W24">
        <v>14.58</v>
      </c>
      <c r="X24" s="6"/>
      <c r="Y24">
        <v>1778050800000</v>
      </c>
      <c r="Z24" s="4">
        <v>22.8</v>
      </c>
      <c r="AB24">
        <v>1778050800000</v>
      </c>
      <c r="AC24">
        <v>14.84</v>
      </c>
      <c r="AE24">
        <v>1778055300000</v>
      </c>
      <c r="AF24">
        <v>10.5</v>
      </c>
      <c r="AH24">
        <v>1778050800000</v>
      </c>
      <c r="AI24">
        <v>20.72</v>
      </c>
      <c r="AK24">
        <v>1778050800000</v>
      </c>
      <c r="AL24">
        <v>22.71</v>
      </c>
      <c r="AN24">
        <v>1778050800000</v>
      </c>
      <c r="AO24">
        <v>5.64</v>
      </c>
      <c r="AQ24">
        <v>1778050800000</v>
      </c>
      <c r="AR24">
        <v>20.100000000000001</v>
      </c>
      <c r="AT24">
        <v>1778050800000</v>
      </c>
      <c r="AU24">
        <v>14.2</v>
      </c>
      <c r="AV24" s="6"/>
      <c r="AW24">
        <v>1779089400000</v>
      </c>
      <c r="AX24" s="4">
        <v>6.1</v>
      </c>
      <c r="AZ24">
        <v>1779087600000</v>
      </c>
      <c r="BA24">
        <v>3.47</v>
      </c>
      <c r="BC24">
        <v>1779094800000</v>
      </c>
      <c r="BD24">
        <v>7.5</v>
      </c>
      <c r="BF24">
        <v>1779087600000</v>
      </c>
      <c r="BG24">
        <v>11.32</v>
      </c>
      <c r="BI24">
        <v>1779087600000</v>
      </c>
      <c r="BJ24">
        <v>14.08</v>
      </c>
      <c r="BL24">
        <v>1779087600000</v>
      </c>
      <c r="BM24">
        <v>4.24</v>
      </c>
      <c r="BO24">
        <v>1779087600000</v>
      </c>
      <c r="BP24">
        <v>18.649999999999999</v>
      </c>
      <c r="BR24">
        <v>1779087600000</v>
      </c>
      <c r="BS24">
        <v>17</v>
      </c>
      <c r="BT24" s="6"/>
      <c r="BU24">
        <v>1782198000000</v>
      </c>
      <c r="BV24" s="4">
        <v>8.4499999999999993</v>
      </c>
      <c r="BX24">
        <v>1782198000000</v>
      </c>
      <c r="BY24">
        <v>4.62</v>
      </c>
      <c r="CA24">
        <v>1782198900000</v>
      </c>
      <c r="CB24">
        <v>26.2</v>
      </c>
      <c r="CD24">
        <v>1782198000000</v>
      </c>
      <c r="CE24">
        <v>7.72</v>
      </c>
      <c r="CG24">
        <v>1782198000000</v>
      </c>
      <c r="CH24">
        <v>15.47</v>
      </c>
      <c r="CJ24">
        <v>1782198000000</v>
      </c>
      <c r="CK24">
        <v>3.02</v>
      </c>
      <c r="CM24">
        <v>1782198000000</v>
      </c>
      <c r="CN24">
        <v>13.5</v>
      </c>
      <c r="CP24">
        <v>1782198000000</v>
      </c>
      <c r="CQ24">
        <v>19.97</v>
      </c>
      <c r="CR24" s="6"/>
      <c r="CS24">
        <v>1784013300000</v>
      </c>
      <c r="CT24" s="4">
        <v>11.28</v>
      </c>
      <c r="CV24">
        <v>1784012400000</v>
      </c>
      <c r="CW24">
        <v>4.87</v>
      </c>
      <c r="CY24">
        <v>1784012400000</v>
      </c>
      <c r="CZ24">
        <v>2</v>
      </c>
      <c r="DB24">
        <v>1784012400000</v>
      </c>
      <c r="DC24">
        <v>10.76</v>
      </c>
      <c r="DE24">
        <v>1784012400000</v>
      </c>
      <c r="DF24">
        <v>16.420000000000002</v>
      </c>
      <c r="DH24">
        <v>1784012400000</v>
      </c>
      <c r="DI24">
        <v>11.63</v>
      </c>
      <c r="DK24">
        <v>1784012400000</v>
      </c>
      <c r="DL24">
        <v>20.27</v>
      </c>
      <c r="DN24">
        <v>1784012400000</v>
      </c>
      <c r="DO24">
        <v>21.02</v>
      </c>
      <c r="DP24" s="6"/>
      <c r="DQ24">
        <v>1784098800000</v>
      </c>
      <c r="DR24" s="4">
        <v>15.75</v>
      </c>
      <c r="DT24">
        <v>1784098800000</v>
      </c>
      <c r="DU24">
        <v>11.43</v>
      </c>
      <c r="DW24">
        <v>1784102400000</v>
      </c>
      <c r="DX24">
        <v>6.1</v>
      </c>
      <c r="DZ24">
        <v>1784098800000</v>
      </c>
      <c r="EA24">
        <v>12</v>
      </c>
      <c r="EC24">
        <v>1784098800000</v>
      </c>
      <c r="ED24">
        <v>25.57</v>
      </c>
      <c r="EF24">
        <v>1784098800000</v>
      </c>
      <c r="EG24">
        <v>16.2</v>
      </c>
      <c r="EI24">
        <v>1784098800000</v>
      </c>
      <c r="EJ24">
        <v>30.6</v>
      </c>
      <c r="EL24">
        <v>1784098800000</v>
      </c>
      <c r="EM24">
        <v>16</v>
      </c>
      <c r="EN24" s="6"/>
    </row>
    <row r="25" spans="1:144">
      <c r="A25">
        <v>1777967100000</v>
      </c>
      <c r="B25">
        <v>7.3</v>
      </c>
      <c r="D25">
        <v>1777965300000</v>
      </c>
      <c r="E25">
        <v>6.7</v>
      </c>
      <c r="G25">
        <v>1777969800000</v>
      </c>
      <c r="H25">
        <v>6.95</v>
      </c>
      <c r="J25">
        <v>1777965300000</v>
      </c>
      <c r="K25">
        <v>20.46</v>
      </c>
      <c r="M25">
        <v>1777965300000</v>
      </c>
      <c r="N25">
        <v>14.49</v>
      </c>
      <c r="P25">
        <v>1777965300000</v>
      </c>
      <c r="Q25">
        <v>4.5</v>
      </c>
      <c r="S25">
        <v>1777965300000</v>
      </c>
      <c r="T25">
        <v>19.57</v>
      </c>
      <c r="V25">
        <v>1777965300000</v>
      </c>
      <c r="W25">
        <v>10.35</v>
      </c>
      <c r="X25" s="6"/>
      <c r="Y25">
        <v>1778052600000</v>
      </c>
      <c r="Z25" s="4">
        <v>7.9</v>
      </c>
      <c r="AB25">
        <v>1778051700000</v>
      </c>
      <c r="AC25">
        <v>7.18</v>
      </c>
      <c r="AE25">
        <v>1778056200000</v>
      </c>
      <c r="AF25">
        <v>6.1</v>
      </c>
      <c r="AH25">
        <v>1778051700000</v>
      </c>
      <c r="AI25">
        <v>13.32</v>
      </c>
      <c r="AK25">
        <v>1778051700000</v>
      </c>
      <c r="AL25">
        <v>26.3</v>
      </c>
      <c r="AN25">
        <v>1778051700000</v>
      </c>
      <c r="AO25">
        <v>10.039999999999999</v>
      </c>
      <c r="AQ25">
        <v>1778051700000</v>
      </c>
      <c r="AR25">
        <v>17</v>
      </c>
      <c r="AT25">
        <v>1778051700000</v>
      </c>
      <c r="AU25">
        <v>22.53</v>
      </c>
      <c r="AV25" s="6"/>
      <c r="AW25">
        <v>1779091200000</v>
      </c>
      <c r="AX25" s="4">
        <v>6.2</v>
      </c>
      <c r="AZ25">
        <v>1779088500000</v>
      </c>
      <c r="BA25">
        <v>1.52</v>
      </c>
      <c r="BC25">
        <v>1779098400000</v>
      </c>
      <c r="BD25">
        <v>34.799999999999997</v>
      </c>
      <c r="BF25">
        <v>1779088500000</v>
      </c>
      <c r="BG25">
        <v>28.03</v>
      </c>
      <c r="BI25">
        <v>1779088500000</v>
      </c>
      <c r="BJ25">
        <v>7.81</v>
      </c>
      <c r="BL25">
        <v>1779088500000</v>
      </c>
      <c r="BM25">
        <v>1.86</v>
      </c>
      <c r="BO25">
        <v>1779088500000</v>
      </c>
      <c r="BP25">
        <v>40.9</v>
      </c>
      <c r="BR25">
        <v>1779088500000</v>
      </c>
      <c r="BS25">
        <v>10.1</v>
      </c>
      <c r="BT25" s="6"/>
      <c r="BU25">
        <v>1782199800000</v>
      </c>
      <c r="BV25" s="4">
        <v>6.1</v>
      </c>
      <c r="BX25">
        <v>1782198900000</v>
      </c>
      <c r="BY25">
        <v>4.0999999999999996</v>
      </c>
      <c r="CA25">
        <v>1782199800000</v>
      </c>
      <c r="CB25">
        <v>18.7</v>
      </c>
      <c r="CD25">
        <v>1782198900000</v>
      </c>
      <c r="CE25">
        <v>9.5</v>
      </c>
      <c r="CG25">
        <v>1782198900000</v>
      </c>
      <c r="CH25">
        <v>18.579999999999998</v>
      </c>
      <c r="CJ25">
        <v>1782198900000</v>
      </c>
      <c r="CK25">
        <v>7.17</v>
      </c>
      <c r="CM25">
        <v>1782198900000</v>
      </c>
      <c r="CN25">
        <v>17.100000000000001</v>
      </c>
      <c r="CP25">
        <v>1782198900000</v>
      </c>
      <c r="CQ25">
        <v>18.7</v>
      </c>
      <c r="CR25" s="6"/>
      <c r="CS25">
        <v>1784014200000</v>
      </c>
      <c r="CT25" s="4">
        <v>10.4</v>
      </c>
      <c r="CV25">
        <v>1784013300000</v>
      </c>
      <c r="CW25">
        <v>11.44</v>
      </c>
      <c r="CY25">
        <v>1784013300000</v>
      </c>
      <c r="CZ25">
        <v>12.2</v>
      </c>
      <c r="DB25">
        <v>1784013300000</v>
      </c>
      <c r="DC25">
        <v>17.53</v>
      </c>
      <c r="DE25">
        <v>1784013300000</v>
      </c>
      <c r="DF25">
        <v>7.93</v>
      </c>
      <c r="DH25">
        <v>1784013300000</v>
      </c>
      <c r="DI25">
        <v>4.03</v>
      </c>
      <c r="DK25">
        <v>1784013300000</v>
      </c>
      <c r="DL25">
        <v>12.63</v>
      </c>
      <c r="DN25">
        <v>1784013300000</v>
      </c>
      <c r="DO25">
        <v>23.3</v>
      </c>
      <c r="DP25" s="6"/>
      <c r="DQ25">
        <v>1784099700000</v>
      </c>
      <c r="DR25" s="4">
        <v>19.899999999999999</v>
      </c>
      <c r="DT25">
        <v>1784099700000</v>
      </c>
      <c r="DU25">
        <v>8.18</v>
      </c>
      <c r="DW25">
        <v>1784105100000</v>
      </c>
      <c r="DX25">
        <v>6.1</v>
      </c>
      <c r="DZ25">
        <v>1784099700000</v>
      </c>
      <c r="EA25">
        <v>13.48</v>
      </c>
      <c r="EC25">
        <v>1784099700000</v>
      </c>
      <c r="ED25">
        <v>16.14</v>
      </c>
      <c r="EF25">
        <v>1784099700000</v>
      </c>
      <c r="EG25">
        <v>11.44</v>
      </c>
      <c r="EI25">
        <v>1784099700000</v>
      </c>
      <c r="EJ25">
        <v>10.9</v>
      </c>
      <c r="EL25">
        <v>1784099700000</v>
      </c>
      <c r="EM25">
        <v>11.73</v>
      </c>
      <c r="EN25" s="6"/>
    </row>
    <row r="26" spans="1:144">
      <c r="A26">
        <v>1777968000000</v>
      </c>
      <c r="B26">
        <v>6.1</v>
      </c>
      <c r="D26">
        <v>1777966200000</v>
      </c>
      <c r="E26">
        <v>10.38</v>
      </c>
      <c r="G26">
        <v>1777971600000</v>
      </c>
      <c r="H26">
        <v>12.6</v>
      </c>
      <c r="J26">
        <v>1777966200000</v>
      </c>
      <c r="K26">
        <v>9.6</v>
      </c>
      <c r="M26">
        <v>1777966200000</v>
      </c>
      <c r="N26">
        <v>27.8</v>
      </c>
      <c r="P26">
        <v>1777966200000</v>
      </c>
      <c r="Q26">
        <v>6.69</v>
      </c>
      <c r="S26">
        <v>1777967100000</v>
      </c>
      <c r="T26">
        <v>58.3</v>
      </c>
      <c r="V26">
        <v>1777966200000</v>
      </c>
      <c r="W26">
        <v>9.4</v>
      </c>
      <c r="X26" s="6"/>
      <c r="Y26">
        <v>1778053500000</v>
      </c>
      <c r="Z26" s="4">
        <v>6.77</v>
      </c>
      <c r="AB26">
        <v>1778052600000</v>
      </c>
      <c r="AC26">
        <v>4.9800000000000004</v>
      </c>
      <c r="AE26">
        <v>1778062500000</v>
      </c>
      <c r="AF26">
        <v>13.7</v>
      </c>
      <c r="AH26">
        <v>1778052600000</v>
      </c>
      <c r="AI26">
        <v>5.92</v>
      </c>
      <c r="AK26">
        <v>1778052600000</v>
      </c>
      <c r="AL26">
        <v>8.34</v>
      </c>
      <c r="AN26">
        <v>1778052600000</v>
      </c>
      <c r="AO26">
        <v>3.69</v>
      </c>
      <c r="AQ26">
        <v>1778052600000</v>
      </c>
      <c r="AR26">
        <v>26.45</v>
      </c>
      <c r="AT26">
        <v>1778052600000</v>
      </c>
      <c r="AU26">
        <v>12.73</v>
      </c>
      <c r="AV26" s="6"/>
      <c r="AW26">
        <v>1779092100000</v>
      </c>
      <c r="AX26" s="4">
        <v>14.5</v>
      </c>
      <c r="AZ26">
        <v>1779089400000</v>
      </c>
      <c r="BA26">
        <v>1.94</v>
      </c>
      <c r="BC26">
        <v>1779100200000</v>
      </c>
      <c r="BD26">
        <v>6.55</v>
      </c>
      <c r="BF26">
        <v>1779089400000</v>
      </c>
      <c r="BG26">
        <v>9.1999999999999993</v>
      </c>
      <c r="BI26">
        <v>1779089400000</v>
      </c>
      <c r="BJ26">
        <v>19.809999999999999</v>
      </c>
      <c r="BL26">
        <v>1779089400000</v>
      </c>
      <c r="BM26">
        <v>4.47</v>
      </c>
      <c r="BO26">
        <v>1779089400000</v>
      </c>
      <c r="BP26">
        <v>14.13</v>
      </c>
      <c r="BR26">
        <v>1779089400000</v>
      </c>
      <c r="BS26">
        <v>19.23</v>
      </c>
      <c r="BT26" s="6"/>
      <c r="BU26">
        <v>1782200700000</v>
      </c>
      <c r="BV26" s="4">
        <v>31.55</v>
      </c>
      <c r="BX26">
        <v>1782199800000</v>
      </c>
      <c r="BY26">
        <v>8.86</v>
      </c>
      <c r="CA26">
        <v>1782200700000</v>
      </c>
      <c r="CB26">
        <v>42.3</v>
      </c>
      <c r="CD26">
        <v>1782199800000</v>
      </c>
      <c r="CE26">
        <v>17.04</v>
      </c>
      <c r="CG26">
        <v>1782199800000</v>
      </c>
      <c r="CH26">
        <v>12.6</v>
      </c>
      <c r="CJ26">
        <v>1782199800000</v>
      </c>
      <c r="CK26">
        <v>8.1199999999999992</v>
      </c>
      <c r="CM26">
        <v>1782199800000</v>
      </c>
      <c r="CN26">
        <v>36.5</v>
      </c>
      <c r="CP26">
        <v>1782199800000</v>
      </c>
      <c r="CQ26">
        <v>34.700000000000003</v>
      </c>
      <c r="CR26" s="6"/>
      <c r="CS26">
        <v>1784016900000</v>
      </c>
      <c r="CT26" s="4">
        <v>1.7</v>
      </c>
      <c r="CV26">
        <v>1784014200000</v>
      </c>
      <c r="CW26">
        <v>8.2799999999999994</v>
      </c>
      <c r="CY26">
        <v>1784014200000</v>
      </c>
      <c r="CZ26">
        <v>6.1</v>
      </c>
      <c r="DB26">
        <v>1784014200000</v>
      </c>
      <c r="DC26">
        <v>18.93</v>
      </c>
      <c r="DE26">
        <v>1784014200000</v>
      </c>
      <c r="DF26">
        <v>14.02</v>
      </c>
      <c r="DH26">
        <v>1784014200000</v>
      </c>
      <c r="DI26">
        <v>10.8</v>
      </c>
      <c r="DK26">
        <v>1784014200000</v>
      </c>
      <c r="DL26">
        <v>8.5</v>
      </c>
      <c r="DN26">
        <v>1784014200000</v>
      </c>
      <c r="DO26">
        <v>8.0299999999999994</v>
      </c>
      <c r="DP26" s="6"/>
      <c r="DQ26">
        <v>1784100600000</v>
      </c>
      <c r="DR26" s="4">
        <v>8.1999999999999993</v>
      </c>
      <c r="DT26">
        <v>1784101500000</v>
      </c>
      <c r="DU26">
        <v>4.05</v>
      </c>
      <c r="DW26">
        <v>1784106000000</v>
      </c>
      <c r="DX26">
        <v>4.4000000000000004</v>
      </c>
      <c r="DZ26">
        <v>1784100600000</v>
      </c>
      <c r="EA26">
        <v>11.74</v>
      </c>
      <c r="EC26">
        <v>1784100600000</v>
      </c>
      <c r="ED26">
        <v>15.26</v>
      </c>
      <c r="EF26">
        <v>1784100600000</v>
      </c>
      <c r="EG26">
        <v>4.93</v>
      </c>
      <c r="EI26">
        <v>1784101500000</v>
      </c>
      <c r="EJ26">
        <v>23.38</v>
      </c>
      <c r="EL26">
        <v>1784100600000</v>
      </c>
      <c r="EM26">
        <v>8.1</v>
      </c>
      <c r="EN26" s="6"/>
    </row>
    <row r="27" spans="1:144">
      <c r="A27">
        <v>1777968900000</v>
      </c>
      <c r="B27">
        <v>4.5</v>
      </c>
      <c r="D27">
        <v>1777967100000</v>
      </c>
      <c r="E27">
        <v>6.4</v>
      </c>
      <c r="G27">
        <v>1777972500000</v>
      </c>
      <c r="H27">
        <v>6.1</v>
      </c>
      <c r="J27">
        <v>1777967100000</v>
      </c>
      <c r="K27">
        <v>8.1999999999999993</v>
      </c>
      <c r="M27">
        <v>1777967100000</v>
      </c>
      <c r="N27">
        <v>20.9</v>
      </c>
      <c r="P27">
        <v>1777967100000</v>
      </c>
      <c r="Q27">
        <v>2.83</v>
      </c>
      <c r="S27">
        <v>1777968900000</v>
      </c>
      <c r="T27">
        <v>28.3</v>
      </c>
      <c r="V27">
        <v>1777967100000</v>
      </c>
      <c r="W27">
        <v>15.66</v>
      </c>
      <c r="X27" s="6"/>
      <c r="Y27">
        <v>1778054400000</v>
      </c>
      <c r="Z27" s="4">
        <v>3.9</v>
      </c>
      <c r="AB27">
        <v>1778053500000</v>
      </c>
      <c r="AC27">
        <v>1.42</v>
      </c>
      <c r="AE27">
        <v>1778064300000</v>
      </c>
      <c r="AF27">
        <v>32.1</v>
      </c>
      <c r="AH27">
        <v>1778053500000</v>
      </c>
      <c r="AI27">
        <v>16.32</v>
      </c>
      <c r="AK27">
        <v>1778053500000</v>
      </c>
      <c r="AL27">
        <v>16.32</v>
      </c>
      <c r="AN27">
        <v>1778053500000</v>
      </c>
      <c r="AO27">
        <v>4.99</v>
      </c>
      <c r="AQ27">
        <v>1778053500000</v>
      </c>
      <c r="AR27">
        <v>12.9</v>
      </c>
      <c r="AT27">
        <v>1778053500000</v>
      </c>
      <c r="AU27">
        <v>19.43</v>
      </c>
      <c r="AV27" s="6"/>
      <c r="AW27">
        <v>1779093900000</v>
      </c>
      <c r="AX27" s="4">
        <v>6.65</v>
      </c>
      <c r="AZ27">
        <v>1779090300000</v>
      </c>
      <c r="BA27">
        <v>3.3</v>
      </c>
      <c r="BC27">
        <v>1779102900000</v>
      </c>
      <c r="BD27">
        <v>49.4</v>
      </c>
      <c r="BF27">
        <v>1779090300000</v>
      </c>
      <c r="BG27">
        <v>21.6</v>
      </c>
      <c r="BI27">
        <v>1779090300000</v>
      </c>
      <c r="BJ27">
        <v>23.8</v>
      </c>
      <c r="BL27">
        <v>1779090300000</v>
      </c>
      <c r="BM27">
        <v>2.11</v>
      </c>
      <c r="BO27">
        <v>1779090300000</v>
      </c>
      <c r="BP27">
        <v>19.670000000000002</v>
      </c>
      <c r="BR27">
        <v>1779090300000</v>
      </c>
      <c r="BS27">
        <v>22</v>
      </c>
      <c r="BT27" s="6"/>
      <c r="BU27">
        <v>1782201600000</v>
      </c>
      <c r="BV27" s="4">
        <v>6.1</v>
      </c>
      <c r="BX27">
        <v>1782200700000</v>
      </c>
      <c r="BY27">
        <v>9.8699999999999992</v>
      </c>
      <c r="CA27">
        <v>1782201600000</v>
      </c>
      <c r="CB27">
        <v>6.1</v>
      </c>
      <c r="CD27">
        <v>1782200700000</v>
      </c>
      <c r="CE27">
        <v>17.649999999999999</v>
      </c>
      <c r="CG27">
        <v>1782200700000</v>
      </c>
      <c r="CH27">
        <v>26.64</v>
      </c>
      <c r="CJ27">
        <v>1782200700000</v>
      </c>
      <c r="CK27">
        <v>6.18</v>
      </c>
      <c r="CM27">
        <v>1782200700000</v>
      </c>
      <c r="CN27">
        <v>35.6</v>
      </c>
      <c r="CP27">
        <v>1782200700000</v>
      </c>
      <c r="CQ27">
        <v>13.96</v>
      </c>
      <c r="CR27" s="6"/>
      <c r="CS27">
        <v>1784017800000</v>
      </c>
      <c r="CT27" s="4">
        <v>3</v>
      </c>
      <c r="CV27">
        <v>1784016000000</v>
      </c>
      <c r="CW27">
        <v>6.9</v>
      </c>
      <c r="CY27">
        <v>1784015100000</v>
      </c>
      <c r="CZ27">
        <v>28.3</v>
      </c>
      <c r="DB27">
        <v>1784015100000</v>
      </c>
      <c r="DC27">
        <v>10.98</v>
      </c>
      <c r="DE27">
        <v>1784015100000</v>
      </c>
      <c r="DF27">
        <v>24.65</v>
      </c>
      <c r="DH27">
        <v>1784015100000</v>
      </c>
      <c r="DI27">
        <v>3.17</v>
      </c>
      <c r="DK27">
        <v>1784015100000</v>
      </c>
      <c r="DL27">
        <v>12.7</v>
      </c>
      <c r="DN27">
        <v>1784015100000</v>
      </c>
      <c r="DO27">
        <v>5.9</v>
      </c>
      <c r="DP27" s="6"/>
      <c r="DQ27">
        <v>1784101500000</v>
      </c>
      <c r="DR27" s="4">
        <v>22.83</v>
      </c>
      <c r="DT27">
        <v>1784102400000</v>
      </c>
      <c r="DU27">
        <v>10.1</v>
      </c>
      <c r="DW27">
        <v>1784108700000</v>
      </c>
      <c r="DX27">
        <v>27.5</v>
      </c>
      <c r="DZ27">
        <v>1784101500000</v>
      </c>
      <c r="EA27">
        <v>9.44</v>
      </c>
      <c r="EC27">
        <v>1784101500000</v>
      </c>
      <c r="ED27">
        <v>18.66</v>
      </c>
      <c r="EF27">
        <v>1784101500000</v>
      </c>
      <c r="EG27">
        <v>1.75</v>
      </c>
      <c r="EI27">
        <v>1784102400000</v>
      </c>
      <c r="EJ27">
        <v>16.93</v>
      </c>
      <c r="EL27">
        <v>1784101500000</v>
      </c>
      <c r="EM27">
        <v>19.899999999999999</v>
      </c>
      <c r="EN27" s="6"/>
    </row>
    <row r="28" spans="1:144">
      <c r="A28">
        <v>1777970700000</v>
      </c>
      <c r="B28">
        <v>6.1</v>
      </c>
      <c r="D28">
        <v>1777968000000</v>
      </c>
      <c r="E28">
        <v>7.15</v>
      </c>
      <c r="G28">
        <v>1777974300000</v>
      </c>
      <c r="H28">
        <v>27.5</v>
      </c>
      <c r="J28">
        <v>1777968000000</v>
      </c>
      <c r="K28">
        <v>6.55</v>
      </c>
      <c r="M28">
        <v>1777968000000</v>
      </c>
      <c r="N28">
        <v>5.9</v>
      </c>
      <c r="P28">
        <v>1777968000000</v>
      </c>
      <c r="Q28">
        <v>4.8499999999999996</v>
      </c>
      <c r="S28">
        <v>1777969800000</v>
      </c>
      <c r="T28">
        <v>14.23</v>
      </c>
      <c r="V28">
        <v>1777968000000</v>
      </c>
      <c r="W28">
        <v>6.2</v>
      </c>
      <c r="X28" s="6"/>
      <c r="Y28">
        <v>1778055300000</v>
      </c>
      <c r="Z28" s="4">
        <v>6.1</v>
      </c>
      <c r="AB28">
        <v>1778054400000</v>
      </c>
      <c r="AC28">
        <v>4.37</v>
      </c>
      <c r="AE28">
        <v>1778066100000</v>
      </c>
      <c r="AF28">
        <v>19.600000000000001</v>
      </c>
      <c r="AH28">
        <v>1778054400000</v>
      </c>
      <c r="AI28">
        <v>12.7</v>
      </c>
      <c r="AK28">
        <v>1778054400000</v>
      </c>
      <c r="AL28">
        <v>10.5</v>
      </c>
      <c r="AN28">
        <v>1778054400000</v>
      </c>
      <c r="AO28">
        <v>1.91</v>
      </c>
      <c r="AQ28">
        <v>1778054400000</v>
      </c>
      <c r="AR28">
        <v>9.52</v>
      </c>
      <c r="AT28">
        <v>1778054400000</v>
      </c>
      <c r="AU28">
        <v>18.8</v>
      </c>
      <c r="AV28" s="6"/>
      <c r="AW28">
        <v>1779094800000</v>
      </c>
      <c r="AX28" s="4">
        <v>6.1</v>
      </c>
      <c r="AZ28">
        <v>1779091200000</v>
      </c>
      <c r="BA28">
        <v>4.3600000000000003</v>
      </c>
      <c r="BC28">
        <v>1779103800000</v>
      </c>
      <c r="BD28">
        <v>36.700000000000003</v>
      </c>
      <c r="BF28">
        <v>1779091200000</v>
      </c>
      <c r="BG28">
        <v>11.25</v>
      </c>
      <c r="BI28">
        <v>1779091200000</v>
      </c>
      <c r="BJ28">
        <v>6.4</v>
      </c>
      <c r="BL28">
        <v>1779091200000</v>
      </c>
      <c r="BM28">
        <v>6.8</v>
      </c>
      <c r="BO28">
        <v>1779091200000</v>
      </c>
      <c r="BP28">
        <v>8.1999999999999993</v>
      </c>
      <c r="BR28">
        <v>1779091200000</v>
      </c>
      <c r="BS28">
        <v>16.05</v>
      </c>
      <c r="BT28" s="6"/>
      <c r="BU28">
        <v>1782203400000</v>
      </c>
      <c r="BV28" s="4">
        <v>8.9</v>
      </c>
      <c r="BX28">
        <v>1782201600000</v>
      </c>
      <c r="BY28">
        <v>1.3</v>
      </c>
      <c r="CA28">
        <v>1782203400000</v>
      </c>
      <c r="CB28">
        <v>6.1</v>
      </c>
      <c r="CD28">
        <v>1782201600000</v>
      </c>
      <c r="CE28">
        <v>9.6</v>
      </c>
      <c r="CG28">
        <v>1782201600000</v>
      </c>
      <c r="CH28">
        <v>6.7</v>
      </c>
      <c r="CJ28">
        <v>1782201600000</v>
      </c>
      <c r="CK28">
        <v>0.6</v>
      </c>
      <c r="CM28">
        <v>1782201600000</v>
      </c>
      <c r="CN28">
        <v>6.5</v>
      </c>
      <c r="CP28">
        <v>1782201600000</v>
      </c>
      <c r="CQ28">
        <v>10.199999999999999</v>
      </c>
      <c r="CR28" s="6"/>
      <c r="CS28">
        <v>1784018700000</v>
      </c>
      <c r="CT28" s="4">
        <v>1.6</v>
      </c>
      <c r="CV28">
        <v>1784019600000</v>
      </c>
      <c r="CW28">
        <v>1.1000000000000001</v>
      </c>
      <c r="CY28">
        <v>1784018700000</v>
      </c>
      <c r="CZ28">
        <v>6.1</v>
      </c>
      <c r="DB28">
        <v>1784016000000</v>
      </c>
      <c r="DC28">
        <v>6.1</v>
      </c>
      <c r="DE28">
        <v>1784016000000</v>
      </c>
      <c r="DF28">
        <v>6.17</v>
      </c>
      <c r="DH28">
        <v>1784016000000</v>
      </c>
      <c r="DI28">
        <v>1.9</v>
      </c>
      <c r="DK28">
        <v>1784016000000</v>
      </c>
      <c r="DL28">
        <v>5.4</v>
      </c>
      <c r="DN28">
        <v>1784016000000</v>
      </c>
      <c r="DO28">
        <v>10.029999999999999</v>
      </c>
      <c r="DP28" s="6"/>
      <c r="DQ28">
        <v>1784104200000</v>
      </c>
      <c r="DR28" s="4">
        <v>7.57</v>
      </c>
      <c r="DT28">
        <v>1784103300000</v>
      </c>
      <c r="DU28">
        <v>5.2</v>
      </c>
      <c r="DW28">
        <v>1784109600000</v>
      </c>
      <c r="DX28">
        <v>6.3</v>
      </c>
      <c r="DZ28">
        <v>1784102400000</v>
      </c>
      <c r="EA28">
        <v>16.399999999999999</v>
      </c>
      <c r="EC28">
        <v>1784102400000</v>
      </c>
      <c r="ED28">
        <v>14.87</v>
      </c>
      <c r="EF28">
        <v>1784102400000</v>
      </c>
      <c r="EG28">
        <v>4.4000000000000004</v>
      </c>
      <c r="EI28">
        <v>1784103300000</v>
      </c>
      <c r="EJ28">
        <v>19.7</v>
      </c>
      <c r="EL28">
        <v>1784102400000</v>
      </c>
      <c r="EM28">
        <v>20.94</v>
      </c>
      <c r="EN28" s="6"/>
    </row>
    <row r="29" spans="1:144">
      <c r="A29">
        <v>1777972500000</v>
      </c>
      <c r="B29">
        <v>7.1</v>
      </c>
      <c r="D29">
        <v>1777968900000</v>
      </c>
      <c r="E29">
        <v>5.6</v>
      </c>
      <c r="G29">
        <v>1777976100000</v>
      </c>
      <c r="H29">
        <v>22.4</v>
      </c>
      <c r="J29">
        <v>1777968900000</v>
      </c>
      <c r="K29">
        <v>9.4600000000000009</v>
      </c>
      <c r="M29">
        <v>1777968900000</v>
      </c>
      <c r="N29">
        <v>11.2</v>
      </c>
      <c r="P29">
        <v>1777968900000</v>
      </c>
      <c r="Q29">
        <v>1.08</v>
      </c>
      <c r="S29">
        <v>1777971600000</v>
      </c>
      <c r="T29">
        <v>6.1</v>
      </c>
      <c r="V29">
        <v>1777968900000</v>
      </c>
      <c r="W29">
        <v>17.8</v>
      </c>
      <c r="X29" s="6"/>
      <c r="Y29">
        <v>1778056200000</v>
      </c>
      <c r="Z29" s="4">
        <v>6.1</v>
      </c>
      <c r="AB29">
        <v>1778055300000</v>
      </c>
      <c r="AC29">
        <v>2.33</v>
      </c>
      <c r="AE29">
        <v>1778067000000</v>
      </c>
      <c r="AF29">
        <v>20.5</v>
      </c>
      <c r="AH29">
        <v>1778055300000</v>
      </c>
      <c r="AI29">
        <v>18.350000000000001</v>
      </c>
      <c r="AK29">
        <v>1778055300000</v>
      </c>
      <c r="AL29">
        <v>13.25</v>
      </c>
      <c r="AN29">
        <v>1778055300000</v>
      </c>
      <c r="AO29">
        <v>3.2</v>
      </c>
      <c r="AQ29">
        <v>1778055300000</v>
      </c>
      <c r="AR29">
        <v>7</v>
      </c>
      <c r="AT29">
        <v>1778055300000</v>
      </c>
      <c r="AU29">
        <v>10.73</v>
      </c>
      <c r="AV29" s="6"/>
      <c r="AW29">
        <v>1779099300000</v>
      </c>
      <c r="AX29" s="4">
        <v>24.4</v>
      </c>
      <c r="AZ29">
        <v>1779092100000</v>
      </c>
      <c r="BA29">
        <v>0.77</v>
      </c>
      <c r="BC29">
        <v>1779104700000</v>
      </c>
      <c r="BD29">
        <v>26.5</v>
      </c>
      <c r="BF29">
        <v>1779092100000</v>
      </c>
      <c r="BG29">
        <v>15.67</v>
      </c>
      <c r="BI29">
        <v>1779092100000</v>
      </c>
      <c r="BJ29">
        <v>12.2</v>
      </c>
      <c r="BL29">
        <v>1779092100000</v>
      </c>
      <c r="BM29">
        <v>12.04</v>
      </c>
      <c r="BO29">
        <v>1779092100000</v>
      </c>
      <c r="BP29">
        <v>12.6</v>
      </c>
      <c r="BR29">
        <v>1779092100000</v>
      </c>
      <c r="BS29">
        <v>19.100000000000001</v>
      </c>
      <c r="BT29" s="6"/>
      <c r="BU29">
        <v>1782204300000</v>
      </c>
      <c r="BV29" s="4">
        <v>4.4000000000000004</v>
      </c>
      <c r="BX29">
        <v>1782202500000</v>
      </c>
      <c r="BY29">
        <v>5.9</v>
      </c>
      <c r="CA29">
        <v>1782205200000</v>
      </c>
      <c r="CB29">
        <v>7.3</v>
      </c>
      <c r="CD29">
        <v>1782202500000</v>
      </c>
      <c r="CE29">
        <v>6.1</v>
      </c>
      <c r="CG29">
        <v>1782202500000</v>
      </c>
      <c r="CH29">
        <v>12.3</v>
      </c>
      <c r="CJ29">
        <v>1782202500000</v>
      </c>
      <c r="CK29">
        <v>2.52</v>
      </c>
      <c r="CM29">
        <v>1782202500000</v>
      </c>
      <c r="CN29">
        <v>7.2</v>
      </c>
      <c r="CP29">
        <v>1782202500000</v>
      </c>
      <c r="CQ29">
        <v>10.35</v>
      </c>
      <c r="CR29" s="6"/>
      <c r="CS29">
        <v>1784019600000</v>
      </c>
      <c r="CT29" s="4">
        <v>6.1</v>
      </c>
      <c r="CV29">
        <v>1784020500000</v>
      </c>
      <c r="CW29">
        <v>1</v>
      </c>
      <c r="CY29">
        <v>1784022300000</v>
      </c>
      <c r="CZ29">
        <v>6.3</v>
      </c>
      <c r="DB29">
        <v>1784016900000</v>
      </c>
      <c r="DC29">
        <v>7</v>
      </c>
      <c r="DE29">
        <v>1784016900000</v>
      </c>
      <c r="DF29">
        <v>15</v>
      </c>
      <c r="DH29">
        <v>1784016900000</v>
      </c>
      <c r="DI29">
        <v>2.46</v>
      </c>
      <c r="DK29">
        <v>1784016900000</v>
      </c>
      <c r="DL29">
        <v>6.73</v>
      </c>
      <c r="DN29">
        <v>1784016900000</v>
      </c>
      <c r="DO29">
        <v>14.27</v>
      </c>
      <c r="DP29" s="6"/>
      <c r="DQ29">
        <v>1784105100000</v>
      </c>
      <c r="DR29" s="4">
        <v>10.95</v>
      </c>
      <c r="DT29">
        <v>1784104200000</v>
      </c>
      <c r="DU29">
        <v>1.9</v>
      </c>
      <c r="DW29">
        <v>1784111400000</v>
      </c>
      <c r="DX29">
        <v>35.299999999999997</v>
      </c>
      <c r="DZ29">
        <v>1784103300000</v>
      </c>
      <c r="EA29">
        <v>8.4499999999999993</v>
      </c>
      <c r="EC29">
        <v>1784103300000</v>
      </c>
      <c r="ED29">
        <v>14.38</v>
      </c>
      <c r="EF29">
        <v>1784103300000</v>
      </c>
      <c r="EG29">
        <v>6.28</v>
      </c>
      <c r="EI29">
        <v>1784104200000</v>
      </c>
      <c r="EJ29">
        <v>9.1</v>
      </c>
      <c r="EL29">
        <v>1784103300000</v>
      </c>
      <c r="EM29">
        <v>6.1</v>
      </c>
      <c r="EN29" s="6"/>
    </row>
    <row r="30" spans="1:144">
      <c r="A30">
        <v>1777974300000</v>
      </c>
      <c r="B30">
        <v>36.700000000000003</v>
      </c>
      <c r="D30">
        <v>1777969800000</v>
      </c>
      <c r="E30">
        <v>1</v>
      </c>
      <c r="G30">
        <v>1777977900000</v>
      </c>
      <c r="H30">
        <v>6.5</v>
      </c>
      <c r="J30">
        <v>1777969800000</v>
      </c>
      <c r="K30">
        <v>13.1</v>
      </c>
      <c r="M30">
        <v>1777969800000</v>
      </c>
      <c r="N30">
        <v>28.05</v>
      </c>
      <c r="P30">
        <v>1777969800000</v>
      </c>
      <c r="Q30">
        <v>1.33</v>
      </c>
      <c r="S30">
        <v>1777972500000</v>
      </c>
      <c r="T30">
        <v>6.1</v>
      </c>
      <c r="V30">
        <v>1777970700000</v>
      </c>
      <c r="W30">
        <v>12.75</v>
      </c>
      <c r="X30" s="6"/>
      <c r="Y30">
        <v>1778058000000</v>
      </c>
      <c r="Z30">
        <v>6.1</v>
      </c>
      <c r="AB30">
        <v>1778056200000</v>
      </c>
      <c r="AC30">
        <v>1.7</v>
      </c>
      <c r="AE30">
        <v>1778067900000</v>
      </c>
      <c r="AF30">
        <v>37.5</v>
      </c>
      <c r="AH30">
        <v>1778056200000</v>
      </c>
      <c r="AI30">
        <v>7.9</v>
      </c>
      <c r="AK30">
        <v>1778056200000</v>
      </c>
      <c r="AL30">
        <v>8.3000000000000007</v>
      </c>
      <c r="AN30">
        <v>1778056200000</v>
      </c>
      <c r="AO30">
        <v>1.08</v>
      </c>
      <c r="AQ30">
        <v>1778056200000</v>
      </c>
      <c r="AR30">
        <v>8.75</v>
      </c>
      <c r="AT30">
        <v>1778056200000</v>
      </c>
      <c r="AU30">
        <v>7.8</v>
      </c>
      <c r="AV30" s="6"/>
      <c r="AW30">
        <v>1779100200000</v>
      </c>
      <c r="AX30">
        <v>14.8</v>
      </c>
      <c r="AZ30">
        <v>1779093000000</v>
      </c>
      <c r="BA30">
        <v>0.8</v>
      </c>
      <c r="BC30">
        <v>1779106500000</v>
      </c>
      <c r="BD30">
        <v>6.7</v>
      </c>
      <c r="BF30">
        <v>1779093000000</v>
      </c>
      <c r="BG30">
        <v>8.1</v>
      </c>
      <c r="BI30">
        <v>1779093000000</v>
      </c>
      <c r="BJ30">
        <v>6.1</v>
      </c>
      <c r="BL30">
        <v>1779093000000</v>
      </c>
      <c r="BM30">
        <v>8.6300000000000008</v>
      </c>
      <c r="BO30">
        <v>1779095700000</v>
      </c>
      <c r="BP30">
        <v>38</v>
      </c>
      <c r="BR30">
        <v>1779093000000</v>
      </c>
      <c r="BS30">
        <v>6.9</v>
      </c>
      <c r="BT30" s="6"/>
      <c r="BU30">
        <v>1782205200000</v>
      </c>
      <c r="BV30">
        <v>4.4000000000000004</v>
      </c>
      <c r="BX30">
        <v>1782203400000</v>
      </c>
      <c r="BY30">
        <v>2.72</v>
      </c>
      <c r="CA30">
        <v>1782210600000</v>
      </c>
      <c r="CB30">
        <v>45.9</v>
      </c>
      <c r="CD30">
        <v>1782204300000</v>
      </c>
      <c r="CE30">
        <v>11.7</v>
      </c>
      <c r="CG30">
        <v>1782203400000</v>
      </c>
      <c r="CH30">
        <v>8.65</v>
      </c>
      <c r="CJ30">
        <v>1782203400000</v>
      </c>
      <c r="CK30">
        <v>1.48</v>
      </c>
      <c r="CM30">
        <v>1782203400000</v>
      </c>
      <c r="CN30">
        <v>30.57</v>
      </c>
      <c r="CP30">
        <v>1782203400000</v>
      </c>
      <c r="CQ30">
        <v>7.63</v>
      </c>
      <c r="CR30" s="6"/>
      <c r="CS30">
        <v>1784020500000</v>
      </c>
      <c r="CT30">
        <v>6.1</v>
      </c>
      <c r="CV30">
        <v>1784021400000</v>
      </c>
      <c r="CW30">
        <v>7.97</v>
      </c>
      <c r="CY30">
        <v>1784023200000</v>
      </c>
      <c r="CZ30">
        <v>21</v>
      </c>
      <c r="DB30">
        <v>1784017800000</v>
      </c>
      <c r="DC30">
        <v>5.2</v>
      </c>
      <c r="DE30">
        <v>1784017800000</v>
      </c>
      <c r="DF30">
        <v>6.1</v>
      </c>
      <c r="DH30">
        <v>1784017800000</v>
      </c>
      <c r="DI30">
        <v>1.6</v>
      </c>
      <c r="DK30">
        <v>1784017800000</v>
      </c>
      <c r="DL30">
        <v>21.13</v>
      </c>
      <c r="DN30">
        <v>1784017800000</v>
      </c>
      <c r="DO30">
        <v>9.16</v>
      </c>
      <c r="DP30" s="6"/>
      <c r="DQ30">
        <v>1784106900000</v>
      </c>
      <c r="DR30">
        <v>6.1</v>
      </c>
      <c r="DT30">
        <v>1784105100000</v>
      </c>
      <c r="DU30">
        <v>1.9</v>
      </c>
      <c r="DW30">
        <v>1784113200000</v>
      </c>
      <c r="DX30">
        <v>19.8</v>
      </c>
      <c r="DZ30">
        <v>1784104200000</v>
      </c>
      <c r="EA30">
        <v>9.1300000000000008</v>
      </c>
      <c r="EC30">
        <v>1784104200000</v>
      </c>
      <c r="ED30">
        <v>6.3</v>
      </c>
      <c r="EF30">
        <v>1784104200000</v>
      </c>
      <c r="EG30">
        <v>0.9</v>
      </c>
      <c r="EI30">
        <v>1784105100000</v>
      </c>
      <c r="EJ30">
        <v>17.899999999999999</v>
      </c>
      <c r="EL30">
        <v>1784104200000</v>
      </c>
      <c r="EM30">
        <v>34.9</v>
      </c>
      <c r="EN30" s="6"/>
    </row>
    <row r="31" spans="1:144">
      <c r="A31">
        <v>1777976100000</v>
      </c>
      <c r="B31">
        <v>8.5</v>
      </c>
      <c r="D31">
        <v>1777970700000</v>
      </c>
      <c r="E31">
        <v>2</v>
      </c>
      <c r="G31">
        <v>1777978800000</v>
      </c>
      <c r="H31">
        <v>19.07</v>
      </c>
      <c r="J31">
        <v>1777970700000</v>
      </c>
      <c r="K31">
        <v>6.1</v>
      </c>
      <c r="M31">
        <v>1777970700000</v>
      </c>
      <c r="N31">
        <v>7.07</v>
      </c>
      <c r="P31">
        <v>1777970700000</v>
      </c>
      <c r="Q31">
        <v>0.7</v>
      </c>
      <c r="S31">
        <v>1777973400000</v>
      </c>
      <c r="T31">
        <v>7.4</v>
      </c>
      <c r="V31">
        <v>1777971600000</v>
      </c>
      <c r="W31">
        <v>6.1</v>
      </c>
      <c r="X31" s="6"/>
      <c r="Y31">
        <v>1778058900000</v>
      </c>
      <c r="Z31">
        <v>6.1</v>
      </c>
      <c r="AB31">
        <v>1778057100000</v>
      </c>
      <c r="AC31">
        <v>1.4</v>
      </c>
      <c r="AE31">
        <v>1778068800000</v>
      </c>
      <c r="AF31">
        <v>28.3</v>
      </c>
      <c r="AH31">
        <v>1778057100000</v>
      </c>
      <c r="AI31">
        <v>15</v>
      </c>
      <c r="AK31">
        <v>1778057100000</v>
      </c>
      <c r="AL31">
        <v>6.5</v>
      </c>
      <c r="AN31">
        <v>1778057100000</v>
      </c>
      <c r="AO31">
        <v>3.95</v>
      </c>
      <c r="AQ31">
        <v>1778057100000</v>
      </c>
      <c r="AR31">
        <v>6.1</v>
      </c>
      <c r="AT31">
        <v>1778057100000</v>
      </c>
      <c r="AU31">
        <v>8.1999999999999993</v>
      </c>
      <c r="AV31" s="6"/>
      <c r="AW31">
        <v>1779102000000</v>
      </c>
      <c r="AX31">
        <v>10.3</v>
      </c>
      <c r="AZ31">
        <v>1779093900000</v>
      </c>
      <c r="BA31">
        <v>1.85</v>
      </c>
      <c r="BC31">
        <v>1779107400000</v>
      </c>
      <c r="BD31">
        <v>39.549999999999997</v>
      </c>
      <c r="BF31">
        <v>1779094800000</v>
      </c>
      <c r="BG31">
        <v>10.6</v>
      </c>
      <c r="BI31">
        <v>1779093900000</v>
      </c>
      <c r="BJ31">
        <v>13.45</v>
      </c>
      <c r="BL31">
        <v>1779093900000</v>
      </c>
      <c r="BM31">
        <v>1.05</v>
      </c>
      <c r="BO31">
        <v>1779096600000</v>
      </c>
      <c r="BP31">
        <v>19.600000000000001</v>
      </c>
      <c r="BR31">
        <v>1779093900000</v>
      </c>
      <c r="BS31">
        <v>13.9</v>
      </c>
      <c r="BT31" s="6"/>
      <c r="BU31">
        <v>1782207000000</v>
      </c>
      <c r="BV31">
        <v>14.4</v>
      </c>
      <c r="BX31">
        <v>1782204300000</v>
      </c>
      <c r="BY31">
        <v>8.6</v>
      </c>
      <c r="CA31">
        <v>1782211500000</v>
      </c>
      <c r="CB31">
        <v>6.1</v>
      </c>
      <c r="CD31">
        <v>1782205200000</v>
      </c>
      <c r="CE31">
        <v>4.8</v>
      </c>
      <c r="CG31">
        <v>1782204300000</v>
      </c>
      <c r="CH31">
        <v>6.2</v>
      </c>
      <c r="CJ31">
        <v>1782204300000</v>
      </c>
      <c r="CK31">
        <v>1.04</v>
      </c>
      <c r="CM31">
        <v>1782206100000</v>
      </c>
      <c r="CN31">
        <v>13.1</v>
      </c>
      <c r="CP31">
        <v>1782204300000</v>
      </c>
      <c r="CQ31">
        <v>20.399999999999999</v>
      </c>
      <c r="CR31" s="6"/>
      <c r="CS31">
        <v>1784021400000</v>
      </c>
      <c r="CT31">
        <v>22</v>
      </c>
      <c r="CV31">
        <v>1784022300000</v>
      </c>
      <c r="CW31">
        <v>7.67</v>
      </c>
      <c r="CY31">
        <v>1784025900000</v>
      </c>
      <c r="CZ31">
        <v>46.15</v>
      </c>
      <c r="DB31">
        <v>1784018700000</v>
      </c>
      <c r="DC31">
        <v>6.1</v>
      </c>
      <c r="DE31">
        <v>1784018700000</v>
      </c>
      <c r="DF31">
        <v>6.1</v>
      </c>
      <c r="DH31">
        <v>1784018700000</v>
      </c>
      <c r="DI31">
        <v>3.73</v>
      </c>
      <c r="DK31">
        <v>1784018700000</v>
      </c>
      <c r="DL31">
        <v>6.1</v>
      </c>
      <c r="DN31">
        <v>1784018700000</v>
      </c>
      <c r="DO31">
        <v>9.67</v>
      </c>
      <c r="DP31" s="6"/>
      <c r="DQ31">
        <v>1784107800000</v>
      </c>
      <c r="DR31">
        <v>8.17</v>
      </c>
      <c r="DT31">
        <v>1784108700000</v>
      </c>
      <c r="DU31">
        <v>9.1999999999999993</v>
      </c>
      <c r="DW31">
        <v>1784115000000</v>
      </c>
      <c r="DX31">
        <v>42.37</v>
      </c>
      <c r="DZ31">
        <v>1784105100000</v>
      </c>
      <c r="EA31">
        <v>9.3000000000000007</v>
      </c>
      <c r="EC31">
        <v>1784105100000</v>
      </c>
      <c r="ED31">
        <v>11.53</v>
      </c>
      <c r="EF31">
        <v>1784105100000</v>
      </c>
      <c r="EG31">
        <v>2.2200000000000002</v>
      </c>
      <c r="EI31">
        <v>1784106900000</v>
      </c>
      <c r="EJ31">
        <v>14.7</v>
      </c>
      <c r="EL31">
        <v>1784105100000</v>
      </c>
      <c r="EM31">
        <v>10.77</v>
      </c>
      <c r="EN31" s="6"/>
    </row>
    <row r="32" spans="1:144">
      <c r="A32">
        <v>1777977000000</v>
      </c>
      <c r="B32">
        <v>18.649999999999999</v>
      </c>
      <c r="D32">
        <v>1777971600000</v>
      </c>
      <c r="E32">
        <v>1.6</v>
      </c>
      <c r="G32">
        <v>1777980600000</v>
      </c>
      <c r="H32">
        <v>5.95</v>
      </c>
      <c r="J32">
        <v>1777971600000</v>
      </c>
      <c r="K32">
        <v>8</v>
      </c>
      <c r="M32">
        <v>1777971600000</v>
      </c>
      <c r="N32">
        <v>8.93</v>
      </c>
      <c r="P32">
        <v>1777971600000</v>
      </c>
      <c r="Q32">
        <v>3.17</v>
      </c>
      <c r="S32">
        <v>1777974300000</v>
      </c>
      <c r="T32">
        <v>24.85</v>
      </c>
      <c r="V32">
        <v>1777972500000</v>
      </c>
      <c r="W32">
        <v>6.5</v>
      </c>
      <c r="X32" s="6"/>
      <c r="Y32">
        <v>1778059800000</v>
      </c>
      <c r="Z32">
        <v>18.05</v>
      </c>
      <c r="AB32">
        <v>1778058000000</v>
      </c>
      <c r="AC32">
        <v>0.2</v>
      </c>
      <c r="AE32">
        <v>1778069700000</v>
      </c>
      <c r="AF32">
        <v>21.8</v>
      </c>
      <c r="AH32">
        <v>1778058900000</v>
      </c>
      <c r="AI32">
        <v>7</v>
      </c>
      <c r="AK32">
        <v>1778058000000</v>
      </c>
      <c r="AL32">
        <v>22.1</v>
      </c>
      <c r="AN32">
        <v>1778058000000</v>
      </c>
      <c r="AO32">
        <v>3.18</v>
      </c>
      <c r="AQ32">
        <v>1778058000000</v>
      </c>
      <c r="AR32">
        <v>7.77</v>
      </c>
      <c r="AT32">
        <v>1778058000000</v>
      </c>
      <c r="AU32">
        <v>11.14</v>
      </c>
      <c r="AV32" s="6"/>
      <c r="AW32">
        <v>1779102900000</v>
      </c>
      <c r="AX32">
        <v>11.95</v>
      </c>
      <c r="AZ32">
        <v>1779094800000</v>
      </c>
      <c r="BA32">
        <v>1.2</v>
      </c>
      <c r="BC32">
        <v>1779108300000</v>
      </c>
      <c r="BD32">
        <v>48.65</v>
      </c>
      <c r="BF32">
        <v>1779095700000</v>
      </c>
      <c r="BG32">
        <v>10.9</v>
      </c>
      <c r="BI32">
        <v>1779094800000</v>
      </c>
      <c r="BJ32">
        <v>17.05</v>
      </c>
      <c r="BL32">
        <v>1779094800000</v>
      </c>
      <c r="BM32">
        <v>2.15</v>
      </c>
      <c r="BO32">
        <v>1779097500000</v>
      </c>
      <c r="BP32">
        <v>6.9</v>
      </c>
      <c r="BR32">
        <v>1779094800000</v>
      </c>
      <c r="BS32">
        <v>8.0299999999999994</v>
      </c>
      <c r="BT32" s="6"/>
      <c r="BU32">
        <v>1782209700000</v>
      </c>
      <c r="BV32">
        <v>5.7</v>
      </c>
      <c r="BX32">
        <v>1782207000000</v>
      </c>
      <c r="BY32">
        <v>6.07</v>
      </c>
      <c r="CA32">
        <v>1782212400000</v>
      </c>
      <c r="CB32">
        <v>26.6</v>
      </c>
      <c r="CD32">
        <v>1782206100000</v>
      </c>
      <c r="CE32">
        <v>5.27</v>
      </c>
      <c r="CG32">
        <v>1782205200000</v>
      </c>
      <c r="CH32">
        <v>9.5</v>
      </c>
      <c r="CJ32">
        <v>1782205200000</v>
      </c>
      <c r="CK32">
        <v>1.02</v>
      </c>
      <c r="CM32">
        <v>1782207000000</v>
      </c>
      <c r="CN32">
        <v>7.45</v>
      </c>
      <c r="CP32">
        <v>1782205200000</v>
      </c>
      <c r="CQ32">
        <v>10.65</v>
      </c>
      <c r="CR32" s="6"/>
      <c r="CS32">
        <v>1784023200000</v>
      </c>
      <c r="CT32">
        <v>9.8699999999999992</v>
      </c>
      <c r="CV32">
        <v>1784023200000</v>
      </c>
      <c r="CW32">
        <v>13.1</v>
      </c>
      <c r="CY32">
        <v>1784028600000</v>
      </c>
      <c r="CZ32">
        <v>8.3000000000000007</v>
      </c>
      <c r="DB32">
        <v>1784019600000</v>
      </c>
      <c r="DC32">
        <v>17.899999999999999</v>
      </c>
      <c r="DE32">
        <v>1784019600000</v>
      </c>
      <c r="DF32">
        <v>17.670000000000002</v>
      </c>
      <c r="DH32">
        <v>1784019600000</v>
      </c>
      <c r="DI32">
        <v>1.95</v>
      </c>
      <c r="DK32">
        <v>1784019600000</v>
      </c>
      <c r="DL32">
        <v>6.1</v>
      </c>
      <c r="DN32">
        <v>1784019600000</v>
      </c>
      <c r="DO32">
        <v>12.43</v>
      </c>
      <c r="DP32" s="6"/>
      <c r="DQ32">
        <v>1784108700000</v>
      </c>
      <c r="DR32">
        <v>6.1</v>
      </c>
      <c r="DT32">
        <v>1784109600000</v>
      </c>
      <c r="DU32">
        <v>5.7</v>
      </c>
      <c r="DW32">
        <v>1784115900000</v>
      </c>
      <c r="DX32">
        <v>50.1</v>
      </c>
      <c r="DZ32">
        <v>1784106000000</v>
      </c>
      <c r="EA32">
        <v>8.02</v>
      </c>
      <c r="EC32">
        <v>1784106900000</v>
      </c>
      <c r="ED32">
        <v>12.7</v>
      </c>
      <c r="EF32">
        <v>1784106000000</v>
      </c>
      <c r="EG32">
        <v>1.95</v>
      </c>
      <c r="EI32">
        <v>1784107800000</v>
      </c>
      <c r="EJ32">
        <v>51.3</v>
      </c>
      <c r="EL32">
        <v>1784106000000</v>
      </c>
      <c r="EM32">
        <v>8.65</v>
      </c>
      <c r="EN32" s="6"/>
    </row>
    <row r="33" spans="1:144">
      <c r="A33">
        <v>1777977900000</v>
      </c>
      <c r="B33">
        <v>1.7</v>
      </c>
      <c r="D33">
        <v>1777972500000</v>
      </c>
      <c r="E33">
        <v>1.03</v>
      </c>
      <c r="G33">
        <v>1777981500000</v>
      </c>
      <c r="H33">
        <v>54.7</v>
      </c>
      <c r="J33">
        <v>1777973400000</v>
      </c>
      <c r="K33">
        <v>6.1</v>
      </c>
      <c r="M33">
        <v>1777972500000</v>
      </c>
      <c r="N33">
        <v>7.3</v>
      </c>
      <c r="P33">
        <v>1777972500000</v>
      </c>
      <c r="Q33">
        <v>6.3</v>
      </c>
      <c r="S33">
        <v>1777975200000</v>
      </c>
      <c r="T33">
        <v>6.5</v>
      </c>
      <c r="V33">
        <v>1777973400000</v>
      </c>
      <c r="W33">
        <v>10.38</v>
      </c>
      <c r="X33" s="6"/>
      <c r="Y33">
        <v>1778060700000</v>
      </c>
      <c r="Z33">
        <v>51</v>
      </c>
      <c r="AB33">
        <v>1778058900000</v>
      </c>
      <c r="AC33">
        <v>0.4</v>
      </c>
      <c r="AE33">
        <v>1778070600000</v>
      </c>
      <c r="AF33">
        <v>28.03</v>
      </c>
      <c r="AH33">
        <v>1778059800000</v>
      </c>
      <c r="AI33">
        <v>10.1</v>
      </c>
      <c r="AK33">
        <v>1778058900000</v>
      </c>
      <c r="AL33">
        <v>13.22</v>
      </c>
      <c r="AN33">
        <v>1778058900000</v>
      </c>
      <c r="AO33">
        <v>2.86</v>
      </c>
      <c r="AQ33">
        <v>1778058900000</v>
      </c>
      <c r="AR33">
        <v>8.6999999999999993</v>
      </c>
      <c r="AT33">
        <v>1778058900000</v>
      </c>
      <c r="AU33">
        <v>7.2</v>
      </c>
      <c r="AV33" s="6"/>
      <c r="AW33">
        <v>1779103800000</v>
      </c>
      <c r="AX33">
        <v>21.13</v>
      </c>
      <c r="AZ33">
        <v>1779095700000</v>
      </c>
      <c r="BA33">
        <v>3.02</v>
      </c>
      <c r="BC33">
        <v>1779109200000</v>
      </c>
      <c r="BD33">
        <v>76.72</v>
      </c>
      <c r="BF33">
        <v>1779096600000</v>
      </c>
      <c r="BG33">
        <v>14.5</v>
      </c>
      <c r="BI33">
        <v>1779095700000</v>
      </c>
      <c r="BJ33">
        <v>7.1</v>
      </c>
      <c r="BL33">
        <v>1779095700000</v>
      </c>
      <c r="BM33">
        <v>3.38</v>
      </c>
      <c r="BO33">
        <v>1779098400000</v>
      </c>
      <c r="BP33">
        <v>16.2</v>
      </c>
      <c r="BR33">
        <v>1779095700000</v>
      </c>
      <c r="BS33">
        <v>8.9</v>
      </c>
      <c r="BT33" s="6"/>
      <c r="BU33">
        <v>1782211500000</v>
      </c>
      <c r="BV33">
        <v>18.5</v>
      </c>
      <c r="BX33">
        <v>1782207900000</v>
      </c>
      <c r="BY33">
        <v>5.75</v>
      </c>
      <c r="CA33">
        <v>1782213300000</v>
      </c>
      <c r="CB33">
        <v>9.6999999999999993</v>
      </c>
      <c r="CD33">
        <v>1782207900000</v>
      </c>
      <c r="CE33">
        <v>6.3</v>
      </c>
      <c r="CG33">
        <v>1782206100000</v>
      </c>
      <c r="CH33">
        <v>10.9</v>
      </c>
      <c r="CJ33">
        <v>1782207000000</v>
      </c>
      <c r="CK33">
        <v>1.83</v>
      </c>
      <c r="CM33">
        <v>1782207900000</v>
      </c>
      <c r="CN33">
        <v>6.1</v>
      </c>
      <c r="CP33">
        <v>1782206100000</v>
      </c>
      <c r="CQ33">
        <v>7</v>
      </c>
      <c r="CR33" s="6"/>
      <c r="CS33">
        <v>1784025000000</v>
      </c>
      <c r="CT33">
        <v>19.5</v>
      </c>
      <c r="CV33">
        <v>1784024100000</v>
      </c>
      <c r="CW33">
        <v>1.2</v>
      </c>
      <c r="CY33">
        <v>1784029500000</v>
      </c>
      <c r="CZ33">
        <v>34.299999999999997</v>
      </c>
      <c r="DB33">
        <v>1784021400000</v>
      </c>
      <c r="DC33">
        <v>18.57</v>
      </c>
      <c r="DE33">
        <v>1784020500000</v>
      </c>
      <c r="DF33">
        <v>12.05</v>
      </c>
      <c r="DH33">
        <v>1784020500000</v>
      </c>
      <c r="DI33">
        <v>5.7</v>
      </c>
      <c r="DK33">
        <v>1784020500000</v>
      </c>
      <c r="DL33">
        <v>6.17</v>
      </c>
      <c r="DN33">
        <v>1784020500000</v>
      </c>
      <c r="DO33">
        <v>12.07</v>
      </c>
      <c r="DP33" s="6"/>
      <c r="DQ33">
        <v>1784109600000</v>
      </c>
      <c r="DR33">
        <v>42.7</v>
      </c>
      <c r="DT33">
        <v>1784110500000</v>
      </c>
      <c r="DU33">
        <v>2.6</v>
      </c>
      <c r="DW33">
        <v>1784116800000</v>
      </c>
      <c r="DX33">
        <v>23.4</v>
      </c>
      <c r="DZ33">
        <v>1784106900000</v>
      </c>
      <c r="EA33">
        <v>10.4</v>
      </c>
      <c r="EC33">
        <v>1784107800000</v>
      </c>
      <c r="ED33">
        <v>27.65</v>
      </c>
      <c r="EF33">
        <v>1784106900000</v>
      </c>
      <c r="EG33">
        <v>2.15</v>
      </c>
      <c r="EI33">
        <v>1784108700000</v>
      </c>
      <c r="EJ33">
        <v>18.05</v>
      </c>
      <c r="EL33">
        <v>1784106900000</v>
      </c>
      <c r="EM33">
        <v>51.1</v>
      </c>
      <c r="EN33" s="6"/>
    </row>
    <row r="34" spans="1:144">
      <c r="A34">
        <v>1777978800000</v>
      </c>
      <c r="B34">
        <v>43.5</v>
      </c>
      <c r="D34">
        <v>1777973400000</v>
      </c>
      <c r="E34">
        <v>1.1000000000000001</v>
      </c>
      <c r="G34">
        <v>1777982400000</v>
      </c>
      <c r="H34">
        <v>60.38</v>
      </c>
      <c r="J34">
        <v>1777974300000</v>
      </c>
      <c r="K34">
        <v>9.17</v>
      </c>
      <c r="M34">
        <v>1777973400000</v>
      </c>
      <c r="N34">
        <v>6.1</v>
      </c>
      <c r="P34">
        <v>1777973400000</v>
      </c>
      <c r="Q34">
        <v>1.3</v>
      </c>
      <c r="S34">
        <v>1777977000000</v>
      </c>
      <c r="T34">
        <v>14.2</v>
      </c>
      <c r="V34">
        <v>1777974300000</v>
      </c>
      <c r="W34">
        <v>15.85</v>
      </c>
      <c r="X34" s="6"/>
      <c r="Y34">
        <v>1778061600000</v>
      </c>
      <c r="Z34">
        <v>18.3</v>
      </c>
      <c r="AB34">
        <v>1778059800000</v>
      </c>
      <c r="AC34">
        <v>31.54</v>
      </c>
      <c r="AE34">
        <v>1778071500000</v>
      </c>
      <c r="AF34">
        <v>95.23</v>
      </c>
      <c r="AH34">
        <v>1778061600000</v>
      </c>
      <c r="AI34">
        <v>23.9</v>
      </c>
      <c r="AK34">
        <v>1778059800000</v>
      </c>
      <c r="AL34">
        <v>19.600000000000001</v>
      </c>
      <c r="AN34">
        <v>1778059800000</v>
      </c>
      <c r="AO34">
        <v>3.75</v>
      </c>
      <c r="AQ34">
        <v>1778061600000</v>
      </c>
      <c r="AR34">
        <v>17.899999999999999</v>
      </c>
      <c r="AT34">
        <v>1778059800000</v>
      </c>
      <c r="AU34">
        <v>14.3</v>
      </c>
      <c r="AV34" s="6"/>
      <c r="AW34">
        <v>1779104700000</v>
      </c>
      <c r="AX34">
        <v>32.6</v>
      </c>
      <c r="AZ34">
        <v>1779096600000</v>
      </c>
      <c r="BA34">
        <v>3.7</v>
      </c>
      <c r="BC34">
        <v>1779110100000</v>
      </c>
      <c r="BD34">
        <v>45.15</v>
      </c>
      <c r="BF34">
        <v>1779097500000</v>
      </c>
      <c r="BG34">
        <v>9.8000000000000007</v>
      </c>
      <c r="BI34">
        <v>1779096600000</v>
      </c>
      <c r="BJ34">
        <v>6.5</v>
      </c>
      <c r="BL34">
        <v>1779096600000</v>
      </c>
      <c r="BM34">
        <v>3.55</v>
      </c>
      <c r="BO34">
        <v>1779100200000</v>
      </c>
      <c r="BP34">
        <v>12.1</v>
      </c>
      <c r="BR34">
        <v>1779096600000</v>
      </c>
      <c r="BS34">
        <v>9.7799999999999994</v>
      </c>
      <c r="BT34" s="6"/>
      <c r="BU34">
        <v>1782213300000</v>
      </c>
      <c r="BV34">
        <v>27</v>
      </c>
      <c r="BX34">
        <v>1782208800000</v>
      </c>
      <c r="BY34">
        <v>6.93</v>
      </c>
      <c r="CA34">
        <v>1782215100000</v>
      </c>
      <c r="CB34">
        <v>24.85</v>
      </c>
      <c r="CD34">
        <v>1782208800000</v>
      </c>
      <c r="CE34">
        <v>6.1</v>
      </c>
      <c r="CG34">
        <v>1782207900000</v>
      </c>
      <c r="CH34">
        <v>6.1</v>
      </c>
      <c r="CJ34">
        <v>1782207900000</v>
      </c>
      <c r="CK34">
        <v>5.65</v>
      </c>
      <c r="CM34">
        <v>1782208800000</v>
      </c>
      <c r="CN34">
        <v>6.15</v>
      </c>
      <c r="CP34">
        <v>1782207000000</v>
      </c>
      <c r="CQ34">
        <v>8.4</v>
      </c>
      <c r="CR34" s="6"/>
      <c r="CS34">
        <v>1784025900000</v>
      </c>
      <c r="CT34">
        <v>29.4</v>
      </c>
      <c r="CV34">
        <v>1784025000000</v>
      </c>
      <c r="CW34">
        <v>2.9</v>
      </c>
      <c r="CY34">
        <v>1784031300000</v>
      </c>
      <c r="CZ34">
        <v>38.4</v>
      </c>
      <c r="DB34">
        <v>1784022300000</v>
      </c>
      <c r="DC34">
        <v>6.46</v>
      </c>
      <c r="DE34">
        <v>1784021400000</v>
      </c>
      <c r="DF34">
        <v>6.1</v>
      </c>
      <c r="DH34">
        <v>1784021400000</v>
      </c>
      <c r="DI34">
        <v>0.9</v>
      </c>
      <c r="DK34">
        <v>1784021400000</v>
      </c>
      <c r="DL34">
        <v>7.8</v>
      </c>
      <c r="DN34">
        <v>1784021400000</v>
      </c>
      <c r="DO34">
        <v>6.15</v>
      </c>
      <c r="DP34" s="6"/>
      <c r="DQ34">
        <v>1784110500000</v>
      </c>
      <c r="DR34">
        <v>6.1</v>
      </c>
      <c r="DT34">
        <v>1784111400000</v>
      </c>
      <c r="DU34">
        <v>12.5</v>
      </c>
      <c r="DW34">
        <v>1784117700000</v>
      </c>
      <c r="DX34">
        <v>14.63</v>
      </c>
      <c r="DZ34">
        <v>1784107800000</v>
      </c>
      <c r="EA34">
        <v>15.25</v>
      </c>
      <c r="EC34">
        <v>1784108700000</v>
      </c>
      <c r="ED34">
        <v>7.84</v>
      </c>
      <c r="EF34">
        <v>1784107800000</v>
      </c>
      <c r="EG34">
        <v>7.55</v>
      </c>
      <c r="EI34">
        <v>1784109600000</v>
      </c>
      <c r="EJ34">
        <v>27.7</v>
      </c>
      <c r="EL34">
        <v>1784107800000</v>
      </c>
      <c r="EM34">
        <v>16.399999999999999</v>
      </c>
      <c r="EN34" s="6"/>
    </row>
    <row r="35" spans="1:144">
      <c r="A35">
        <v>1777980600000</v>
      </c>
      <c r="B35">
        <v>17.45</v>
      </c>
      <c r="D35">
        <v>1777974300000</v>
      </c>
      <c r="E35">
        <v>3.67</v>
      </c>
      <c r="G35">
        <v>1777983300000</v>
      </c>
      <c r="H35">
        <v>32.700000000000003</v>
      </c>
      <c r="J35">
        <v>1777975200000</v>
      </c>
      <c r="K35">
        <v>6.6</v>
      </c>
      <c r="M35">
        <v>1777974300000</v>
      </c>
      <c r="N35">
        <v>8.6199999999999992</v>
      </c>
      <c r="P35">
        <v>1777974300000</v>
      </c>
      <c r="Q35">
        <v>4.3099999999999996</v>
      </c>
      <c r="S35">
        <v>1777977900000</v>
      </c>
      <c r="T35">
        <v>20.7</v>
      </c>
      <c r="V35">
        <v>1777975200000</v>
      </c>
      <c r="W35">
        <v>7.2</v>
      </c>
      <c r="X35" s="6"/>
      <c r="Y35">
        <v>1778062500000</v>
      </c>
      <c r="Z35">
        <v>6.55</v>
      </c>
      <c r="AB35">
        <v>1778060700000</v>
      </c>
      <c r="AC35">
        <v>21.86</v>
      </c>
      <c r="AE35">
        <v>1778072400000</v>
      </c>
      <c r="AF35">
        <v>90.45</v>
      </c>
      <c r="AH35">
        <v>1778062500000</v>
      </c>
      <c r="AI35">
        <v>14.45</v>
      </c>
      <c r="AK35">
        <v>1778060700000</v>
      </c>
      <c r="AL35">
        <v>64.900000000000006</v>
      </c>
      <c r="AN35">
        <v>1778060700000</v>
      </c>
      <c r="AO35">
        <v>16.21</v>
      </c>
      <c r="AQ35">
        <v>1778062500000</v>
      </c>
      <c r="AR35">
        <v>10.199999999999999</v>
      </c>
      <c r="AT35">
        <v>1778061600000</v>
      </c>
      <c r="AU35">
        <v>8.75</v>
      </c>
      <c r="AV35" s="6"/>
      <c r="AW35">
        <v>1779106500000</v>
      </c>
      <c r="AX35">
        <v>20.8</v>
      </c>
      <c r="AZ35">
        <v>1779097500000</v>
      </c>
      <c r="BA35">
        <v>3.55</v>
      </c>
      <c r="BC35">
        <v>1779111000000</v>
      </c>
      <c r="BD35">
        <v>70.45</v>
      </c>
      <c r="BF35">
        <v>1779098400000</v>
      </c>
      <c r="BG35">
        <v>11.2</v>
      </c>
      <c r="BI35">
        <v>1779097500000</v>
      </c>
      <c r="BJ35">
        <v>8.84</v>
      </c>
      <c r="BL35">
        <v>1779097500000</v>
      </c>
      <c r="BM35">
        <v>3.32</v>
      </c>
      <c r="BO35">
        <v>1779101100000</v>
      </c>
      <c r="BP35">
        <v>7.6</v>
      </c>
      <c r="BR35">
        <v>1779097500000</v>
      </c>
      <c r="BS35">
        <v>10.65</v>
      </c>
      <c r="BT35" s="6"/>
      <c r="BU35">
        <v>1782214200000</v>
      </c>
      <c r="BV35">
        <v>10.5</v>
      </c>
      <c r="BX35">
        <v>1782209700000</v>
      </c>
      <c r="BY35">
        <v>2.65</v>
      </c>
      <c r="CA35">
        <v>1782216000000</v>
      </c>
      <c r="CB35">
        <v>41.2</v>
      </c>
      <c r="CD35">
        <v>1782209700000</v>
      </c>
      <c r="CE35">
        <v>18.47</v>
      </c>
      <c r="CG35">
        <v>1782208800000</v>
      </c>
      <c r="CH35">
        <v>17.5</v>
      </c>
      <c r="CJ35">
        <v>1782208800000</v>
      </c>
      <c r="CK35">
        <v>2.4700000000000002</v>
      </c>
      <c r="CM35">
        <v>1782209700000</v>
      </c>
      <c r="CN35">
        <v>39.049999999999997</v>
      </c>
      <c r="CP35">
        <v>1782207900000</v>
      </c>
      <c r="CQ35">
        <v>8.8000000000000007</v>
      </c>
      <c r="CR35" s="6"/>
      <c r="CS35">
        <v>1784026800000</v>
      </c>
      <c r="CT35">
        <v>19.3</v>
      </c>
      <c r="CV35">
        <v>1784025900000</v>
      </c>
      <c r="CW35">
        <v>8.02</v>
      </c>
      <c r="CY35">
        <v>1784032200000</v>
      </c>
      <c r="CZ35">
        <v>48.08</v>
      </c>
      <c r="DB35">
        <v>1784023200000</v>
      </c>
      <c r="DC35">
        <v>10.93</v>
      </c>
      <c r="DE35">
        <v>1784022300000</v>
      </c>
      <c r="DF35">
        <v>7.2</v>
      </c>
      <c r="DH35">
        <v>1784022300000</v>
      </c>
      <c r="DI35">
        <v>2.2000000000000002</v>
      </c>
      <c r="DK35">
        <v>1784022300000</v>
      </c>
      <c r="DL35">
        <v>4.4000000000000004</v>
      </c>
      <c r="DN35">
        <v>1784022300000</v>
      </c>
      <c r="DO35">
        <v>11.8</v>
      </c>
      <c r="DP35" s="6"/>
      <c r="DQ35">
        <v>1784111400000</v>
      </c>
      <c r="DR35">
        <v>3.95</v>
      </c>
      <c r="DT35">
        <v>1784112300000</v>
      </c>
      <c r="DU35">
        <v>1.55</v>
      </c>
      <c r="DW35">
        <v>1784118600000</v>
      </c>
      <c r="DX35">
        <v>34.159999999999997</v>
      </c>
      <c r="DZ35">
        <v>1784108700000</v>
      </c>
      <c r="EA35">
        <v>7.47</v>
      </c>
      <c r="EC35">
        <v>1784109600000</v>
      </c>
      <c r="ED35">
        <v>30.7</v>
      </c>
      <c r="EF35">
        <v>1784108700000</v>
      </c>
      <c r="EG35">
        <v>6.1</v>
      </c>
      <c r="EI35">
        <v>1784110500000</v>
      </c>
      <c r="EJ35">
        <v>11.15</v>
      </c>
      <c r="EL35">
        <v>1784108700000</v>
      </c>
      <c r="EM35">
        <v>14.53</v>
      </c>
      <c r="EN35" s="6"/>
    </row>
    <row r="36" spans="1:144">
      <c r="A36">
        <v>1777981500000</v>
      </c>
      <c r="B36">
        <v>29.87</v>
      </c>
      <c r="D36">
        <v>1777975200000</v>
      </c>
      <c r="E36">
        <v>7.1</v>
      </c>
      <c r="G36">
        <v>1777984200000</v>
      </c>
      <c r="H36">
        <v>18.77</v>
      </c>
      <c r="J36">
        <v>1777976100000</v>
      </c>
      <c r="K36">
        <v>4.1500000000000004</v>
      </c>
      <c r="M36">
        <v>1777975200000</v>
      </c>
      <c r="N36">
        <v>6.1</v>
      </c>
      <c r="P36">
        <v>1777975200000</v>
      </c>
      <c r="Q36">
        <v>8.68</v>
      </c>
      <c r="S36">
        <v>1777978800000</v>
      </c>
      <c r="T36">
        <v>15</v>
      </c>
      <c r="V36">
        <v>1777976100000</v>
      </c>
      <c r="W36">
        <v>7.47</v>
      </c>
      <c r="X36" s="6"/>
      <c r="Y36">
        <v>1778063400000</v>
      </c>
      <c r="Z36">
        <v>28.8</v>
      </c>
      <c r="AB36">
        <v>1778061600000</v>
      </c>
      <c r="AC36">
        <v>21.57</v>
      </c>
      <c r="AE36">
        <v>1778073300000</v>
      </c>
      <c r="AF36">
        <v>56.67</v>
      </c>
      <c r="AH36">
        <v>1778063400000</v>
      </c>
      <c r="AI36">
        <v>13.2</v>
      </c>
      <c r="AK36">
        <v>1778061600000</v>
      </c>
      <c r="AL36">
        <v>31.4</v>
      </c>
      <c r="AN36">
        <v>1778061600000</v>
      </c>
      <c r="AO36">
        <v>17.32</v>
      </c>
      <c r="AQ36">
        <v>1778064300000</v>
      </c>
      <c r="AR36">
        <v>7.15</v>
      </c>
      <c r="AT36">
        <v>1778062500000</v>
      </c>
      <c r="AU36">
        <v>4.7</v>
      </c>
      <c r="AV36" s="6"/>
      <c r="AW36">
        <v>1779107400000</v>
      </c>
      <c r="AX36">
        <v>28.07</v>
      </c>
      <c r="AZ36">
        <v>1779098400000</v>
      </c>
      <c r="BA36">
        <v>5.55</v>
      </c>
      <c r="BC36">
        <v>1779111900000</v>
      </c>
      <c r="BD36">
        <v>53.05</v>
      </c>
      <c r="BF36">
        <v>1779100200000</v>
      </c>
      <c r="BG36">
        <v>12.13</v>
      </c>
      <c r="BI36">
        <v>1779098400000</v>
      </c>
      <c r="BJ36">
        <v>35.5</v>
      </c>
      <c r="BL36">
        <v>1779098400000</v>
      </c>
      <c r="BM36">
        <v>4.04</v>
      </c>
      <c r="BO36">
        <v>1779102000000</v>
      </c>
      <c r="BP36">
        <v>16.8</v>
      </c>
      <c r="BR36">
        <v>1779098400000</v>
      </c>
      <c r="BS36">
        <v>7.78</v>
      </c>
      <c r="BT36" s="6"/>
      <c r="BU36">
        <v>1782215100000</v>
      </c>
      <c r="BV36">
        <v>36.979999999999997</v>
      </c>
      <c r="BX36">
        <v>1782210600000</v>
      </c>
      <c r="BY36">
        <v>1.6</v>
      </c>
      <c r="CA36">
        <v>1782216900000</v>
      </c>
      <c r="CB36">
        <v>42.85</v>
      </c>
      <c r="CD36">
        <v>1782212400000</v>
      </c>
      <c r="CE36">
        <v>12.16</v>
      </c>
      <c r="CG36">
        <v>1782209700000</v>
      </c>
      <c r="CH36">
        <v>6.47</v>
      </c>
      <c r="CJ36">
        <v>1782209700000</v>
      </c>
      <c r="CK36">
        <v>3.1</v>
      </c>
      <c r="CM36">
        <v>1782211500000</v>
      </c>
      <c r="CN36">
        <v>9.57</v>
      </c>
      <c r="CP36">
        <v>1782208800000</v>
      </c>
      <c r="CQ36">
        <v>16.5</v>
      </c>
      <c r="CR36" s="6"/>
      <c r="CS36">
        <v>1784027700000</v>
      </c>
      <c r="CT36">
        <v>15</v>
      </c>
      <c r="CV36">
        <v>1784026800000</v>
      </c>
      <c r="CW36">
        <v>8.4600000000000009</v>
      </c>
      <c r="CY36">
        <v>1784033100000</v>
      </c>
      <c r="CZ36">
        <v>39.700000000000003</v>
      </c>
      <c r="DB36">
        <v>1784024100000</v>
      </c>
      <c r="DC36">
        <v>13.9</v>
      </c>
      <c r="DE36">
        <v>1784023200000</v>
      </c>
      <c r="DF36">
        <v>25.3</v>
      </c>
      <c r="DH36">
        <v>1784023200000</v>
      </c>
      <c r="DI36">
        <v>6.36</v>
      </c>
      <c r="DK36">
        <v>1784023200000</v>
      </c>
      <c r="DL36">
        <v>39.299999999999997</v>
      </c>
      <c r="DN36">
        <v>1784023200000</v>
      </c>
      <c r="DO36">
        <v>12.12</v>
      </c>
      <c r="DP36" s="6"/>
      <c r="DQ36">
        <v>1784112300000</v>
      </c>
      <c r="DR36">
        <v>10.73</v>
      </c>
      <c r="DT36">
        <v>1784113200000</v>
      </c>
      <c r="DU36">
        <v>10.1</v>
      </c>
      <c r="DW36">
        <v>1784119500000</v>
      </c>
      <c r="DX36">
        <v>41.8</v>
      </c>
      <c r="DZ36">
        <v>1784109600000</v>
      </c>
      <c r="EA36">
        <v>5.73</v>
      </c>
      <c r="EC36">
        <v>1784110500000</v>
      </c>
      <c r="ED36">
        <v>8.17</v>
      </c>
      <c r="EF36">
        <v>1784109600000</v>
      </c>
      <c r="EG36">
        <v>1.1000000000000001</v>
      </c>
      <c r="EI36">
        <v>1784111400000</v>
      </c>
      <c r="EJ36">
        <v>6.5</v>
      </c>
      <c r="EL36">
        <v>1784109600000</v>
      </c>
      <c r="EM36">
        <v>6.55</v>
      </c>
      <c r="EN36" s="6"/>
    </row>
    <row r="37" spans="1:144">
      <c r="A37">
        <v>1777982400000</v>
      </c>
      <c r="B37">
        <v>42.13</v>
      </c>
      <c r="D37">
        <v>1777976100000</v>
      </c>
      <c r="E37">
        <v>6.58</v>
      </c>
      <c r="G37">
        <v>1777985100000</v>
      </c>
      <c r="H37">
        <v>50.4</v>
      </c>
      <c r="J37">
        <v>1777977000000</v>
      </c>
      <c r="K37">
        <v>11.05</v>
      </c>
      <c r="M37">
        <v>1777976100000</v>
      </c>
      <c r="N37">
        <v>7.95</v>
      </c>
      <c r="P37">
        <v>1777976100000</v>
      </c>
      <c r="Q37">
        <v>3.26</v>
      </c>
      <c r="S37">
        <v>1777980600000</v>
      </c>
      <c r="T37">
        <v>24.84</v>
      </c>
      <c r="V37">
        <v>1777977000000</v>
      </c>
      <c r="W37">
        <v>10.44</v>
      </c>
      <c r="X37" s="6"/>
      <c r="Y37">
        <v>1778066100000</v>
      </c>
      <c r="Z37">
        <v>22.05</v>
      </c>
      <c r="AB37">
        <v>1778062500000</v>
      </c>
      <c r="AC37">
        <v>12.24</v>
      </c>
      <c r="AE37">
        <v>1778074200000</v>
      </c>
      <c r="AF37">
        <v>24.43</v>
      </c>
      <c r="AH37">
        <v>1778064300000</v>
      </c>
      <c r="AI37">
        <v>15.06</v>
      </c>
      <c r="AK37">
        <v>1778062500000</v>
      </c>
      <c r="AL37">
        <v>30.42</v>
      </c>
      <c r="AN37">
        <v>1778062500000</v>
      </c>
      <c r="AO37">
        <v>14.28</v>
      </c>
      <c r="AQ37">
        <v>1778065200000</v>
      </c>
      <c r="AR37">
        <v>45.25</v>
      </c>
      <c r="AT37">
        <v>1778063400000</v>
      </c>
      <c r="AU37">
        <v>10.95</v>
      </c>
      <c r="AV37" s="6"/>
      <c r="AW37">
        <v>1779108300000</v>
      </c>
      <c r="AX37">
        <v>53.65</v>
      </c>
      <c r="AZ37">
        <v>1779099300000</v>
      </c>
      <c r="BA37">
        <v>1.34</v>
      </c>
      <c r="BC37">
        <v>1779112800000</v>
      </c>
      <c r="BD37">
        <v>75.36</v>
      </c>
      <c r="BF37">
        <v>1779101100000</v>
      </c>
      <c r="BG37">
        <v>11.93</v>
      </c>
      <c r="BI37">
        <v>1779099300000</v>
      </c>
      <c r="BJ37">
        <v>6.1</v>
      </c>
      <c r="BL37">
        <v>1779099300000</v>
      </c>
      <c r="BM37">
        <v>1.9</v>
      </c>
      <c r="BO37">
        <v>1779102900000</v>
      </c>
      <c r="BP37">
        <v>41.6</v>
      </c>
      <c r="BR37">
        <v>1779099300000</v>
      </c>
      <c r="BS37">
        <v>11.22</v>
      </c>
      <c r="BT37" s="6"/>
      <c r="BU37">
        <v>1782216000000</v>
      </c>
      <c r="BV37">
        <v>33.64</v>
      </c>
      <c r="BX37">
        <v>1782211500000</v>
      </c>
      <c r="BY37">
        <v>5.67</v>
      </c>
      <c r="CA37">
        <v>1782217800000</v>
      </c>
      <c r="CB37">
        <v>33.270000000000003</v>
      </c>
      <c r="CD37">
        <v>1782213300000</v>
      </c>
      <c r="CE37">
        <v>16.600000000000001</v>
      </c>
      <c r="CG37">
        <v>1782210600000</v>
      </c>
      <c r="CH37">
        <v>19.600000000000001</v>
      </c>
      <c r="CJ37">
        <v>1782210600000</v>
      </c>
      <c r="CK37">
        <v>4.9800000000000004</v>
      </c>
      <c r="CM37">
        <v>1782212400000</v>
      </c>
      <c r="CN37">
        <v>22.55</v>
      </c>
      <c r="CP37">
        <v>1782209700000</v>
      </c>
      <c r="CQ37">
        <v>19.72</v>
      </c>
      <c r="CR37" s="6"/>
      <c r="CS37">
        <v>1784028600000</v>
      </c>
      <c r="CT37">
        <v>24.85</v>
      </c>
      <c r="CV37">
        <v>1784027700000</v>
      </c>
      <c r="CW37">
        <v>9.6999999999999993</v>
      </c>
      <c r="CY37">
        <v>1784034000000</v>
      </c>
      <c r="CZ37">
        <v>47.1</v>
      </c>
      <c r="DB37">
        <v>1784025000000</v>
      </c>
      <c r="DC37">
        <v>6.1</v>
      </c>
      <c r="DE37">
        <v>1784024100000</v>
      </c>
      <c r="DF37">
        <v>22.77</v>
      </c>
      <c r="DH37">
        <v>1784024100000</v>
      </c>
      <c r="DI37">
        <v>11.63</v>
      </c>
      <c r="DK37">
        <v>1784024100000</v>
      </c>
      <c r="DL37">
        <v>6.1</v>
      </c>
      <c r="DN37">
        <v>1784024100000</v>
      </c>
      <c r="DO37">
        <v>16.100000000000001</v>
      </c>
      <c r="DP37" s="6"/>
      <c r="DQ37">
        <v>1784113200000</v>
      </c>
      <c r="DR37">
        <v>6.43</v>
      </c>
      <c r="DT37">
        <v>1784114100000</v>
      </c>
      <c r="DU37">
        <v>10.1</v>
      </c>
      <c r="DW37">
        <v>1784120400000</v>
      </c>
      <c r="DX37">
        <v>108.55</v>
      </c>
      <c r="DZ37">
        <v>1784110500000</v>
      </c>
      <c r="EA37">
        <v>9.9</v>
      </c>
      <c r="EC37">
        <v>1784111400000</v>
      </c>
      <c r="ED37">
        <v>22.13</v>
      </c>
      <c r="EF37">
        <v>1784110500000</v>
      </c>
      <c r="EG37">
        <v>0.86</v>
      </c>
      <c r="EI37">
        <v>1784112300000</v>
      </c>
      <c r="EJ37">
        <v>14.1</v>
      </c>
      <c r="EL37">
        <v>1784110500000</v>
      </c>
      <c r="EM37">
        <v>15.67</v>
      </c>
      <c r="EN37" s="6"/>
    </row>
    <row r="38" spans="1:144">
      <c r="A38">
        <v>1777983300000</v>
      </c>
      <c r="B38">
        <v>42.72</v>
      </c>
      <c r="D38">
        <v>1777977000000</v>
      </c>
      <c r="E38">
        <v>4.95</v>
      </c>
      <c r="G38">
        <v>1777986000000</v>
      </c>
      <c r="H38">
        <v>117</v>
      </c>
      <c r="J38">
        <v>1777977900000</v>
      </c>
      <c r="K38">
        <v>10.73</v>
      </c>
      <c r="M38">
        <v>1777977000000</v>
      </c>
      <c r="N38">
        <v>6.1</v>
      </c>
      <c r="P38">
        <v>1777977000000</v>
      </c>
      <c r="Q38">
        <v>1.67</v>
      </c>
      <c r="S38">
        <v>1777981500000</v>
      </c>
      <c r="T38">
        <v>18.399999999999999</v>
      </c>
      <c r="V38">
        <v>1777977900000</v>
      </c>
      <c r="W38">
        <v>17.149999999999999</v>
      </c>
      <c r="X38" s="6"/>
      <c r="Y38">
        <v>1778067000000</v>
      </c>
      <c r="Z38">
        <v>29.15</v>
      </c>
      <c r="AB38">
        <v>1778063400000</v>
      </c>
      <c r="AC38">
        <v>1.2</v>
      </c>
      <c r="AE38">
        <v>1778075100000</v>
      </c>
      <c r="AF38">
        <v>79.239999999999995</v>
      </c>
      <c r="AH38">
        <v>1778065200000</v>
      </c>
      <c r="AI38">
        <v>3.6</v>
      </c>
      <c r="AK38">
        <v>1778063400000</v>
      </c>
      <c r="AL38">
        <v>27.7</v>
      </c>
      <c r="AN38">
        <v>1778063400000</v>
      </c>
      <c r="AO38">
        <v>11.63</v>
      </c>
      <c r="AQ38">
        <v>1778067000000</v>
      </c>
      <c r="AR38">
        <v>27.4</v>
      </c>
      <c r="AT38">
        <v>1778064300000</v>
      </c>
      <c r="AU38">
        <v>21.59</v>
      </c>
      <c r="AV38" s="6"/>
      <c r="AW38">
        <v>1779109200000</v>
      </c>
      <c r="AX38">
        <v>82.97</v>
      </c>
      <c r="AZ38">
        <v>1779100200000</v>
      </c>
      <c r="BA38">
        <v>2.79</v>
      </c>
      <c r="BC38">
        <v>1779113700000</v>
      </c>
      <c r="BD38">
        <v>65.540000000000006</v>
      </c>
      <c r="BF38">
        <v>1779102000000</v>
      </c>
      <c r="BG38">
        <v>23.14</v>
      </c>
      <c r="BI38">
        <v>1779100200000</v>
      </c>
      <c r="BJ38">
        <v>6.1</v>
      </c>
      <c r="BL38">
        <v>1779100200000</v>
      </c>
      <c r="BM38">
        <v>1.66</v>
      </c>
      <c r="BO38">
        <v>1779103800000</v>
      </c>
      <c r="BP38">
        <v>24.35</v>
      </c>
      <c r="BR38">
        <v>1779100200000</v>
      </c>
      <c r="BS38">
        <v>12.82</v>
      </c>
      <c r="BT38" s="6"/>
      <c r="BU38">
        <v>1782216900000</v>
      </c>
      <c r="BV38">
        <v>40.5</v>
      </c>
      <c r="BX38">
        <v>1782212400000</v>
      </c>
      <c r="BY38">
        <v>9.25</v>
      </c>
      <c r="CA38">
        <v>1782218700000</v>
      </c>
      <c r="CB38">
        <v>75.930000000000007</v>
      </c>
      <c r="CD38">
        <v>1782214200000</v>
      </c>
      <c r="CE38">
        <v>27.67</v>
      </c>
      <c r="CG38">
        <v>1782211500000</v>
      </c>
      <c r="CH38">
        <v>21.02</v>
      </c>
      <c r="CJ38">
        <v>1782211500000</v>
      </c>
      <c r="CK38">
        <v>5.75</v>
      </c>
      <c r="CM38">
        <v>1782213300000</v>
      </c>
      <c r="CN38">
        <v>38.17</v>
      </c>
      <c r="CP38">
        <v>1782210600000</v>
      </c>
      <c r="CQ38">
        <v>8.4600000000000009</v>
      </c>
      <c r="CR38" s="6"/>
      <c r="CS38">
        <v>1784029500000</v>
      </c>
      <c r="CT38">
        <v>30.77</v>
      </c>
      <c r="CV38">
        <v>1784028600000</v>
      </c>
      <c r="CW38">
        <v>9.44</v>
      </c>
      <c r="CY38">
        <v>1784034900000</v>
      </c>
      <c r="CZ38">
        <v>66.37</v>
      </c>
      <c r="DB38">
        <v>1784025900000</v>
      </c>
      <c r="DC38">
        <v>3.95</v>
      </c>
      <c r="DE38">
        <v>1784025000000</v>
      </c>
      <c r="DF38">
        <v>10.3</v>
      </c>
      <c r="DH38">
        <v>1784025000000</v>
      </c>
      <c r="DI38">
        <v>0.68</v>
      </c>
      <c r="DK38">
        <v>1784025000000</v>
      </c>
      <c r="DL38">
        <v>15.9</v>
      </c>
      <c r="DN38">
        <v>1784025000000</v>
      </c>
      <c r="DO38">
        <v>11.66</v>
      </c>
      <c r="DP38" s="6"/>
      <c r="DQ38">
        <v>1784114100000</v>
      </c>
      <c r="DR38">
        <v>3.8</v>
      </c>
      <c r="DT38">
        <v>1784115000000</v>
      </c>
      <c r="DU38">
        <v>7.56</v>
      </c>
      <c r="DW38">
        <v>1784121300000</v>
      </c>
      <c r="DX38">
        <v>70.03</v>
      </c>
      <c r="DZ38">
        <v>1784111400000</v>
      </c>
      <c r="EA38">
        <v>12.58</v>
      </c>
      <c r="EC38">
        <v>1784112300000</v>
      </c>
      <c r="ED38">
        <v>24.96</v>
      </c>
      <c r="EF38">
        <v>1784111400000</v>
      </c>
      <c r="EG38">
        <v>3.28</v>
      </c>
      <c r="EI38">
        <v>1784113200000</v>
      </c>
      <c r="EJ38">
        <v>8.1</v>
      </c>
      <c r="EL38">
        <v>1784111400000</v>
      </c>
      <c r="EM38">
        <v>14.08</v>
      </c>
      <c r="EN38" s="6"/>
    </row>
    <row r="39" spans="1:144">
      <c r="A39">
        <v>1777984200000</v>
      </c>
      <c r="B39">
        <v>50.63</v>
      </c>
      <c r="D39">
        <v>1777977900000</v>
      </c>
      <c r="E39">
        <v>2.4700000000000002</v>
      </c>
      <c r="G39">
        <v>1777986900000</v>
      </c>
      <c r="H39">
        <v>70.5</v>
      </c>
      <c r="J39">
        <v>1777978800000</v>
      </c>
      <c r="K39">
        <v>16.75</v>
      </c>
      <c r="M39">
        <v>1777977900000</v>
      </c>
      <c r="N39">
        <v>21</v>
      </c>
      <c r="P39">
        <v>1777977900000</v>
      </c>
      <c r="Q39">
        <v>7.47</v>
      </c>
      <c r="S39">
        <v>1777982400000</v>
      </c>
      <c r="T39">
        <v>38.979999999999997</v>
      </c>
      <c r="V39">
        <v>1777978800000</v>
      </c>
      <c r="W39">
        <v>12.83</v>
      </c>
      <c r="X39" s="6"/>
      <c r="Y39">
        <v>1778067900000</v>
      </c>
      <c r="Z39">
        <v>24.2</v>
      </c>
      <c r="AB39">
        <v>1778064300000</v>
      </c>
      <c r="AC39">
        <v>4.4000000000000004</v>
      </c>
      <c r="AE39">
        <v>1778076000000</v>
      </c>
      <c r="AF39">
        <v>59.88</v>
      </c>
      <c r="AH39">
        <v>1778066100000</v>
      </c>
      <c r="AI39">
        <v>15.77</v>
      </c>
      <c r="AK39">
        <v>1778064300000</v>
      </c>
      <c r="AL39">
        <v>16.55</v>
      </c>
      <c r="AN39">
        <v>1778064300000</v>
      </c>
      <c r="AO39">
        <v>1.1299999999999999</v>
      </c>
      <c r="AQ39">
        <v>1778067900000</v>
      </c>
      <c r="AR39">
        <v>24.78</v>
      </c>
      <c r="AT39">
        <v>1778065200000</v>
      </c>
      <c r="AU39">
        <v>11.99</v>
      </c>
      <c r="AV39" s="6"/>
      <c r="AW39">
        <v>1779110100000</v>
      </c>
      <c r="AX39">
        <v>49.45</v>
      </c>
      <c r="AZ39">
        <v>1779101100000</v>
      </c>
      <c r="BA39">
        <v>2.56</v>
      </c>
      <c r="BC39">
        <v>1779114600000</v>
      </c>
      <c r="BD39">
        <v>51.13</v>
      </c>
      <c r="BF39">
        <v>1779102900000</v>
      </c>
      <c r="BG39">
        <v>18.579999999999998</v>
      </c>
      <c r="BI39">
        <v>1779101100000</v>
      </c>
      <c r="BJ39">
        <v>12.4</v>
      </c>
      <c r="BL39">
        <v>1779101100000</v>
      </c>
      <c r="BM39">
        <v>5.64</v>
      </c>
      <c r="BO39">
        <v>1779104700000</v>
      </c>
      <c r="BP39">
        <v>28.23</v>
      </c>
      <c r="BR39">
        <v>1779101100000</v>
      </c>
      <c r="BS39">
        <v>14.59</v>
      </c>
      <c r="BT39" s="6"/>
      <c r="BU39">
        <v>1782217800000</v>
      </c>
      <c r="BV39">
        <v>69.069999999999993</v>
      </c>
      <c r="BX39">
        <v>1782213300000</v>
      </c>
      <c r="BY39">
        <v>5.63</v>
      </c>
      <c r="CA39">
        <v>1782219600000</v>
      </c>
      <c r="CB39">
        <v>28.7</v>
      </c>
      <c r="CD39">
        <v>1782215100000</v>
      </c>
      <c r="CE39">
        <v>23.36</v>
      </c>
      <c r="CG39">
        <v>1782212400000</v>
      </c>
      <c r="CH39">
        <v>17.77</v>
      </c>
      <c r="CJ39">
        <v>1782212400000</v>
      </c>
      <c r="CK39">
        <v>9.4700000000000006</v>
      </c>
      <c r="CM39">
        <v>1782214200000</v>
      </c>
      <c r="CN39">
        <v>26.28</v>
      </c>
      <c r="CP39">
        <v>1782211500000</v>
      </c>
      <c r="CQ39">
        <v>12.96</v>
      </c>
      <c r="CR39" s="6"/>
      <c r="CS39">
        <v>1784030400000</v>
      </c>
      <c r="CT39">
        <v>29.38</v>
      </c>
      <c r="CV39">
        <v>1784029500000</v>
      </c>
      <c r="CW39">
        <v>15.26</v>
      </c>
      <c r="CY39">
        <v>1784035800000</v>
      </c>
      <c r="CZ39">
        <v>61.13</v>
      </c>
      <c r="DB39">
        <v>1784026800000</v>
      </c>
      <c r="DC39">
        <v>15.76</v>
      </c>
      <c r="DE39">
        <v>1784025900000</v>
      </c>
      <c r="DF39">
        <v>13.1</v>
      </c>
      <c r="DH39">
        <v>1784025900000</v>
      </c>
      <c r="DI39">
        <v>8.1</v>
      </c>
      <c r="DK39">
        <v>1784025900000</v>
      </c>
      <c r="DL39">
        <v>16.670000000000002</v>
      </c>
      <c r="DN39">
        <v>1784025900000</v>
      </c>
      <c r="DO39">
        <v>24.94</v>
      </c>
      <c r="DP39" s="6"/>
      <c r="DQ39">
        <v>1784115000000</v>
      </c>
      <c r="DR39">
        <v>21.1</v>
      </c>
      <c r="DT39">
        <v>1784115900000</v>
      </c>
      <c r="DU39">
        <v>16.28</v>
      </c>
      <c r="DW39">
        <v>1784122200000</v>
      </c>
      <c r="DX39">
        <v>52.83</v>
      </c>
      <c r="DZ39">
        <v>1784112300000</v>
      </c>
      <c r="EA39">
        <v>7.67</v>
      </c>
      <c r="EC39">
        <v>1784113200000</v>
      </c>
      <c r="ED39">
        <v>17.77</v>
      </c>
      <c r="EF39">
        <v>1784112300000</v>
      </c>
      <c r="EG39">
        <v>0.77</v>
      </c>
      <c r="EI39">
        <v>1784114100000</v>
      </c>
      <c r="EJ39">
        <v>19.07</v>
      </c>
      <c r="EL39">
        <v>1784112300000</v>
      </c>
      <c r="EM39">
        <v>11.61</v>
      </c>
      <c r="EN39" s="6"/>
    </row>
    <row r="40" spans="1:144">
      <c r="A40">
        <v>1777985100000</v>
      </c>
      <c r="B40">
        <v>57.53</v>
      </c>
      <c r="D40">
        <v>1777978800000</v>
      </c>
      <c r="E40">
        <v>6.75</v>
      </c>
      <c r="G40">
        <v>1777987800000</v>
      </c>
      <c r="H40">
        <v>75.45</v>
      </c>
      <c r="J40">
        <v>1777979700000</v>
      </c>
      <c r="K40">
        <v>25.05</v>
      </c>
      <c r="M40">
        <v>1777978800000</v>
      </c>
      <c r="N40">
        <v>22.68</v>
      </c>
      <c r="P40">
        <v>1777978800000</v>
      </c>
      <c r="Q40">
        <v>4.88</v>
      </c>
      <c r="S40">
        <v>1777983300000</v>
      </c>
      <c r="T40">
        <v>33.4</v>
      </c>
      <c r="V40">
        <v>1777979700000</v>
      </c>
      <c r="W40">
        <v>12.48</v>
      </c>
      <c r="X40" s="6"/>
      <c r="Y40">
        <v>1778068800000</v>
      </c>
      <c r="Z40">
        <v>23.5</v>
      </c>
      <c r="AB40">
        <v>1778065200000</v>
      </c>
      <c r="AC40">
        <v>4.71</v>
      </c>
      <c r="AE40">
        <v>1778076900000</v>
      </c>
      <c r="AF40">
        <v>60.93</v>
      </c>
      <c r="AH40">
        <v>1778067000000</v>
      </c>
      <c r="AI40">
        <v>8.58</v>
      </c>
      <c r="AK40">
        <v>1778065200000</v>
      </c>
      <c r="AL40">
        <v>19.3</v>
      </c>
      <c r="AN40">
        <v>1778065200000</v>
      </c>
      <c r="AO40">
        <v>4.3600000000000003</v>
      </c>
      <c r="AQ40">
        <v>1778068800000</v>
      </c>
      <c r="AR40">
        <v>74.349999999999994</v>
      </c>
      <c r="AT40">
        <v>1778066100000</v>
      </c>
      <c r="AU40">
        <v>18.13</v>
      </c>
      <c r="AV40" s="6"/>
      <c r="AW40">
        <v>1779111000000</v>
      </c>
      <c r="AX40">
        <v>96.48</v>
      </c>
      <c r="AZ40">
        <v>1779102000000</v>
      </c>
      <c r="BA40">
        <v>9.86</v>
      </c>
      <c r="BC40">
        <v>1779115500000</v>
      </c>
      <c r="BD40">
        <v>76.150000000000006</v>
      </c>
      <c r="BF40">
        <v>1779103800000</v>
      </c>
      <c r="BG40">
        <v>12.7</v>
      </c>
      <c r="BI40">
        <v>1779102000000</v>
      </c>
      <c r="BJ40">
        <v>24.8</v>
      </c>
      <c r="BL40">
        <v>1779102000000</v>
      </c>
      <c r="BM40">
        <v>11.54</v>
      </c>
      <c r="BO40">
        <v>1779106500000</v>
      </c>
      <c r="BP40">
        <v>51.7</v>
      </c>
      <c r="BR40">
        <v>1779102000000</v>
      </c>
      <c r="BS40">
        <v>22.21</v>
      </c>
      <c r="BT40" s="6"/>
      <c r="BU40">
        <v>1782218700000</v>
      </c>
      <c r="BV40">
        <v>45.5</v>
      </c>
      <c r="BX40">
        <v>1782214200000</v>
      </c>
      <c r="BY40">
        <v>11.1</v>
      </c>
      <c r="CA40">
        <v>1782220500000</v>
      </c>
      <c r="CB40">
        <v>71.55</v>
      </c>
      <c r="CD40">
        <v>1782216000000</v>
      </c>
      <c r="CE40">
        <v>33.96</v>
      </c>
      <c r="CG40">
        <v>1782213300000</v>
      </c>
      <c r="CH40">
        <v>31.73</v>
      </c>
      <c r="CJ40">
        <v>1782213300000</v>
      </c>
      <c r="CK40">
        <v>10.34</v>
      </c>
      <c r="CM40">
        <v>1782215100000</v>
      </c>
      <c r="CN40">
        <v>25.57</v>
      </c>
      <c r="CP40">
        <v>1782212400000</v>
      </c>
      <c r="CQ40">
        <v>13.35</v>
      </c>
      <c r="CR40" s="6"/>
      <c r="CS40">
        <v>1784031300000</v>
      </c>
      <c r="CT40">
        <v>26.55</v>
      </c>
      <c r="CV40">
        <v>1784030400000</v>
      </c>
      <c r="CW40">
        <v>26.75</v>
      </c>
      <c r="CY40">
        <v>1784036700000</v>
      </c>
      <c r="CZ40">
        <v>57.76</v>
      </c>
      <c r="DB40">
        <v>1784027700000</v>
      </c>
      <c r="DC40">
        <v>14.18</v>
      </c>
      <c r="DE40">
        <v>1784026800000</v>
      </c>
      <c r="DF40">
        <v>22.82</v>
      </c>
      <c r="DH40">
        <v>1784026800000</v>
      </c>
      <c r="DI40">
        <v>10.91</v>
      </c>
      <c r="DK40">
        <v>1784026800000</v>
      </c>
      <c r="DL40">
        <v>23.1</v>
      </c>
      <c r="DN40">
        <v>1784026800000</v>
      </c>
      <c r="DO40">
        <v>22.28</v>
      </c>
      <c r="DP40" s="6"/>
      <c r="DQ40">
        <v>1784115900000</v>
      </c>
      <c r="DR40">
        <v>42.45</v>
      </c>
      <c r="DT40">
        <v>1784116800000</v>
      </c>
      <c r="DU40">
        <v>17.260000000000002</v>
      </c>
      <c r="DW40">
        <v>1784123100000</v>
      </c>
      <c r="DX40">
        <v>81.599999999999994</v>
      </c>
      <c r="DZ40">
        <v>1784113200000</v>
      </c>
      <c r="EA40">
        <v>11.88</v>
      </c>
      <c r="EC40">
        <v>1784114100000</v>
      </c>
      <c r="ED40">
        <v>19.059999999999999</v>
      </c>
      <c r="EF40">
        <v>1784113200000</v>
      </c>
      <c r="EG40">
        <v>10.92</v>
      </c>
      <c r="EI40">
        <v>1784115000000</v>
      </c>
      <c r="EJ40">
        <v>35.369999999999997</v>
      </c>
      <c r="EL40">
        <v>1784113200000</v>
      </c>
      <c r="EM40">
        <v>17.63</v>
      </c>
      <c r="EN40" s="6"/>
    </row>
    <row r="41" spans="1:144">
      <c r="A41">
        <v>1777986000000</v>
      </c>
      <c r="B41">
        <v>58.93</v>
      </c>
      <c r="D41">
        <v>1777979700000</v>
      </c>
      <c r="E41">
        <v>7.17</v>
      </c>
      <c r="G41">
        <v>1777988700000</v>
      </c>
      <c r="H41">
        <v>122.9</v>
      </c>
      <c r="J41">
        <v>1777980600000</v>
      </c>
      <c r="K41">
        <v>17.68</v>
      </c>
      <c r="M41">
        <v>1777979700000</v>
      </c>
      <c r="N41">
        <v>13.24</v>
      </c>
      <c r="P41">
        <v>1777979700000</v>
      </c>
      <c r="Q41">
        <v>10.64</v>
      </c>
      <c r="S41">
        <v>1777984200000</v>
      </c>
      <c r="T41">
        <v>82.84</v>
      </c>
      <c r="V41">
        <v>1777980600000</v>
      </c>
      <c r="W41">
        <v>21.29</v>
      </c>
      <c r="X41" s="6"/>
      <c r="Y41">
        <v>1778069700000</v>
      </c>
      <c r="Z41">
        <v>29.67</v>
      </c>
      <c r="AB41">
        <v>1778066100000</v>
      </c>
      <c r="AC41">
        <v>7.06</v>
      </c>
      <c r="AE41">
        <v>1778077800000</v>
      </c>
      <c r="AF41">
        <v>73.739999999999995</v>
      </c>
      <c r="AH41">
        <v>1778067900000</v>
      </c>
      <c r="AI41">
        <v>37</v>
      </c>
      <c r="AK41">
        <v>1778066100000</v>
      </c>
      <c r="AL41">
        <v>16.399999999999999</v>
      </c>
      <c r="AN41">
        <v>1778066100000</v>
      </c>
      <c r="AO41">
        <v>7.54</v>
      </c>
      <c r="AQ41">
        <v>1778069700000</v>
      </c>
      <c r="AR41">
        <v>28.53</v>
      </c>
      <c r="AT41">
        <v>1778067000000</v>
      </c>
      <c r="AU41">
        <v>18.77</v>
      </c>
      <c r="AV41" s="6"/>
      <c r="AW41">
        <v>1779111900000</v>
      </c>
      <c r="AX41">
        <v>140.1</v>
      </c>
      <c r="AZ41">
        <v>1779102900000</v>
      </c>
      <c r="BA41">
        <v>10.64</v>
      </c>
      <c r="BC41">
        <v>1779116400000</v>
      </c>
      <c r="BD41">
        <v>74.319999999999993</v>
      </c>
      <c r="BF41">
        <v>1779104700000</v>
      </c>
      <c r="BG41">
        <v>22.07</v>
      </c>
      <c r="BI41">
        <v>1779102900000</v>
      </c>
      <c r="BJ41">
        <v>22.01</v>
      </c>
      <c r="BL41">
        <v>1779102900000</v>
      </c>
      <c r="BM41">
        <v>13.04</v>
      </c>
      <c r="BO41">
        <v>1779107400000</v>
      </c>
      <c r="BP41">
        <v>32.25</v>
      </c>
      <c r="BR41">
        <v>1779102900000</v>
      </c>
      <c r="BS41">
        <v>15.76</v>
      </c>
      <c r="BT41" s="6"/>
      <c r="BU41">
        <v>1782219600000</v>
      </c>
      <c r="BV41">
        <v>70.14</v>
      </c>
      <c r="BX41">
        <v>1782215100000</v>
      </c>
      <c r="BY41">
        <v>11.29</v>
      </c>
      <c r="CA41">
        <v>1782221400000</v>
      </c>
      <c r="CB41">
        <v>69.099999999999994</v>
      </c>
      <c r="CD41">
        <v>1782216900000</v>
      </c>
      <c r="CE41">
        <v>16.02</v>
      </c>
      <c r="CG41">
        <v>1782214200000</v>
      </c>
      <c r="CH41">
        <v>26.81</v>
      </c>
      <c r="CJ41">
        <v>1782214200000</v>
      </c>
      <c r="CK41">
        <v>19.97</v>
      </c>
      <c r="CM41">
        <v>1782216000000</v>
      </c>
      <c r="CN41">
        <v>36.44</v>
      </c>
      <c r="CP41">
        <v>1782213300000</v>
      </c>
      <c r="CQ41">
        <v>21.22</v>
      </c>
      <c r="CR41" s="6"/>
      <c r="CS41">
        <v>1784032200000</v>
      </c>
      <c r="CT41">
        <v>35.520000000000003</v>
      </c>
      <c r="CV41">
        <v>1784031300000</v>
      </c>
      <c r="CW41">
        <v>33.25</v>
      </c>
      <c r="CY41">
        <v>1784037600000</v>
      </c>
      <c r="CZ41">
        <v>68.27</v>
      </c>
      <c r="DB41">
        <v>1784028600000</v>
      </c>
      <c r="DC41">
        <v>22.75</v>
      </c>
      <c r="DE41">
        <v>1784027700000</v>
      </c>
      <c r="DF41">
        <v>24.63</v>
      </c>
      <c r="DH41">
        <v>1784027700000</v>
      </c>
      <c r="DI41">
        <v>5.22</v>
      </c>
      <c r="DK41">
        <v>1784027700000</v>
      </c>
      <c r="DL41">
        <v>24.1</v>
      </c>
      <c r="DN41">
        <v>1784027700000</v>
      </c>
      <c r="DO41">
        <v>17.010000000000002</v>
      </c>
      <c r="DP41" s="6"/>
      <c r="DQ41">
        <v>1784116800000</v>
      </c>
      <c r="DR41">
        <v>24.87</v>
      </c>
      <c r="DT41">
        <v>1784117700000</v>
      </c>
      <c r="DU41">
        <v>18.850000000000001</v>
      </c>
      <c r="DW41">
        <v>1784124000000</v>
      </c>
      <c r="DX41">
        <v>67.03</v>
      </c>
      <c r="DZ41">
        <v>1784114100000</v>
      </c>
      <c r="EA41">
        <v>13.1</v>
      </c>
      <c r="EC41">
        <v>1784115000000</v>
      </c>
      <c r="ED41">
        <v>19.059999999999999</v>
      </c>
      <c r="EF41">
        <v>1784114100000</v>
      </c>
      <c r="EG41">
        <v>9.0399999999999991</v>
      </c>
      <c r="EI41">
        <v>1784115900000</v>
      </c>
      <c r="EJ41">
        <v>20.03</v>
      </c>
      <c r="EL41">
        <v>1784114100000</v>
      </c>
      <c r="EM41">
        <v>18.260000000000002</v>
      </c>
      <c r="EN41" s="6"/>
    </row>
    <row r="42" spans="1:144">
      <c r="A42">
        <v>1777986900000</v>
      </c>
      <c r="B42">
        <v>76.38</v>
      </c>
      <c r="D42">
        <v>1777980600000</v>
      </c>
      <c r="E42">
        <v>10.84</v>
      </c>
      <c r="G42">
        <v>1777989600000</v>
      </c>
      <c r="H42">
        <v>78.8</v>
      </c>
      <c r="J42">
        <v>1777981500000</v>
      </c>
      <c r="K42">
        <v>26.9</v>
      </c>
      <c r="M42">
        <v>1777980600000</v>
      </c>
      <c r="N42">
        <v>29.69</v>
      </c>
      <c r="P42">
        <v>1777980600000</v>
      </c>
      <c r="Q42">
        <v>12.93</v>
      </c>
      <c r="S42">
        <v>1777985100000</v>
      </c>
      <c r="T42">
        <v>71.88</v>
      </c>
      <c r="V42">
        <v>1777981500000</v>
      </c>
      <c r="W42">
        <v>23.95</v>
      </c>
      <c r="X42" s="6"/>
      <c r="Y42">
        <v>1778070600000</v>
      </c>
      <c r="Z42">
        <v>48.35</v>
      </c>
      <c r="AB42">
        <v>1778067000000</v>
      </c>
      <c r="AC42">
        <v>7.77</v>
      </c>
      <c r="AE42">
        <v>1778078700000</v>
      </c>
      <c r="AF42">
        <v>59.58</v>
      </c>
      <c r="AH42">
        <v>1778068800000</v>
      </c>
      <c r="AI42">
        <v>27.32</v>
      </c>
      <c r="AK42">
        <v>1778067000000</v>
      </c>
      <c r="AL42">
        <v>26.81</v>
      </c>
      <c r="AN42">
        <v>1778067000000</v>
      </c>
      <c r="AO42">
        <v>10.46</v>
      </c>
      <c r="AQ42">
        <v>1778070600000</v>
      </c>
      <c r="AR42">
        <v>28.89</v>
      </c>
      <c r="AT42">
        <v>1778067900000</v>
      </c>
      <c r="AU42">
        <v>35.869999999999997</v>
      </c>
      <c r="AV42" s="6"/>
      <c r="AW42">
        <v>1779112800000</v>
      </c>
      <c r="AX42">
        <v>79.849999999999994</v>
      </c>
      <c r="AZ42">
        <v>1779103800000</v>
      </c>
      <c r="BA42">
        <v>14.87</v>
      </c>
      <c r="BC42">
        <v>1779117300000</v>
      </c>
      <c r="BD42">
        <v>58.48</v>
      </c>
      <c r="BF42">
        <v>1779107400000</v>
      </c>
      <c r="BG42">
        <v>33.979999999999997</v>
      </c>
      <c r="BI42">
        <v>1779103800000</v>
      </c>
      <c r="BJ42">
        <v>34.07</v>
      </c>
      <c r="BL42">
        <v>1779103800000</v>
      </c>
      <c r="BM42">
        <v>5.24</v>
      </c>
      <c r="BO42">
        <v>1779108300000</v>
      </c>
      <c r="BP42">
        <v>108.83</v>
      </c>
      <c r="BR42">
        <v>1779103800000</v>
      </c>
      <c r="BS42">
        <v>16.29</v>
      </c>
      <c r="BT42" s="6"/>
      <c r="BU42">
        <v>1782220500000</v>
      </c>
      <c r="BV42">
        <v>69.52</v>
      </c>
      <c r="BX42">
        <v>1782216000000</v>
      </c>
      <c r="BY42">
        <v>21.27</v>
      </c>
      <c r="CA42">
        <v>1782222300000</v>
      </c>
      <c r="CB42">
        <v>59.45</v>
      </c>
      <c r="CD42">
        <v>1782217800000</v>
      </c>
      <c r="CE42">
        <v>31.03</v>
      </c>
      <c r="CG42">
        <v>1782215100000</v>
      </c>
      <c r="CH42">
        <v>22.74</v>
      </c>
      <c r="CJ42">
        <v>1782215100000</v>
      </c>
      <c r="CK42">
        <v>15.97</v>
      </c>
      <c r="CM42">
        <v>1782216900000</v>
      </c>
      <c r="CN42">
        <v>22.53</v>
      </c>
      <c r="CP42">
        <v>1782214200000</v>
      </c>
      <c r="CQ42">
        <v>21.25</v>
      </c>
      <c r="CR42" s="6"/>
      <c r="CS42">
        <v>1784033100000</v>
      </c>
      <c r="CT42">
        <v>85.1</v>
      </c>
      <c r="CV42">
        <v>1784032200000</v>
      </c>
      <c r="CW42">
        <v>27.62</v>
      </c>
      <c r="CY42">
        <v>1784038500000</v>
      </c>
      <c r="CZ42">
        <v>70.78</v>
      </c>
      <c r="DB42">
        <v>1784029500000</v>
      </c>
      <c r="DC42">
        <v>22.88</v>
      </c>
      <c r="DE42">
        <v>1784028600000</v>
      </c>
      <c r="DF42">
        <v>21.43</v>
      </c>
      <c r="DH42">
        <v>1784028600000</v>
      </c>
      <c r="DI42">
        <v>9.8000000000000007</v>
      </c>
      <c r="DK42">
        <v>1784028600000</v>
      </c>
      <c r="DL42">
        <v>28.1</v>
      </c>
      <c r="DN42">
        <v>1784028600000</v>
      </c>
      <c r="DO42">
        <v>26.15</v>
      </c>
      <c r="DP42" s="6"/>
      <c r="DQ42">
        <v>1784117700000</v>
      </c>
      <c r="DR42">
        <v>23.53</v>
      </c>
      <c r="DT42">
        <v>1784118600000</v>
      </c>
      <c r="DU42">
        <v>25.29</v>
      </c>
      <c r="DW42">
        <v>1784124900000</v>
      </c>
      <c r="DX42">
        <v>67.22</v>
      </c>
      <c r="DZ42">
        <v>1784115000000</v>
      </c>
      <c r="EA42">
        <v>16.14</v>
      </c>
      <c r="EC42">
        <v>1784115900000</v>
      </c>
      <c r="ED42">
        <v>25.23</v>
      </c>
      <c r="EF42">
        <v>1784115000000</v>
      </c>
      <c r="EG42">
        <v>11.46</v>
      </c>
      <c r="EI42">
        <v>1784116800000</v>
      </c>
      <c r="EJ42">
        <v>22.81</v>
      </c>
      <c r="EL42">
        <v>1784115000000</v>
      </c>
      <c r="EM42">
        <v>19.48</v>
      </c>
      <c r="EN42" s="6"/>
    </row>
    <row r="43" spans="1:144">
      <c r="A43">
        <v>1777987800000</v>
      </c>
      <c r="B43">
        <v>77.62</v>
      </c>
      <c r="D43">
        <v>1777981500000</v>
      </c>
      <c r="E43">
        <v>9.3699999999999992</v>
      </c>
      <c r="G43">
        <v>1777990500000</v>
      </c>
      <c r="H43">
        <v>71.05</v>
      </c>
      <c r="J43">
        <v>1777982400000</v>
      </c>
      <c r="K43">
        <v>22.05</v>
      </c>
      <c r="M43">
        <v>1777981500000</v>
      </c>
      <c r="N43">
        <v>24.39</v>
      </c>
      <c r="P43">
        <v>1777981500000</v>
      </c>
      <c r="Q43">
        <v>21.93</v>
      </c>
      <c r="S43">
        <v>1777986000000</v>
      </c>
      <c r="T43">
        <v>59.66</v>
      </c>
      <c r="V43">
        <v>1777982400000</v>
      </c>
      <c r="W43">
        <v>31.62</v>
      </c>
      <c r="X43" s="6"/>
      <c r="Y43">
        <v>1778072400000</v>
      </c>
      <c r="Z43">
        <v>77</v>
      </c>
      <c r="AB43">
        <v>1778067900000</v>
      </c>
      <c r="AC43">
        <v>13.73</v>
      </c>
      <c r="AE43">
        <v>1778079600000</v>
      </c>
      <c r="AF43">
        <v>48.2</v>
      </c>
      <c r="AH43">
        <v>1778069700000</v>
      </c>
      <c r="AI43">
        <v>24.69</v>
      </c>
      <c r="AK43">
        <v>1778067900000</v>
      </c>
      <c r="AL43">
        <v>36.11</v>
      </c>
      <c r="AN43">
        <v>1778067900000</v>
      </c>
      <c r="AO43">
        <v>12.96</v>
      </c>
      <c r="AQ43">
        <v>1778071500000</v>
      </c>
      <c r="AR43">
        <v>75.06</v>
      </c>
      <c r="AT43">
        <v>1778068800000</v>
      </c>
      <c r="AU43">
        <v>30.69</v>
      </c>
      <c r="AV43" s="6"/>
      <c r="AW43">
        <v>1779113700000</v>
      </c>
      <c r="AX43">
        <v>80.260000000000005</v>
      </c>
      <c r="AZ43">
        <v>1779104700000</v>
      </c>
      <c r="BA43">
        <v>14.26</v>
      </c>
      <c r="BC43">
        <v>1779118200000</v>
      </c>
      <c r="BD43">
        <v>51.73</v>
      </c>
      <c r="BF43">
        <v>1779108300000</v>
      </c>
      <c r="BG43">
        <v>71.66</v>
      </c>
      <c r="BI43">
        <v>1779104700000</v>
      </c>
      <c r="BJ43">
        <v>28.99</v>
      </c>
      <c r="BL43">
        <v>1779104700000</v>
      </c>
      <c r="BM43">
        <v>12.9</v>
      </c>
      <c r="BO43">
        <v>1779109200000</v>
      </c>
      <c r="BP43">
        <v>64.83</v>
      </c>
      <c r="BR43">
        <v>1779104700000</v>
      </c>
      <c r="BS43">
        <v>17.39</v>
      </c>
      <c r="BT43" s="6"/>
      <c r="BU43">
        <v>1782221400000</v>
      </c>
      <c r="BV43">
        <v>41.24</v>
      </c>
      <c r="BX43">
        <v>1782216900000</v>
      </c>
      <c r="BY43">
        <v>18.23</v>
      </c>
      <c r="CA43">
        <v>1782223200000</v>
      </c>
      <c r="CB43">
        <v>60.76</v>
      </c>
      <c r="CD43">
        <v>1782218700000</v>
      </c>
      <c r="CE43">
        <v>65.87</v>
      </c>
      <c r="CG43">
        <v>1782216000000</v>
      </c>
      <c r="CH43">
        <v>39.619999999999997</v>
      </c>
      <c r="CJ43">
        <v>1782216000000</v>
      </c>
      <c r="CK43">
        <v>28.37</v>
      </c>
      <c r="CM43">
        <v>1782217800000</v>
      </c>
      <c r="CN43">
        <v>38.840000000000003</v>
      </c>
      <c r="CP43">
        <v>1782215100000</v>
      </c>
      <c r="CQ43">
        <v>32.44</v>
      </c>
      <c r="CR43" s="6"/>
      <c r="CS43">
        <v>1784034000000</v>
      </c>
      <c r="CT43">
        <v>41.4</v>
      </c>
      <c r="CV43">
        <v>1784033100000</v>
      </c>
      <c r="CW43">
        <v>47.4</v>
      </c>
      <c r="CY43">
        <v>1784039400000</v>
      </c>
      <c r="CZ43">
        <v>133.22999999999999</v>
      </c>
      <c r="DB43">
        <v>1784030400000</v>
      </c>
      <c r="DC43">
        <v>25.51</v>
      </c>
      <c r="DE43">
        <v>1784029500000</v>
      </c>
      <c r="DF43">
        <v>23.33</v>
      </c>
      <c r="DH43">
        <v>1784029500000</v>
      </c>
      <c r="DI43">
        <v>17.59</v>
      </c>
      <c r="DK43">
        <v>1784029500000</v>
      </c>
      <c r="DL43">
        <v>18.170000000000002</v>
      </c>
      <c r="DN43">
        <v>1784029500000</v>
      </c>
      <c r="DO43">
        <v>19.440000000000001</v>
      </c>
      <c r="DP43" s="6"/>
      <c r="DQ43">
        <v>1784118600000</v>
      </c>
      <c r="DR43">
        <v>37.020000000000003</v>
      </c>
      <c r="DT43">
        <v>1784119500000</v>
      </c>
      <c r="DU43">
        <v>33.97</v>
      </c>
      <c r="DW43">
        <v>1784125800000</v>
      </c>
      <c r="DX43">
        <v>68.099999999999994</v>
      </c>
      <c r="DZ43">
        <v>1784115900000</v>
      </c>
      <c r="EA43">
        <v>18.82</v>
      </c>
      <c r="EC43">
        <v>1784116800000</v>
      </c>
      <c r="ED43">
        <v>26.6</v>
      </c>
      <c r="EF43">
        <v>1784115900000</v>
      </c>
      <c r="EG43">
        <v>24.31</v>
      </c>
      <c r="EI43">
        <v>1784117700000</v>
      </c>
      <c r="EJ43">
        <v>34.82</v>
      </c>
      <c r="EL43">
        <v>1784115900000</v>
      </c>
      <c r="EM43">
        <v>22.39</v>
      </c>
      <c r="EN43" s="6"/>
    </row>
    <row r="44" spans="1:144">
      <c r="A44">
        <v>1777988700000</v>
      </c>
      <c r="B44">
        <v>81.62</v>
      </c>
      <c r="D44">
        <v>1777982400000</v>
      </c>
      <c r="E44">
        <v>25.97</v>
      </c>
      <c r="G44">
        <v>1777991400000</v>
      </c>
      <c r="H44">
        <v>78.3</v>
      </c>
      <c r="J44">
        <v>1777983300000</v>
      </c>
      <c r="K44">
        <v>17.64</v>
      </c>
      <c r="M44">
        <v>1777982400000</v>
      </c>
      <c r="N44">
        <v>30.57</v>
      </c>
      <c r="P44">
        <v>1777982400000</v>
      </c>
      <c r="Q44">
        <v>29.59</v>
      </c>
      <c r="S44">
        <v>1777986900000</v>
      </c>
      <c r="T44">
        <v>81.08</v>
      </c>
      <c r="V44">
        <v>1777983300000</v>
      </c>
      <c r="W44">
        <v>28.18</v>
      </c>
      <c r="X44" s="6"/>
      <c r="Y44">
        <v>1778073300000</v>
      </c>
      <c r="Z44">
        <v>71.069999999999993</v>
      </c>
      <c r="AB44">
        <v>1778068800000</v>
      </c>
      <c r="AC44">
        <v>9.32</v>
      </c>
      <c r="AE44">
        <v>1778080500000</v>
      </c>
      <c r="AF44">
        <v>62.87</v>
      </c>
      <c r="AH44">
        <v>1778070600000</v>
      </c>
      <c r="AI44">
        <v>26.83</v>
      </c>
      <c r="AK44">
        <v>1778068800000</v>
      </c>
      <c r="AL44">
        <v>27.16</v>
      </c>
      <c r="AN44">
        <v>1778068800000</v>
      </c>
      <c r="AO44">
        <v>21.69</v>
      </c>
      <c r="AQ44">
        <v>1778072400000</v>
      </c>
      <c r="AR44">
        <v>51.88</v>
      </c>
      <c r="AT44">
        <v>1778069700000</v>
      </c>
      <c r="AU44">
        <v>32.78</v>
      </c>
      <c r="AV44" s="6"/>
      <c r="AW44">
        <v>1779114600000</v>
      </c>
      <c r="AX44">
        <v>89.13</v>
      </c>
      <c r="AZ44">
        <v>1779106500000</v>
      </c>
      <c r="BA44">
        <v>46.5</v>
      </c>
      <c r="BC44">
        <v>1779119100000</v>
      </c>
      <c r="BD44">
        <v>74.06</v>
      </c>
      <c r="BF44">
        <v>1779109200000</v>
      </c>
      <c r="BG44">
        <v>72.17</v>
      </c>
      <c r="BI44">
        <v>1779107400000</v>
      </c>
      <c r="BJ44">
        <v>27.94</v>
      </c>
      <c r="BL44">
        <v>1779106500000</v>
      </c>
      <c r="BM44">
        <v>63.2</v>
      </c>
      <c r="BO44">
        <v>1779110100000</v>
      </c>
      <c r="BP44">
        <v>37.24</v>
      </c>
      <c r="BR44">
        <v>1779106500000</v>
      </c>
      <c r="BS44">
        <v>86</v>
      </c>
      <c r="BT44" s="6"/>
      <c r="BU44">
        <v>1782222300000</v>
      </c>
      <c r="BV44">
        <v>116.77</v>
      </c>
      <c r="BX44">
        <v>1782217800000</v>
      </c>
      <c r="BY44">
        <v>31.19</v>
      </c>
      <c r="CA44">
        <v>1782224100000</v>
      </c>
      <c r="CB44">
        <v>73.06</v>
      </c>
      <c r="CD44">
        <v>1782219600000</v>
      </c>
      <c r="CE44">
        <v>55.39</v>
      </c>
      <c r="CG44">
        <v>1782216900000</v>
      </c>
      <c r="CH44">
        <v>43.68</v>
      </c>
      <c r="CJ44">
        <v>1782216900000</v>
      </c>
      <c r="CK44">
        <v>18.04</v>
      </c>
      <c r="CM44">
        <v>1782218700000</v>
      </c>
      <c r="CN44">
        <v>73.599999999999994</v>
      </c>
      <c r="CP44">
        <v>1782216000000</v>
      </c>
      <c r="CQ44">
        <v>28.52</v>
      </c>
      <c r="CR44" s="6"/>
      <c r="CS44">
        <v>1784034900000</v>
      </c>
      <c r="CT44">
        <v>52.6</v>
      </c>
      <c r="CV44">
        <v>1784034000000</v>
      </c>
      <c r="CW44">
        <v>52.93</v>
      </c>
      <c r="CY44">
        <v>1784040300000</v>
      </c>
      <c r="CZ44">
        <v>84.63</v>
      </c>
      <c r="DB44">
        <v>1784031300000</v>
      </c>
      <c r="DC44">
        <v>24.44</v>
      </c>
      <c r="DE44">
        <v>1784030400000</v>
      </c>
      <c r="DF44">
        <v>29.3</v>
      </c>
      <c r="DH44">
        <v>1784030400000</v>
      </c>
      <c r="DI44">
        <v>22.33</v>
      </c>
      <c r="DK44">
        <v>1784030400000</v>
      </c>
      <c r="DL44">
        <v>29.73</v>
      </c>
      <c r="DN44">
        <v>1784030400000</v>
      </c>
      <c r="DO44">
        <v>26.93</v>
      </c>
      <c r="DP44" s="6"/>
      <c r="DQ44">
        <v>1784119500000</v>
      </c>
      <c r="DR44">
        <v>69.599999999999994</v>
      </c>
      <c r="DT44">
        <v>1784120400000</v>
      </c>
      <c r="DU44">
        <v>46.2</v>
      </c>
      <c r="DW44">
        <v>1784126700000</v>
      </c>
      <c r="DX44">
        <v>28.77</v>
      </c>
      <c r="DZ44">
        <v>1784116800000</v>
      </c>
      <c r="EA44">
        <v>29.27</v>
      </c>
      <c r="EC44">
        <v>1784117700000</v>
      </c>
      <c r="ED44">
        <v>32.28</v>
      </c>
      <c r="EF44">
        <v>1784116800000</v>
      </c>
      <c r="EG44">
        <v>20.14</v>
      </c>
      <c r="EI44">
        <v>1784118600000</v>
      </c>
      <c r="EJ44">
        <v>47.93</v>
      </c>
      <c r="EL44">
        <v>1784116800000</v>
      </c>
      <c r="EM44">
        <v>31.88</v>
      </c>
      <c r="EN44" s="6"/>
    </row>
    <row r="45" spans="1:144">
      <c r="A45">
        <v>1777989600000</v>
      </c>
      <c r="B45">
        <v>64.599999999999994</v>
      </c>
      <c r="D45">
        <v>1777983300000</v>
      </c>
      <c r="E45">
        <v>20.96</v>
      </c>
      <c r="G45">
        <v>1777992300000</v>
      </c>
      <c r="H45">
        <v>79.45</v>
      </c>
      <c r="J45">
        <v>1777984200000</v>
      </c>
      <c r="K45">
        <v>23.8</v>
      </c>
      <c r="M45">
        <v>1777983300000</v>
      </c>
      <c r="N45">
        <v>37.26</v>
      </c>
      <c r="P45">
        <v>1777983300000</v>
      </c>
      <c r="Q45">
        <v>32.26</v>
      </c>
      <c r="S45">
        <v>1777987800000</v>
      </c>
      <c r="T45">
        <v>26.1</v>
      </c>
      <c r="V45">
        <v>1777984200000</v>
      </c>
      <c r="W45">
        <v>45.11</v>
      </c>
      <c r="X45" s="6"/>
      <c r="Y45">
        <v>1778074200000</v>
      </c>
      <c r="Z45">
        <v>82.63</v>
      </c>
      <c r="AB45">
        <v>1778069700000</v>
      </c>
      <c r="AC45">
        <v>23.25</v>
      </c>
      <c r="AE45">
        <v>1778081400000</v>
      </c>
      <c r="AF45">
        <v>59.54</v>
      </c>
      <c r="AH45">
        <v>1778071500000</v>
      </c>
      <c r="AI45">
        <v>62.32</v>
      </c>
      <c r="AK45">
        <v>1778069700000</v>
      </c>
      <c r="AL45">
        <v>29.95</v>
      </c>
      <c r="AN45">
        <v>1778069700000</v>
      </c>
      <c r="AO45">
        <v>20.48</v>
      </c>
      <c r="AQ45">
        <v>1778073300000</v>
      </c>
      <c r="AR45">
        <v>85.94</v>
      </c>
      <c r="AT45">
        <v>1778070600000</v>
      </c>
      <c r="AU45">
        <v>28.9</v>
      </c>
      <c r="AV45" s="6"/>
      <c r="AW45">
        <v>1779115500000</v>
      </c>
      <c r="AX45">
        <v>96.67</v>
      </c>
      <c r="AZ45">
        <v>1779107400000</v>
      </c>
      <c r="BA45">
        <v>19.829999999999998</v>
      </c>
      <c r="BC45">
        <v>1779120000000</v>
      </c>
      <c r="BD45">
        <v>79.67</v>
      </c>
      <c r="BF45">
        <v>1779110100000</v>
      </c>
      <c r="BG45">
        <v>67.42</v>
      </c>
      <c r="BI45">
        <v>1779108300000</v>
      </c>
      <c r="BJ45">
        <v>104.35</v>
      </c>
      <c r="BL45">
        <v>1779107400000</v>
      </c>
      <c r="BM45">
        <v>18.5</v>
      </c>
      <c r="BO45">
        <v>1779111000000</v>
      </c>
      <c r="BP45">
        <v>100.66</v>
      </c>
      <c r="BR45">
        <v>1779107400000</v>
      </c>
      <c r="BS45">
        <v>30.39</v>
      </c>
      <c r="BT45" s="6"/>
      <c r="BU45">
        <v>1782223200000</v>
      </c>
      <c r="BV45">
        <v>75.290000000000006</v>
      </c>
      <c r="BX45">
        <v>1782218700000</v>
      </c>
      <c r="BY45">
        <v>29.82</v>
      </c>
      <c r="CA45">
        <v>1782225000000</v>
      </c>
      <c r="CB45">
        <v>88.8</v>
      </c>
      <c r="CD45">
        <v>1782220500000</v>
      </c>
      <c r="CE45">
        <v>32.17</v>
      </c>
      <c r="CG45">
        <v>1782217800000</v>
      </c>
      <c r="CH45">
        <v>49.79</v>
      </c>
      <c r="CJ45">
        <v>1782217800000</v>
      </c>
      <c r="CK45">
        <v>34.270000000000003</v>
      </c>
      <c r="CM45">
        <v>1782219600000</v>
      </c>
      <c r="CN45">
        <v>81.25</v>
      </c>
      <c r="CP45">
        <v>1782216900000</v>
      </c>
      <c r="CQ45">
        <v>29.31</v>
      </c>
      <c r="CR45" s="6"/>
      <c r="CS45">
        <v>1784035800000</v>
      </c>
      <c r="CT45">
        <v>70.12</v>
      </c>
      <c r="CV45">
        <v>1784034900000</v>
      </c>
      <c r="CW45">
        <v>45.05</v>
      </c>
      <c r="CY45">
        <v>1784041200000</v>
      </c>
      <c r="CZ45">
        <v>100.04</v>
      </c>
      <c r="DB45">
        <v>1784032200000</v>
      </c>
      <c r="DC45">
        <v>40.590000000000003</v>
      </c>
      <c r="DE45">
        <v>1784031300000</v>
      </c>
      <c r="DF45">
        <v>39.25</v>
      </c>
      <c r="DH45">
        <v>1784031300000</v>
      </c>
      <c r="DI45">
        <v>25.94</v>
      </c>
      <c r="DK45">
        <v>1784031300000</v>
      </c>
      <c r="DL45">
        <v>20.03</v>
      </c>
      <c r="DN45">
        <v>1784031300000</v>
      </c>
      <c r="DO45">
        <v>29.06</v>
      </c>
      <c r="DP45" s="6"/>
      <c r="DQ45">
        <v>1784120400000</v>
      </c>
      <c r="DR45">
        <v>79.599999999999994</v>
      </c>
      <c r="DT45">
        <v>1784121300000</v>
      </c>
      <c r="DU45">
        <v>44.5</v>
      </c>
      <c r="DW45">
        <v>1784127600000</v>
      </c>
      <c r="DX45">
        <v>79.88</v>
      </c>
      <c r="DZ45">
        <v>1784117700000</v>
      </c>
      <c r="EA45">
        <v>27.49</v>
      </c>
      <c r="EC45">
        <v>1784118600000</v>
      </c>
      <c r="ED45">
        <v>38.130000000000003</v>
      </c>
      <c r="EF45">
        <v>1784117700000</v>
      </c>
      <c r="EG45">
        <v>20.45</v>
      </c>
      <c r="EI45">
        <v>1784119500000</v>
      </c>
      <c r="EJ45">
        <v>56</v>
      </c>
      <c r="EL45">
        <v>1784117700000</v>
      </c>
      <c r="EM45">
        <v>26.4</v>
      </c>
      <c r="EN45" s="6"/>
    </row>
    <row r="46" spans="1:144">
      <c r="A46">
        <v>1777990500000</v>
      </c>
      <c r="B46">
        <v>88.61</v>
      </c>
      <c r="D46">
        <v>1777984200000</v>
      </c>
      <c r="E46">
        <v>20.56</v>
      </c>
      <c r="G46">
        <v>1777993200000</v>
      </c>
      <c r="H46">
        <v>96.5</v>
      </c>
      <c r="J46">
        <v>1777985100000</v>
      </c>
      <c r="K46">
        <v>46.95</v>
      </c>
      <c r="M46">
        <v>1777984200000</v>
      </c>
      <c r="N46">
        <v>22.97</v>
      </c>
      <c r="P46">
        <v>1777984200000</v>
      </c>
      <c r="Q46">
        <v>22.48</v>
      </c>
      <c r="S46">
        <v>1777988700000</v>
      </c>
      <c r="T46">
        <v>74.34</v>
      </c>
      <c r="V46">
        <v>1777985100000</v>
      </c>
      <c r="W46">
        <v>79.3</v>
      </c>
      <c r="X46" s="6"/>
      <c r="Y46">
        <v>1778075100000</v>
      </c>
      <c r="Z46">
        <v>88.8</v>
      </c>
      <c r="AB46">
        <v>1778070600000</v>
      </c>
      <c r="AC46">
        <v>22.6</v>
      </c>
      <c r="AE46">
        <v>1778082300000</v>
      </c>
      <c r="AF46">
        <v>58.8</v>
      </c>
      <c r="AH46">
        <v>1778072400000</v>
      </c>
      <c r="AI46">
        <v>63.14</v>
      </c>
      <c r="AK46">
        <v>1778070600000</v>
      </c>
      <c r="AL46">
        <v>34.14</v>
      </c>
      <c r="AN46">
        <v>1778070600000</v>
      </c>
      <c r="AO46">
        <v>30.36</v>
      </c>
      <c r="AQ46">
        <v>1778074200000</v>
      </c>
      <c r="AR46">
        <v>70.62</v>
      </c>
      <c r="AT46">
        <v>1778071500000</v>
      </c>
      <c r="AU46">
        <v>85.2</v>
      </c>
      <c r="AV46" s="6"/>
      <c r="AW46">
        <v>1779116400000</v>
      </c>
      <c r="AX46">
        <v>86.23</v>
      </c>
      <c r="AZ46">
        <v>1779108300000</v>
      </c>
      <c r="BA46">
        <v>16.78</v>
      </c>
      <c r="BC46">
        <v>1779120900000</v>
      </c>
      <c r="BD46">
        <v>68.5</v>
      </c>
      <c r="BF46">
        <v>1779111000000</v>
      </c>
      <c r="BG46">
        <v>59.38</v>
      </c>
      <c r="BI46">
        <v>1779109200000</v>
      </c>
      <c r="BJ46">
        <v>95.47</v>
      </c>
      <c r="BL46">
        <v>1779108300000</v>
      </c>
      <c r="BM46">
        <v>51.8</v>
      </c>
      <c r="BO46">
        <v>1779111900000</v>
      </c>
      <c r="BP46">
        <v>77.02</v>
      </c>
      <c r="BR46">
        <v>1779108300000</v>
      </c>
      <c r="BS46">
        <v>80.58</v>
      </c>
      <c r="BT46" s="6"/>
      <c r="BU46">
        <v>1782224100000</v>
      </c>
      <c r="BV46">
        <v>66.489999999999995</v>
      </c>
      <c r="BX46">
        <v>1782219600000</v>
      </c>
      <c r="BY46">
        <v>44.92</v>
      </c>
      <c r="CA46">
        <v>1782225900000</v>
      </c>
      <c r="CB46">
        <v>92.87</v>
      </c>
      <c r="CD46">
        <v>1782221400000</v>
      </c>
      <c r="CE46">
        <v>54.04</v>
      </c>
      <c r="CG46">
        <v>1782218700000</v>
      </c>
      <c r="CH46">
        <v>82.12</v>
      </c>
      <c r="CJ46">
        <v>1782218700000</v>
      </c>
      <c r="CK46">
        <v>39.28</v>
      </c>
      <c r="CM46">
        <v>1782220500000</v>
      </c>
      <c r="CN46">
        <v>52.1</v>
      </c>
      <c r="CP46">
        <v>1782217800000</v>
      </c>
      <c r="CQ46">
        <v>32.72</v>
      </c>
      <c r="CR46" s="6"/>
      <c r="CS46">
        <v>1784036700000</v>
      </c>
      <c r="CT46">
        <v>48.4</v>
      </c>
      <c r="CV46">
        <v>1784035800000</v>
      </c>
      <c r="CW46">
        <v>45.02</v>
      </c>
      <c r="CY46">
        <v>1784042100000</v>
      </c>
      <c r="CZ46">
        <v>42.74</v>
      </c>
      <c r="DB46">
        <v>1784033100000</v>
      </c>
      <c r="DC46">
        <v>65.400000000000006</v>
      </c>
      <c r="DE46">
        <v>1784032200000</v>
      </c>
      <c r="DF46">
        <v>43.1</v>
      </c>
      <c r="DH46">
        <v>1784032200000</v>
      </c>
      <c r="DI46">
        <v>38.19</v>
      </c>
      <c r="DK46">
        <v>1784032200000</v>
      </c>
      <c r="DL46">
        <v>44.03</v>
      </c>
      <c r="DN46">
        <v>1784032200000</v>
      </c>
      <c r="DO46">
        <v>31.15</v>
      </c>
      <c r="DP46" s="6"/>
      <c r="DQ46">
        <v>1784121300000</v>
      </c>
      <c r="DR46">
        <v>38.35</v>
      </c>
      <c r="DT46">
        <v>1784122200000</v>
      </c>
      <c r="DU46">
        <v>38.549999999999997</v>
      </c>
      <c r="DW46">
        <v>1784128500000</v>
      </c>
      <c r="DX46">
        <v>107.1</v>
      </c>
      <c r="DZ46">
        <v>1784118600000</v>
      </c>
      <c r="EA46">
        <v>18.89</v>
      </c>
      <c r="EC46">
        <v>1784119500000</v>
      </c>
      <c r="ED46">
        <v>81.47</v>
      </c>
      <c r="EF46">
        <v>1784118600000</v>
      </c>
      <c r="EG46">
        <v>30.91</v>
      </c>
      <c r="EI46">
        <v>1784120400000</v>
      </c>
      <c r="EJ46">
        <v>69.17</v>
      </c>
      <c r="EL46">
        <v>1784118600000</v>
      </c>
      <c r="EM46">
        <v>26.8</v>
      </c>
      <c r="EN46" s="6"/>
    </row>
    <row r="47" spans="1:144">
      <c r="A47">
        <v>1777991400000</v>
      </c>
      <c r="B47">
        <v>105.52</v>
      </c>
      <c r="D47">
        <v>1777985100000</v>
      </c>
      <c r="E47">
        <v>42.58</v>
      </c>
      <c r="G47">
        <v>1777994100000</v>
      </c>
      <c r="H47">
        <v>63.76</v>
      </c>
      <c r="J47">
        <v>1777986000000</v>
      </c>
      <c r="K47">
        <v>77.760000000000005</v>
      </c>
      <c r="M47">
        <v>1777985100000</v>
      </c>
      <c r="N47">
        <v>98.4</v>
      </c>
      <c r="P47">
        <v>1777985100000</v>
      </c>
      <c r="Q47">
        <v>50.7</v>
      </c>
      <c r="S47">
        <v>1777989600000</v>
      </c>
      <c r="T47">
        <v>112.15</v>
      </c>
      <c r="V47">
        <v>1777986000000</v>
      </c>
      <c r="W47">
        <v>90.7</v>
      </c>
      <c r="X47" s="6"/>
      <c r="Y47">
        <v>1778076000000</v>
      </c>
      <c r="Z47">
        <v>75.209999999999994</v>
      </c>
      <c r="AB47">
        <v>1778071500000</v>
      </c>
      <c r="AC47">
        <v>40.270000000000003</v>
      </c>
      <c r="AE47">
        <v>1778083200000</v>
      </c>
      <c r="AF47">
        <v>103.15</v>
      </c>
      <c r="AH47">
        <v>1778073300000</v>
      </c>
      <c r="AI47">
        <v>63.42</v>
      </c>
      <c r="AK47">
        <v>1778071500000</v>
      </c>
      <c r="AL47">
        <v>80.08</v>
      </c>
      <c r="AN47">
        <v>1778071500000</v>
      </c>
      <c r="AO47">
        <v>54.87</v>
      </c>
      <c r="AQ47">
        <v>1778075100000</v>
      </c>
      <c r="AR47">
        <v>102.3</v>
      </c>
      <c r="AT47">
        <v>1778072400000</v>
      </c>
      <c r="AU47">
        <v>116.07</v>
      </c>
      <c r="AV47" s="6"/>
      <c r="AW47">
        <v>1779117300000</v>
      </c>
      <c r="AX47">
        <v>90.56</v>
      </c>
      <c r="AZ47">
        <v>1779109200000</v>
      </c>
      <c r="BA47">
        <v>41.13</v>
      </c>
      <c r="BC47">
        <v>1779121800000</v>
      </c>
      <c r="BD47">
        <v>65.5</v>
      </c>
      <c r="BF47">
        <v>1779111900000</v>
      </c>
      <c r="BG47">
        <v>57.72</v>
      </c>
      <c r="BI47">
        <v>1779110100000</v>
      </c>
      <c r="BJ47">
        <v>91.65</v>
      </c>
      <c r="BL47">
        <v>1779109200000</v>
      </c>
      <c r="BM47">
        <v>54.48</v>
      </c>
      <c r="BO47">
        <v>1779112800000</v>
      </c>
      <c r="BP47">
        <v>53.2</v>
      </c>
      <c r="BR47">
        <v>1779109200000</v>
      </c>
      <c r="BS47">
        <v>84.58</v>
      </c>
      <c r="BT47" s="6"/>
      <c r="BU47">
        <v>1782225000000</v>
      </c>
      <c r="BV47">
        <v>68.83</v>
      </c>
      <c r="BX47">
        <v>1782220500000</v>
      </c>
      <c r="BY47">
        <v>45.55</v>
      </c>
      <c r="CA47">
        <v>1782226800000</v>
      </c>
      <c r="CB47">
        <v>68.349999999999994</v>
      </c>
      <c r="CD47">
        <v>1782222300000</v>
      </c>
      <c r="CE47">
        <v>61.68</v>
      </c>
      <c r="CG47">
        <v>1782219600000</v>
      </c>
      <c r="CH47">
        <v>76.97</v>
      </c>
      <c r="CJ47">
        <v>1782219600000</v>
      </c>
      <c r="CK47">
        <v>58.98</v>
      </c>
      <c r="CM47">
        <v>1782221400000</v>
      </c>
      <c r="CN47">
        <v>107.6</v>
      </c>
      <c r="CP47">
        <v>1782218700000</v>
      </c>
      <c r="CQ47">
        <v>77.89</v>
      </c>
      <c r="CR47" s="6"/>
      <c r="CS47">
        <v>1784037600000</v>
      </c>
      <c r="CT47">
        <v>76.45</v>
      </c>
      <c r="CV47">
        <v>1784036700000</v>
      </c>
      <c r="CW47">
        <v>76.099999999999994</v>
      </c>
      <c r="CY47">
        <v>1784043000000</v>
      </c>
      <c r="CZ47">
        <v>45.77</v>
      </c>
      <c r="DB47">
        <v>1784034000000</v>
      </c>
      <c r="DC47">
        <v>75.34</v>
      </c>
      <c r="DE47">
        <v>1784033100000</v>
      </c>
      <c r="DF47">
        <v>74.75</v>
      </c>
      <c r="DH47">
        <v>1784033100000</v>
      </c>
      <c r="DI47">
        <v>47.04</v>
      </c>
      <c r="DK47">
        <v>1784033100000</v>
      </c>
      <c r="DL47">
        <v>58.76</v>
      </c>
      <c r="DN47">
        <v>1784033100000</v>
      </c>
      <c r="DO47">
        <v>75.2</v>
      </c>
      <c r="DP47" s="6"/>
      <c r="DQ47">
        <v>1784122200000</v>
      </c>
      <c r="DR47">
        <v>93.6</v>
      </c>
      <c r="DT47">
        <v>1784123100000</v>
      </c>
      <c r="DU47">
        <v>51.55</v>
      </c>
      <c r="DW47">
        <v>1784129400000</v>
      </c>
      <c r="DX47">
        <v>71</v>
      </c>
      <c r="DZ47">
        <v>1784119500000</v>
      </c>
      <c r="EA47">
        <v>61.67</v>
      </c>
      <c r="EC47">
        <v>1784120400000</v>
      </c>
      <c r="ED47">
        <v>90.84</v>
      </c>
      <c r="EF47">
        <v>1784119500000</v>
      </c>
      <c r="EG47">
        <v>50.88</v>
      </c>
      <c r="EI47">
        <v>1784121300000</v>
      </c>
      <c r="EJ47">
        <v>78.56</v>
      </c>
      <c r="EL47">
        <v>1784119500000</v>
      </c>
      <c r="EM47">
        <v>75.33</v>
      </c>
      <c r="EN47" s="6"/>
    </row>
    <row r="48" spans="1:144">
      <c r="A48">
        <v>1777992300000</v>
      </c>
      <c r="B48">
        <v>77.900000000000006</v>
      </c>
      <c r="D48">
        <v>1777986000000</v>
      </c>
      <c r="E48">
        <v>61.2</v>
      </c>
      <c r="G48">
        <v>1777995000000</v>
      </c>
      <c r="H48">
        <v>78.95</v>
      </c>
      <c r="J48">
        <v>1777986900000</v>
      </c>
      <c r="K48">
        <v>45.1</v>
      </c>
      <c r="M48">
        <v>1777986000000</v>
      </c>
      <c r="N48">
        <v>83.19</v>
      </c>
      <c r="P48">
        <v>1777986000000</v>
      </c>
      <c r="Q48">
        <v>53.83</v>
      </c>
      <c r="S48">
        <v>1777990500000</v>
      </c>
      <c r="T48">
        <v>65.08</v>
      </c>
      <c r="V48">
        <v>1777986900000</v>
      </c>
      <c r="W48">
        <v>103.05</v>
      </c>
      <c r="X48" s="6"/>
      <c r="Y48">
        <v>1778076900000</v>
      </c>
      <c r="Z48">
        <v>73.959999999999994</v>
      </c>
      <c r="AB48">
        <v>1778072400000</v>
      </c>
      <c r="AC48">
        <v>51.08</v>
      </c>
      <c r="AE48">
        <v>1778084100000</v>
      </c>
      <c r="AF48">
        <v>57.78</v>
      </c>
      <c r="AH48">
        <v>1778074200000</v>
      </c>
      <c r="AI48">
        <v>68.38</v>
      </c>
      <c r="AK48">
        <v>1778072400000</v>
      </c>
      <c r="AL48">
        <v>97.12</v>
      </c>
      <c r="AN48">
        <v>1778072400000</v>
      </c>
      <c r="AO48">
        <v>55.25</v>
      </c>
      <c r="AQ48">
        <v>1778076000000</v>
      </c>
      <c r="AR48">
        <v>77.62</v>
      </c>
      <c r="AT48">
        <v>1778073300000</v>
      </c>
      <c r="AU48">
        <v>89.62</v>
      </c>
      <c r="AV48" s="6"/>
      <c r="AW48">
        <v>1779118200000</v>
      </c>
      <c r="AX48">
        <v>95.34</v>
      </c>
      <c r="AZ48">
        <v>1779110100000</v>
      </c>
      <c r="BA48">
        <v>34.1</v>
      </c>
      <c r="BC48">
        <v>1779122700000</v>
      </c>
      <c r="BD48">
        <v>47.12</v>
      </c>
      <c r="BF48">
        <v>1779112800000</v>
      </c>
      <c r="BG48">
        <v>62.16</v>
      </c>
      <c r="BI48">
        <v>1779111000000</v>
      </c>
      <c r="BJ48">
        <v>170.27</v>
      </c>
      <c r="BL48">
        <v>1779110100000</v>
      </c>
      <c r="BM48">
        <v>89.1</v>
      </c>
      <c r="BO48">
        <v>1779113700000</v>
      </c>
      <c r="BP48">
        <v>73.739999999999995</v>
      </c>
      <c r="BR48">
        <v>1779110100000</v>
      </c>
      <c r="BS48">
        <v>109.38</v>
      </c>
      <c r="BT48" s="6"/>
      <c r="BU48">
        <v>1782225900000</v>
      </c>
      <c r="BV48">
        <v>74.099999999999994</v>
      </c>
      <c r="BX48">
        <v>1782221400000</v>
      </c>
      <c r="BY48">
        <v>34.700000000000003</v>
      </c>
      <c r="CA48">
        <v>1782227700000</v>
      </c>
      <c r="CB48">
        <v>77.47</v>
      </c>
      <c r="CD48">
        <v>1782223200000</v>
      </c>
      <c r="CE48">
        <v>46.82</v>
      </c>
      <c r="CG48">
        <v>1782220500000</v>
      </c>
      <c r="CH48">
        <v>86.8</v>
      </c>
      <c r="CJ48">
        <v>1782220500000</v>
      </c>
      <c r="CK48">
        <v>52.82</v>
      </c>
      <c r="CM48">
        <v>1782222300000</v>
      </c>
      <c r="CN48">
        <v>28.4</v>
      </c>
      <c r="CP48">
        <v>1782219600000</v>
      </c>
      <c r="CQ48">
        <v>90.8</v>
      </c>
      <c r="CR48" s="6"/>
      <c r="CS48">
        <v>1784038500000</v>
      </c>
      <c r="CT48">
        <v>85.91</v>
      </c>
      <c r="CV48">
        <v>1784037600000</v>
      </c>
      <c r="CW48">
        <v>64.680000000000007</v>
      </c>
      <c r="CY48">
        <v>1784043900000</v>
      </c>
      <c r="CZ48">
        <v>88.23</v>
      </c>
      <c r="DB48">
        <v>1784034900000</v>
      </c>
      <c r="DC48">
        <v>67.53</v>
      </c>
      <c r="DE48">
        <v>1784034000000</v>
      </c>
      <c r="DF48">
        <v>90.13</v>
      </c>
      <c r="DH48">
        <v>1784034000000</v>
      </c>
      <c r="DI48">
        <v>50.88</v>
      </c>
      <c r="DK48">
        <v>1784034000000</v>
      </c>
      <c r="DL48">
        <v>36.4</v>
      </c>
      <c r="DN48">
        <v>1784034000000</v>
      </c>
      <c r="DO48">
        <v>76.400000000000006</v>
      </c>
      <c r="DP48" s="6"/>
      <c r="DQ48">
        <v>1784123100000</v>
      </c>
      <c r="DR48">
        <v>56.1</v>
      </c>
      <c r="DT48">
        <v>1784124000000</v>
      </c>
      <c r="DU48">
        <v>63.1</v>
      </c>
      <c r="DW48">
        <v>1784130300000</v>
      </c>
      <c r="DX48">
        <v>59.17</v>
      </c>
      <c r="DZ48">
        <v>1784120400000</v>
      </c>
      <c r="EA48">
        <v>72.099999999999994</v>
      </c>
      <c r="EC48">
        <v>1784121300000</v>
      </c>
      <c r="ED48">
        <v>97.94</v>
      </c>
      <c r="EF48">
        <v>1784120400000</v>
      </c>
      <c r="EG48">
        <v>53.54</v>
      </c>
      <c r="EI48">
        <v>1784122200000</v>
      </c>
      <c r="EJ48">
        <v>41.65</v>
      </c>
      <c r="EL48">
        <v>1784120400000</v>
      </c>
      <c r="EM48">
        <v>89.9</v>
      </c>
      <c r="EN48" s="6"/>
    </row>
    <row r="49" spans="1:144">
      <c r="A49">
        <v>1777993200000</v>
      </c>
      <c r="B49">
        <v>91.8</v>
      </c>
      <c r="D49">
        <v>1777986900000</v>
      </c>
      <c r="E49">
        <v>40.65</v>
      </c>
      <c r="G49">
        <v>1777995900000</v>
      </c>
      <c r="H49">
        <v>67.22</v>
      </c>
      <c r="J49">
        <v>1777987800000</v>
      </c>
      <c r="K49">
        <v>48.03</v>
      </c>
      <c r="M49">
        <v>1777986900000</v>
      </c>
      <c r="N49">
        <v>109.05</v>
      </c>
      <c r="P49">
        <v>1777986900000</v>
      </c>
      <c r="Q49">
        <v>50.2</v>
      </c>
      <c r="S49">
        <v>1777991400000</v>
      </c>
      <c r="T49">
        <v>77.3</v>
      </c>
      <c r="V49">
        <v>1777987800000</v>
      </c>
      <c r="W49">
        <v>86.12</v>
      </c>
      <c r="X49" s="6"/>
      <c r="Y49">
        <v>1778077800000</v>
      </c>
      <c r="Z49">
        <v>77.02</v>
      </c>
      <c r="AB49">
        <v>1778073300000</v>
      </c>
      <c r="AC49">
        <v>43.06</v>
      </c>
      <c r="AE49">
        <v>1778085000000</v>
      </c>
      <c r="AF49">
        <v>57.82</v>
      </c>
      <c r="AH49">
        <v>1778075100000</v>
      </c>
      <c r="AI49">
        <v>59.08</v>
      </c>
      <c r="AK49">
        <v>1778073300000</v>
      </c>
      <c r="AL49">
        <v>96.12</v>
      </c>
      <c r="AN49">
        <v>1778073300000</v>
      </c>
      <c r="AO49">
        <v>59.64</v>
      </c>
      <c r="AQ49">
        <v>1778076900000</v>
      </c>
      <c r="AR49">
        <v>57.46</v>
      </c>
      <c r="AT49">
        <v>1778074200000</v>
      </c>
      <c r="AU49">
        <v>117.25</v>
      </c>
      <c r="AV49" s="6"/>
      <c r="AW49">
        <v>1779119100000</v>
      </c>
      <c r="AX49">
        <v>89.82</v>
      </c>
      <c r="AZ49">
        <v>1779111000000</v>
      </c>
      <c r="BA49">
        <v>68.45</v>
      </c>
      <c r="BC49">
        <v>1779123600000</v>
      </c>
      <c r="BD49">
        <v>102.88</v>
      </c>
      <c r="BF49">
        <v>1779113700000</v>
      </c>
      <c r="BG49">
        <v>55.38</v>
      </c>
      <c r="BI49">
        <v>1779111900000</v>
      </c>
      <c r="BJ49">
        <v>78.77</v>
      </c>
      <c r="BL49">
        <v>1779111000000</v>
      </c>
      <c r="BM49">
        <v>70.400000000000006</v>
      </c>
      <c r="BO49">
        <v>1779114600000</v>
      </c>
      <c r="BP49">
        <v>77.7</v>
      </c>
      <c r="BR49">
        <v>1779111000000</v>
      </c>
      <c r="BS49">
        <v>86.3</v>
      </c>
      <c r="BT49" s="6"/>
      <c r="BU49">
        <v>1782226800000</v>
      </c>
      <c r="BV49">
        <v>76.22</v>
      </c>
      <c r="BX49">
        <v>1782222300000</v>
      </c>
      <c r="BY49">
        <v>60.9</v>
      </c>
      <c r="CA49">
        <v>1782228600000</v>
      </c>
      <c r="CB49">
        <v>83.28</v>
      </c>
      <c r="CD49">
        <v>1782224100000</v>
      </c>
      <c r="CE49">
        <v>58.13</v>
      </c>
      <c r="CG49">
        <v>1782221400000</v>
      </c>
      <c r="CH49">
        <v>93.6</v>
      </c>
      <c r="CJ49">
        <v>1782221400000</v>
      </c>
      <c r="CK49">
        <v>55.35</v>
      </c>
      <c r="CM49">
        <v>1782223200000</v>
      </c>
      <c r="CN49">
        <v>70.06</v>
      </c>
      <c r="CP49">
        <v>1782220500000</v>
      </c>
      <c r="CQ49">
        <v>83.17</v>
      </c>
      <c r="CR49" s="6"/>
      <c r="CS49">
        <v>1784039400000</v>
      </c>
      <c r="CT49">
        <v>75.599999999999994</v>
      </c>
      <c r="CV49">
        <v>1784038500000</v>
      </c>
      <c r="CW49">
        <v>59.56</v>
      </c>
      <c r="CY49">
        <v>1784044800000</v>
      </c>
      <c r="CZ49">
        <v>82.3</v>
      </c>
      <c r="DB49">
        <v>1784035800000</v>
      </c>
      <c r="DC49">
        <v>42.3</v>
      </c>
      <c r="DE49">
        <v>1784034900000</v>
      </c>
      <c r="DF49">
        <v>56.03</v>
      </c>
      <c r="DH49">
        <v>1784034900000</v>
      </c>
      <c r="DI49">
        <v>53.32</v>
      </c>
      <c r="DK49">
        <v>1784034900000</v>
      </c>
      <c r="DL49">
        <v>68.430000000000007</v>
      </c>
      <c r="DN49">
        <v>1784034900000</v>
      </c>
      <c r="DO49">
        <v>91.22</v>
      </c>
      <c r="DP49" s="6"/>
      <c r="DQ49">
        <v>1784124000000</v>
      </c>
      <c r="DR49">
        <v>88.16</v>
      </c>
      <c r="DT49">
        <v>1784124900000</v>
      </c>
      <c r="DU49">
        <v>67.53</v>
      </c>
      <c r="DW49">
        <v>1784131200000</v>
      </c>
      <c r="DX49">
        <v>75.69</v>
      </c>
      <c r="DZ49">
        <v>1784121300000</v>
      </c>
      <c r="EA49">
        <v>54.08</v>
      </c>
      <c r="EC49">
        <v>1784122200000</v>
      </c>
      <c r="ED49">
        <v>84.38</v>
      </c>
      <c r="EF49">
        <v>1784121300000</v>
      </c>
      <c r="EG49">
        <v>49.02</v>
      </c>
      <c r="EI49">
        <v>1784123100000</v>
      </c>
      <c r="EJ49">
        <v>116.05</v>
      </c>
      <c r="EL49">
        <v>1784121300000</v>
      </c>
      <c r="EM49">
        <v>84.37</v>
      </c>
      <c r="EN49" s="6"/>
    </row>
    <row r="50" spans="1:144">
      <c r="A50">
        <v>1777994100000</v>
      </c>
      <c r="B50">
        <v>66.02</v>
      </c>
      <c r="D50">
        <v>1777987800000</v>
      </c>
      <c r="E50">
        <v>57.63</v>
      </c>
      <c r="G50">
        <v>1777996800000</v>
      </c>
      <c r="H50">
        <v>103.38</v>
      </c>
      <c r="J50">
        <v>1777988700000</v>
      </c>
      <c r="K50">
        <v>92.78</v>
      </c>
      <c r="M50">
        <v>1777987800000</v>
      </c>
      <c r="N50">
        <v>85.88</v>
      </c>
      <c r="P50">
        <v>1777987800000</v>
      </c>
      <c r="Q50">
        <v>60.8</v>
      </c>
      <c r="S50">
        <v>1777992300000</v>
      </c>
      <c r="T50">
        <v>46.72</v>
      </c>
      <c r="V50">
        <v>1777988700000</v>
      </c>
      <c r="W50">
        <v>79.83</v>
      </c>
      <c r="X50" s="6"/>
      <c r="Y50">
        <v>1778078700000</v>
      </c>
      <c r="Z50">
        <v>108.96</v>
      </c>
      <c r="AB50">
        <v>1778074200000</v>
      </c>
      <c r="AC50">
        <v>77.5</v>
      </c>
      <c r="AE50">
        <v>1778085900000</v>
      </c>
      <c r="AF50">
        <v>90.37</v>
      </c>
      <c r="AH50">
        <v>1778076000000</v>
      </c>
      <c r="AI50">
        <v>80.34</v>
      </c>
      <c r="AK50">
        <v>1778074200000</v>
      </c>
      <c r="AL50">
        <v>93.05</v>
      </c>
      <c r="AN50">
        <v>1778074200000</v>
      </c>
      <c r="AO50">
        <v>66.98</v>
      </c>
      <c r="AQ50">
        <v>1778077800000</v>
      </c>
      <c r="AR50">
        <v>62.08</v>
      </c>
      <c r="AT50">
        <v>1778075100000</v>
      </c>
      <c r="AU50">
        <v>90.88</v>
      </c>
      <c r="AV50" s="6"/>
      <c r="AW50">
        <v>1779120000000</v>
      </c>
      <c r="AX50">
        <v>77.819999999999993</v>
      </c>
      <c r="AZ50">
        <v>1779111900000</v>
      </c>
      <c r="BA50">
        <v>87.93</v>
      </c>
      <c r="BC50">
        <v>1779124500000</v>
      </c>
      <c r="BD50">
        <v>89.94</v>
      </c>
      <c r="BF50">
        <v>1779114600000</v>
      </c>
      <c r="BG50">
        <v>77.959999999999994</v>
      </c>
      <c r="BI50">
        <v>1779112800000</v>
      </c>
      <c r="BJ50">
        <v>97.48</v>
      </c>
      <c r="BL50">
        <v>1779111900000</v>
      </c>
      <c r="BM50">
        <v>99.66</v>
      </c>
      <c r="BO50">
        <v>1779115500000</v>
      </c>
      <c r="BP50">
        <v>62.12</v>
      </c>
      <c r="BR50">
        <v>1779111900000</v>
      </c>
      <c r="BS50">
        <v>93.64</v>
      </c>
      <c r="BT50" s="6"/>
      <c r="BU50">
        <v>1782227700000</v>
      </c>
      <c r="BV50">
        <v>84.73</v>
      </c>
      <c r="BX50">
        <v>1782223200000</v>
      </c>
      <c r="BY50">
        <v>77.5</v>
      </c>
      <c r="CA50">
        <v>1782229500000</v>
      </c>
      <c r="CB50">
        <v>82.85</v>
      </c>
      <c r="CD50">
        <v>1782225000000</v>
      </c>
      <c r="CE50">
        <v>72.48</v>
      </c>
      <c r="CG50">
        <v>1782222300000</v>
      </c>
      <c r="CH50">
        <v>92.88</v>
      </c>
      <c r="CJ50">
        <v>1782222300000</v>
      </c>
      <c r="CK50">
        <v>60.1</v>
      </c>
      <c r="CM50">
        <v>1782224100000</v>
      </c>
      <c r="CN50">
        <v>62.8</v>
      </c>
      <c r="CP50">
        <v>1782221400000</v>
      </c>
      <c r="CQ50">
        <v>90.72</v>
      </c>
      <c r="CR50" s="6"/>
      <c r="CS50">
        <v>1784040300000</v>
      </c>
      <c r="CT50">
        <v>81</v>
      </c>
      <c r="CV50">
        <v>1784039400000</v>
      </c>
      <c r="CW50">
        <v>59.44</v>
      </c>
      <c r="CY50">
        <v>1784045700000</v>
      </c>
      <c r="CZ50">
        <v>86.84</v>
      </c>
      <c r="DB50">
        <v>1784036700000</v>
      </c>
      <c r="DC50">
        <v>90.38</v>
      </c>
      <c r="DE50">
        <v>1784035800000</v>
      </c>
      <c r="DF50">
        <v>119.2</v>
      </c>
      <c r="DH50">
        <v>1784035800000</v>
      </c>
      <c r="DI50">
        <v>64.88</v>
      </c>
      <c r="DK50">
        <v>1784035800000</v>
      </c>
      <c r="DL50">
        <v>54.8</v>
      </c>
      <c r="DN50">
        <v>1784035800000</v>
      </c>
      <c r="DO50">
        <v>101.95</v>
      </c>
      <c r="DP50" s="6"/>
      <c r="DQ50">
        <v>1784124900000</v>
      </c>
      <c r="DR50">
        <v>78.239999999999995</v>
      </c>
      <c r="DT50">
        <v>1784125800000</v>
      </c>
      <c r="DU50">
        <v>36.07</v>
      </c>
      <c r="DW50">
        <v>1784132100000</v>
      </c>
      <c r="DX50">
        <v>102.23</v>
      </c>
      <c r="DZ50">
        <v>1784122200000</v>
      </c>
      <c r="EA50">
        <v>46.63</v>
      </c>
      <c r="EC50">
        <v>1784123100000</v>
      </c>
      <c r="ED50">
        <v>95.47</v>
      </c>
      <c r="EF50">
        <v>1784122200000</v>
      </c>
      <c r="EG50">
        <v>63.87</v>
      </c>
      <c r="EI50">
        <v>1784124000000</v>
      </c>
      <c r="EJ50">
        <v>75.12</v>
      </c>
      <c r="EL50">
        <v>1784122200000</v>
      </c>
      <c r="EM50">
        <v>83.3</v>
      </c>
      <c r="EN50" s="6"/>
    </row>
    <row r="51" spans="1:144">
      <c r="A51">
        <v>1777995000000</v>
      </c>
      <c r="B51">
        <v>76.87</v>
      </c>
      <c r="D51">
        <v>1777988700000</v>
      </c>
      <c r="E51">
        <v>72.900000000000006</v>
      </c>
      <c r="G51">
        <v>1777997700000</v>
      </c>
      <c r="H51">
        <v>63.22</v>
      </c>
      <c r="J51">
        <v>1777989600000</v>
      </c>
      <c r="K51">
        <v>66.37</v>
      </c>
      <c r="M51">
        <v>1777988700000</v>
      </c>
      <c r="N51">
        <v>146.37</v>
      </c>
      <c r="P51">
        <v>1777988700000</v>
      </c>
      <c r="Q51">
        <v>73.95</v>
      </c>
      <c r="S51">
        <v>1777993200000</v>
      </c>
      <c r="T51">
        <v>76.900000000000006</v>
      </c>
      <c r="V51">
        <v>1777989600000</v>
      </c>
      <c r="W51">
        <v>68.2</v>
      </c>
      <c r="X51" s="6"/>
      <c r="Y51">
        <v>1778079600000</v>
      </c>
      <c r="Z51">
        <v>77.8</v>
      </c>
      <c r="AB51">
        <v>1778075100000</v>
      </c>
      <c r="AC51">
        <v>62.83</v>
      </c>
      <c r="AE51">
        <v>1778086800000</v>
      </c>
      <c r="AF51">
        <v>130.57</v>
      </c>
      <c r="AH51">
        <v>1778076900000</v>
      </c>
      <c r="AI51">
        <v>57.33</v>
      </c>
      <c r="AK51">
        <v>1778075100000</v>
      </c>
      <c r="AL51">
        <v>122.94</v>
      </c>
      <c r="AN51">
        <v>1778075100000</v>
      </c>
      <c r="AO51">
        <v>79.8</v>
      </c>
      <c r="AQ51">
        <v>1778078700000</v>
      </c>
      <c r="AR51">
        <v>63.87</v>
      </c>
      <c r="AT51">
        <v>1778076000000</v>
      </c>
      <c r="AU51">
        <v>77.930000000000007</v>
      </c>
      <c r="AV51" s="6"/>
      <c r="AW51">
        <v>1779120900000</v>
      </c>
      <c r="AX51">
        <v>104.05</v>
      </c>
      <c r="AZ51">
        <v>1779112800000</v>
      </c>
      <c r="BA51">
        <v>70.95</v>
      </c>
      <c r="BC51">
        <v>1779125400000</v>
      </c>
      <c r="BD51">
        <v>84.97</v>
      </c>
      <c r="BF51">
        <v>1779115500000</v>
      </c>
      <c r="BG51">
        <v>81.67</v>
      </c>
      <c r="BI51">
        <v>1779113700000</v>
      </c>
      <c r="BJ51">
        <v>81.3</v>
      </c>
      <c r="BL51">
        <v>1779112800000</v>
      </c>
      <c r="BM51">
        <v>74.430000000000007</v>
      </c>
      <c r="BO51">
        <v>1779116400000</v>
      </c>
      <c r="BP51">
        <v>80</v>
      </c>
      <c r="BR51">
        <v>1779112800000</v>
      </c>
      <c r="BS51">
        <v>84.63</v>
      </c>
      <c r="BT51" s="6"/>
      <c r="BU51">
        <v>1782228600000</v>
      </c>
      <c r="BV51">
        <v>71.28</v>
      </c>
      <c r="BX51">
        <v>1782224100000</v>
      </c>
      <c r="BY51">
        <v>71.38</v>
      </c>
      <c r="CA51">
        <v>1782230400000</v>
      </c>
      <c r="CB51">
        <v>73.67</v>
      </c>
      <c r="CD51">
        <v>1782225900000</v>
      </c>
      <c r="CE51">
        <v>58.56</v>
      </c>
      <c r="CG51">
        <v>1782223200000</v>
      </c>
      <c r="CH51">
        <v>86.95</v>
      </c>
      <c r="CJ51">
        <v>1782223200000</v>
      </c>
      <c r="CK51">
        <v>71.59</v>
      </c>
      <c r="CM51">
        <v>1782225000000</v>
      </c>
      <c r="CN51">
        <v>64.86</v>
      </c>
      <c r="CP51">
        <v>1782222300000</v>
      </c>
      <c r="CQ51">
        <v>75.44</v>
      </c>
      <c r="CR51" s="6"/>
      <c r="CS51">
        <v>1784041200000</v>
      </c>
      <c r="CT51">
        <v>78.599999999999994</v>
      </c>
      <c r="CV51">
        <v>1784040300000</v>
      </c>
      <c r="CW51">
        <v>76.2</v>
      </c>
      <c r="CY51">
        <v>1784046600000</v>
      </c>
      <c r="CZ51">
        <v>64.400000000000006</v>
      </c>
      <c r="DB51">
        <v>1784037600000</v>
      </c>
      <c r="DC51">
        <v>60.46</v>
      </c>
      <c r="DE51">
        <v>1784036700000</v>
      </c>
      <c r="DF51">
        <v>93.7</v>
      </c>
      <c r="DH51">
        <v>1784036700000</v>
      </c>
      <c r="DI51">
        <v>68.260000000000005</v>
      </c>
      <c r="DK51">
        <v>1784036700000</v>
      </c>
      <c r="DL51">
        <v>53.42</v>
      </c>
      <c r="DN51">
        <v>1784036700000</v>
      </c>
      <c r="DO51">
        <v>91.42</v>
      </c>
      <c r="DP51" s="6"/>
      <c r="DQ51">
        <v>1784125800000</v>
      </c>
      <c r="DR51">
        <v>54.92</v>
      </c>
      <c r="DT51">
        <v>1784126700000</v>
      </c>
      <c r="DU51">
        <v>69.5</v>
      </c>
      <c r="DW51">
        <v>1784133000000</v>
      </c>
      <c r="DX51">
        <v>82.58</v>
      </c>
      <c r="DZ51">
        <v>1784123100000</v>
      </c>
      <c r="EA51">
        <v>61.38</v>
      </c>
      <c r="EC51">
        <v>1784124000000</v>
      </c>
      <c r="ED51">
        <v>104.16</v>
      </c>
      <c r="EF51">
        <v>1784123100000</v>
      </c>
      <c r="EG51">
        <v>76.47</v>
      </c>
      <c r="EI51">
        <v>1784124900000</v>
      </c>
      <c r="EJ51">
        <v>72.84</v>
      </c>
      <c r="EL51">
        <v>1784123100000</v>
      </c>
      <c r="EM51">
        <v>93.35</v>
      </c>
      <c r="EN51" s="6"/>
    </row>
    <row r="52" spans="1:144">
      <c r="A52">
        <v>1777995900000</v>
      </c>
      <c r="B52">
        <v>70.92</v>
      </c>
      <c r="D52">
        <v>1777989600000</v>
      </c>
      <c r="E52">
        <v>78.05</v>
      </c>
      <c r="G52">
        <v>1777998600000</v>
      </c>
      <c r="H52">
        <v>99.07</v>
      </c>
      <c r="J52">
        <v>1777990500000</v>
      </c>
      <c r="K52">
        <v>50.3</v>
      </c>
      <c r="M52">
        <v>1777989600000</v>
      </c>
      <c r="N52">
        <v>120.94</v>
      </c>
      <c r="P52">
        <v>1777989600000</v>
      </c>
      <c r="Q52">
        <v>81.13</v>
      </c>
      <c r="S52">
        <v>1777994100000</v>
      </c>
      <c r="T52">
        <v>38.1</v>
      </c>
      <c r="V52">
        <v>1777990500000</v>
      </c>
      <c r="W52">
        <v>86.1</v>
      </c>
      <c r="X52" s="6"/>
      <c r="Y52">
        <v>1778080500000</v>
      </c>
      <c r="Z52">
        <v>96.2</v>
      </c>
      <c r="AB52">
        <v>1778076000000</v>
      </c>
      <c r="AC52">
        <v>77.5</v>
      </c>
      <c r="AE52">
        <v>1778087700000</v>
      </c>
      <c r="AF52">
        <v>43.87</v>
      </c>
      <c r="AH52">
        <v>1778077800000</v>
      </c>
      <c r="AI52">
        <v>50.23</v>
      </c>
      <c r="AK52">
        <v>1778076000000</v>
      </c>
      <c r="AL52">
        <v>104.04</v>
      </c>
      <c r="AN52">
        <v>1778076000000</v>
      </c>
      <c r="AO52">
        <v>73.5</v>
      </c>
      <c r="AQ52">
        <v>1778079600000</v>
      </c>
      <c r="AR52">
        <v>94.31</v>
      </c>
      <c r="AT52">
        <v>1778076900000</v>
      </c>
      <c r="AU52">
        <v>89.48</v>
      </c>
      <c r="AV52" s="6"/>
      <c r="AW52">
        <v>1779121800000</v>
      </c>
      <c r="AX52">
        <v>104.47</v>
      </c>
      <c r="AZ52">
        <v>1779113700000</v>
      </c>
      <c r="BA52">
        <v>72.23</v>
      </c>
      <c r="BC52">
        <v>1779126300000</v>
      </c>
      <c r="BD52">
        <v>57.5</v>
      </c>
      <c r="BF52">
        <v>1779116400000</v>
      </c>
      <c r="BG52">
        <v>70.48</v>
      </c>
      <c r="BI52">
        <v>1779114600000</v>
      </c>
      <c r="BJ52">
        <v>95.04</v>
      </c>
      <c r="BL52">
        <v>1779113700000</v>
      </c>
      <c r="BM52">
        <v>69.47</v>
      </c>
      <c r="BO52">
        <v>1779117300000</v>
      </c>
      <c r="BP52">
        <v>77.94</v>
      </c>
      <c r="BR52">
        <v>1779113700000</v>
      </c>
      <c r="BS52">
        <v>83.92</v>
      </c>
      <c r="BT52" s="6"/>
      <c r="BU52">
        <v>1782229500000</v>
      </c>
      <c r="BV52">
        <v>78.63</v>
      </c>
      <c r="BX52">
        <v>1782225000000</v>
      </c>
      <c r="BY52">
        <v>54.05</v>
      </c>
      <c r="CA52">
        <v>1782231300000</v>
      </c>
      <c r="CB52">
        <v>69.12</v>
      </c>
      <c r="CD52">
        <v>1782226800000</v>
      </c>
      <c r="CE52">
        <v>66.17</v>
      </c>
      <c r="CG52">
        <v>1782224100000</v>
      </c>
      <c r="CH52">
        <v>93.6</v>
      </c>
      <c r="CJ52">
        <v>1782224100000</v>
      </c>
      <c r="CK52">
        <v>67.099999999999994</v>
      </c>
      <c r="CM52">
        <v>1782225900000</v>
      </c>
      <c r="CN52">
        <v>52.06</v>
      </c>
      <c r="CP52">
        <v>1782223200000</v>
      </c>
      <c r="CQ52">
        <v>91.77</v>
      </c>
      <c r="CR52" s="6"/>
      <c r="CS52">
        <v>1784042100000</v>
      </c>
      <c r="CT52">
        <v>92.18</v>
      </c>
      <c r="CV52">
        <v>1784041200000</v>
      </c>
      <c r="CW52">
        <v>73.7</v>
      </c>
      <c r="CY52">
        <v>1784047500000</v>
      </c>
      <c r="CZ52">
        <v>110.3</v>
      </c>
      <c r="DB52">
        <v>1784038500000</v>
      </c>
      <c r="DC52">
        <v>58.82</v>
      </c>
      <c r="DE52">
        <v>1784037600000</v>
      </c>
      <c r="DF52">
        <v>98.82</v>
      </c>
      <c r="DH52">
        <v>1784037600000</v>
      </c>
      <c r="DI52">
        <v>72.08</v>
      </c>
      <c r="DK52">
        <v>1784037600000</v>
      </c>
      <c r="DL52">
        <v>56.6</v>
      </c>
      <c r="DN52">
        <v>1784037600000</v>
      </c>
      <c r="DO52">
        <v>89.64</v>
      </c>
      <c r="DP52" s="6"/>
      <c r="DQ52">
        <v>1784126700000</v>
      </c>
      <c r="DR52">
        <v>59.67</v>
      </c>
      <c r="DT52">
        <v>1784127600000</v>
      </c>
      <c r="DU52">
        <v>77.400000000000006</v>
      </c>
      <c r="DW52">
        <v>1784133900000</v>
      </c>
      <c r="DX52">
        <v>55.86</v>
      </c>
      <c r="DZ52">
        <v>1784124000000</v>
      </c>
      <c r="EA52">
        <v>52.44</v>
      </c>
      <c r="EC52">
        <v>1784124900000</v>
      </c>
      <c r="ED52">
        <v>92.9</v>
      </c>
      <c r="EF52">
        <v>1784124000000</v>
      </c>
      <c r="EG52">
        <v>76.5</v>
      </c>
      <c r="EI52">
        <v>1784125800000</v>
      </c>
      <c r="EJ52">
        <v>56.82</v>
      </c>
      <c r="EL52">
        <v>1784124000000</v>
      </c>
      <c r="EM52">
        <v>78.45</v>
      </c>
      <c r="EN52" s="6"/>
    </row>
    <row r="53" spans="1:144">
      <c r="A53">
        <v>1777996800000</v>
      </c>
      <c r="B53">
        <v>98.4</v>
      </c>
      <c r="D53">
        <v>1777990500000</v>
      </c>
      <c r="E53">
        <v>71.349999999999994</v>
      </c>
      <c r="G53">
        <v>1777999500000</v>
      </c>
      <c r="H53">
        <v>71.099999999999994</v>
      </c>
      <c r="J53">
        <v>1777991400000</v>
      </c>
      <c r="K53">
        <v>30.4</v>
      </c>
      <c r="M53">
        <v>1777990500000</v>
      </c>
      <c r="N53">
        <v>92.23</v>
      </c>
      <c r="P53">
        <v>1777990500000</v>
      </c>
      <c r="Q53">
        <v>75.319999999999993</v>
      </c>
      <c r="S53">
        <v>1777995000000</v>
      </c>
      <c r="T53">
        <v>67.23</v>
      </c>
      <c r="V53">
        <v>1777991400000</v>
      </c>
      <c r="W53">
        <v>81.17</v>
      </c>
      <c r="X53" s="6"/>
      <c r="Y53">
        <v>1778081400000</v>
      </c>
      <c r="Z53">
        <v>89.7</v>
      </c>
      <c r="AB53">
        <v>1778076900000</v>
      </c>
      <c r="AC53">
        <v>54.02</v>
      </c>
      <c r="AE53">
        <v>1778088600000</v>
      </c>
      <c r="AF53">
        <v>40.659999999999997</v>
      </c>
      <c r="AH53">
        <v>1778078700000</v>
      </c>
      <c r="AI53">
        <v>46.96</v>
      </c>
      <c r="AK53">
        <v>1778076900000</v>
      </c>
      <c r="AL53">
        <v>96.88</v>
      </c>
      <c r="AN53">
        <v>1778076900000</v>
      </c>
      <c r="AO53">
        <v>85.97</v>
      </c>
      <c r="AQ53">
        <v>1778080500000</v>
      </c>
      <c r="AR53">
        <v>87.43</v>
      </c>
      <c r="AT53">
        <v>1778077800000</v>
      </c>
      <c r="AU53">
        <v>82.5</v>
      </c>
      <c r="AV53" s="6"/>
      <c r="AW53">
        <v>1779122700000</v>
      </c>
      <c r="AX53">
        <v>92.05</v>
      </c>
      <c r="AZ53">
        <v>1779114600000</v>
      </c>
      <c r="BA53">
        <v>60.07</v>
      </c>
      <c r="BC53">
        <v>1779127200000</v>
      </c>
      <c r="BD53">
        <v>84.83</v>
      </c>
      <c r="BF53">
        <v>1779117300000</v>
      </c>
      <c r="BG53">
        <v>76</v>
      </c>
      <c r="BI53">
        <v>1779115500000</v>
      </c>
      <c r="BJ53">
        <v>58.45</v>
      </c>
      <c r="BL53">
        <v>1779114600000</v>
      </c>
      <c r="BM53">
        <v>63.25</v>
      </c>
      <c r="BO53">
        <v>1779118200000</v>
      </c>
      <c r="BP53">
        <v>86.54</v>
      </c>
      <c r="BR53">
        <v>1779114600000</v>
      </c>
      <c r="BS53">
        <v>91.47</v>
      </c>
      <c r="BT53" s="6"/>
      <c r="BU53">
        <v>1782230400000</v>
      </c>
      <c r="BV53">
        <v>96.72</v>
      </c>
      <c r="BX53">
        <v>1782225900000</v>
      </c>
      <c r="BY53">
        <v>63.24</v>
      </c>
      <c r="CA53">
        <v>1782232200000</v>
      </c>
      <c r="CB53">
        <v>57.77</v>
      </c>
      <c r="CD53">
        <v>1782227700000</v>
      </c>
      <c r="CE53">
        <v>62.94</v>
      </c>
      <c r="CG53">
        <v>1782225000000</v>
      </c>
      <c r="CH53">
        <v>93.33</v>
      </c>
      <c r="CJ53">
        <v>1782225000000</v>
      </c>
      <c r="CK53">
        <v>68.3</v>
      </c>
      <c r="CM53">
        <v>1782226800000</v>
      </c>
      <c r="CN53">
        <v>97.26</v>
      </c>
      <c r="CP53">
        <v>1782224100000</v>
      </c>
      <c r="CQ53">
        <v>87.9</v>
      </c>
      <c r="CR53" s="6"/>
      <c r="CS53">
        <v>1784043000000</v>
      </c>
      <c r="CT53">
        <v>79.930000000000007</v>
      </c>
      <c r="CV53">
        <v>1784042100000</v>
      </c>
      <c r="CW53">
        <v>69</v>
      </c>
      <c r="CY53">
        <v>1784048400000</v>
      </c>
      <c r="CZ53">
        <v>59.9</v>
      </c>
      <c r="DB53">
        <v>1784039400000</v>
      </c>
      <c r="DC53">
        <v>64.400000000000006</v>
      </c>
      <c r="DE53">
        <v>1784038500000</v>
      </c>
      <c r="DF53">
        <v>90.83</v>
      </c>
      <c r="DH53">
        <v>1784038500000</v>
      </c>
      <c r="DI53">
        <v>69.44</v>
      </c>
      <c r="DK53">
        <v>1784038500000</v>
      </c>
      <c r="DL53">
        <v>38.42</v>
      </c>
      <c r="DN53">
        <v>1784038500000</v>
      </c>
      <c r="DO53">
        <v>93.78</v>
      </c>
      <c r="DP53" s="6"/>
      <c r="DQ53">
        <v>1784127600000</v>
      </c>
      <c r="DR53">
        <v>90.08</v>
      </c>
      <c r="DT53">
        <v>1784128500000</v>
      </c>
      <c r="DU53">
        <v>77.599999999999994</v>
      </c>
      <c r="DW53">
        <v>1784134800000</v>
      </c>
      <c r="DX53">
        <v>85.15</v>
      </c>
      <c r="DZ53">
        <v>1784124900000</v>
      </c>
      <c r="EA53">
        <v>66.040000000000006</v>
      </c>
      <c r="EC53">
        <v>1784125800000</v>
      </c>
      <c r="ED53">
        <v>90.28</v>
      </c>
      <c r="EF53">
        <v>1784124900000</v>
      </c>
      <c r="EG53">
        <v>65.7</v>
      </c>
      <c r="EI53">
        <v>1784126700000</v>
      </c>
      <c r="EJ53">
        <v>74.7</v>
      </c>
      <c r="EL53">
        <v>1784124900000</v>
      </c>
      <c r="EM53">
        <v>89.7</v>
      </c>
      <c r="EN53" s="6"/>
    </row>
    <row r="54" spans="1:144">
      <c r="A54">
        <v>1777997700000</v>
      </c>
      <c r="B54">
        <v>97.2</v>
      </c>
      <c r="D54">
        <v>1777991400000</v>
      </c>
      <c r="E54">
        <v>81.25</v>
      </c>
      <c r="G54">
        <v>1778000400000</v>
      </c>
      <c r="H54">
        <v>86.83</v>
      </c>
      <c r="J54">
        <v>1777992300000</v>
      </c>
      <c r="K54">
        <v>70.02</v>
      </c>
      <c r="M54">
        <v>1777991400000</v>
      </c>
      <c r="N54">
        <v>100.38</v>
      </c>
      <c r="P54">
        <v>1777991400000</v>
      </c>
      <c r="Q54">
        <v>77.569999999999993</v>
      </c>
      <c r="S54">
        <v>1777995900000</v>
      </c>
      <c r="T54">
        <v>57.94</v>
      </c>
      <c r="V54">
        <v>1777992300000</v>
      </c>
      <c r="W54">
        <v>103.86</v>
      </c>
      <c r="X54" s="6"/>
      <c r="Y54">
        <v>1778082300000</v>
      </c>
      <c r="Z54">
        <v>129.47</v>
      </c>
      <c r="AB54">
        <v>1778077800000</v>
      </c>
      <c r="AC54">
        <v>64.739999999999995</v>
      </c>
      <c r="AE54">
        <v>1778089500000</v>
      </c>
      <c r="AF54">
        <v>79.45</v>
      </c>
      <c r="AH54">
        <v>1778079600000</v>
      </c>
      <c r="AI54">
        <v>78.22</v>
      </c>
      <c r="AK54">
        <v>1778077800000</v>
      </c>
      <c r="AL54">
        <v>84.42</v>
      </c>
      <c r="AN54">
        <v>1778077800000</v>
      </c>
      <c r="AO54">
        <v>77.2</v>
      </c>
      <c r="AQ54">
        <v>1778081400000</v>
      </c>
      <c r="AR54">
        <v>81.66</v>
      </c>
      <c r="AT54">
        <v>1778078700000</v>
      </c>
      <c r="AU54">
        <v>81.98</v>
      </c>
      <c r="AV54" s="6"/>
      <c r="AW54">
        <v>1779123600000</v>
      </c>
      <c r="AX54">
        <v>134.43</v>
      </c>
      <c r="AZ54">
        <v>1779115500000</v>
      </c>
      <c r="BA54">
        <v>58.7</v>
      </c>
      <c r="BC54">
        <v>1779128100000</v>
      </c>
      <c r="BD54">
        <v>52.4</v>
      </c>
      <c r="BF54">
        <v>1779118200000</v>
      </c>
      <c r="BG54">
        <v>67.45</v>
      </c>
      <c r="BI54">
        <v>1779116400000</v>
      </c>
      <c r="BJ54">
        <v>104.8</v>
      </c>
      <c r="BL54">
        <v>1779115500000</v>
      </c>
      <c r="BM54">
        <v>80.25</v>
      </c>
      <c r="BO54">
        <v>1779119100000</v>
      </c>
      <c r="BP54">
        <v>84.97</v>
      </c>
      <c r="BR54">
        <v>1779115500000</v>
      </c>
      <c r="BS54">
        <v>80.400000000000006</v>
      </c>
      <c r="BT54" s="6"/>
      <c r="BU54">
        <v>1782231300000</v>
      </c>
      <c r="BV54">
        <v>76.84</v>
      </c>
      <c r="BX54">
        <v>1782226800000</v>
      </c>
      <c r="BY54">
        <v>54.45</v>
      </c>
      <c r="CA54">
        <v>1782233100000</v>
      </c>
      <c r="CB54">
        <v>65.98</v>
      </c>
      <c r="CD54">
        <v>1782228600000</v>
      </c>
      <c r="CE54">
        <v>55.23</v>
      </c>
      <c r="CG54">
        <v>1782225900000</v>
      </c>
      <c r="CH54">
        <v>91.22</v>
      </c>
      <c r="CJ54">
        <v>1782225900000</v>
      </c>
      <c r="CK54">
        <v>64.02</v>
      </c>
      <c r="CM54">
        <v>1782227700000</v>
      </c>
      <c r="CN54">
        <v>78.7</v>
      </c>
      <c r="CP54">
        <v>1782225000000</v>
      </c>
      <c r="CQ54">
        <v>79.819999999999993</v>
      </c>
      <c r="CR54" s="6"/>
      <c r="CS54">
        <v>1784043900000</v>
      </c>
      <c r="CT54">
        <v>82.56</v>
      </c>
      <c r="CV54">
        <v>1784043000000</v>
      </c>
      <c r="CW54">
        <v>76.97</v>
      </c>
      <c r="CY54">
        <v>1784049300000</v>
      </c>
      <c r="CZ54">
        <v>67.599999999999994</v>
      </c>
      <c r="DB54">
        <v>1784040300000</v>
      </c>
      <c r="DC54">
        <v>99.7</v>
      </c>
      <c r="DE54">
        <v>1784039400000</v>
      </c>
      <c r="DF54">
        <v>106.88</v>
      </c>
      <c r="DH54">
        <v>1784039400000</v>
      </c>
      <c r="DI54">
        <v>80.47</v>
      </c>
      <c r="DK54">
        <v>1784039400000</v>
      </c>
      <c r="DL54">
        <v>70.58</v>
      </c>
      <c r="DN54">
        <v>1784039400000</v>
      </c>
      <c r="DO54">
        <v>57.45</v>
      </c>
      <c r="DP54" s="6"/>
      <c r="DQ54">
        <v>1784128500000</v>
      </c>
      <c r="DR54">
        <v>82.17</v>
      </c>
      <c r="DT54">
        <v>1784129400000</v>
      </c>
      <c r="DU54">
        <v>75.17</v>
      </c>
      <c r="DW54">
        <v>1784135700000</v>
      </c>
      <c r="DX54">
        <v>82.2</v>
      </c>
      <c r="DZ54">
        <v>1784125800000</v>
      </c>
      <c r="EA54">
        <v>51.65</v>
      </c>
      <c r="EC54">
        <v>1784126700000</v>
      </c>
      <c r="ED54">
        <v>113.5</v>
      </c>
      <c r="EF54">
        <v>1784125800000</v>
      </c>
      <c r="EG54">
        <v>99.92</v>
      </c>
      <c r="EI54">
        <v>1784127600000</v>
      </c>
      <c r="EJ54">
        <v>71.400000000000006</v>
      </c>
      <c r="EL54">
        <v>1784125800000</v>
      </c>
      <c r="EM54">
        <v>86.13</v>
      </c>
      <c r="EN54" s="6"/>
    </row>
    <row r="55" spans="1:144">
      <c r="A55">
        <v>1777998600000</v>
      </c>
      <c r="B55">
        <v>79.680000000000007</v>
      </c>
      <c r="D55">
        <v>1777992300000</v>
      </c>
      <c r="E55">
        <v>76.45</v>
      </c>
      <c r="G55">
        <v>1778001300000</v>
      </c>
      <c r="H55">
        <v>73.33</v>
      </c>
      <c r="J55">
        <v>1777993200000</v>
      </c>
      <c r="K55">
        <v>73.53</v>
      </c>
      <c r="M55">
        <v>1777992300000</v>
      </c>
      <c r="N55">
        <v>96.42</v>
      </c>
      <c r="P55">
        <v>1777992300000</v>
      </c>
      <c r="Q55">
        <v>74.92</v>
      </c>
      <c r="S55">
        <v>1777996800000</v>
      </c>
      <c r="T55">
        <v>46.22</v>
      </c>
      <c r="V55">
        <v>1777993200000</v>
      </c>
      <c r="W55">
        <v>72.260000000000005</v>
      </c>
      <c r="X55" s="6"/>
      <c r="Y55">
        <v>1778083200000</v>
      </c>
      <c r="Z55">
        <v>87.67</v>
      </c>
      <c r="AB55">
        <v>1778078700000</v>
      </c>
      <c r="AC55">
        <v>75.8</v>
      </c>
      <c r="AE55">
        <v>1778090400000</v>
      </c>
      <c r="AF55">
        <v>69.88</v>
      </c>
      <c r="AH55">
        <v>1778080500000</v>
      </c>
      <c r="AI55">
        <v>72.48</v>
      </c>
      <c r="AK55">
        <v>1778078700000</v>
      </c>
      <c r="AL55">
        <v>96.42</v>
      </c>
      <c r="AN55">
        <v>1778078700000</v>
      </c>
      <c r="AO55">
        <v>79.5</v>
      </c>
      <c r="AQ55">
        <v>1778082300000</v>
      </c>
      <c r="AR55">
        <v>66.95</v>
      </c>
      <c r="AT55">
        <v>1778079600000</v>
      </c>
      <c r="AU55">
        <v>68.11</v>
      </c>
      <c r="AV55" s="6"/>
      <c r="AW55">
        <v>1779124500000</v>
      </c>
      <c r="AX55">
        <v>96.05</v>
      </c>
      <c r="AZ55">
        <v>1779116400000</v>
      </c>
      <c r="BA55">
        <v>76.349999999999994</v>
      </c>
      <c r="BC55">
        <v>1779129000000</v>
      </c>
      <c r="BD55">
        <v>71.05</v>
      </c>
      <c r="BF55">
        <v>1779119100000</v>
      </c>
      <c r="BG55">
        <v>71.180000000000007</v>
      </c>
      <c r="BI55">
        <v>1779117300000</v>
      </c>
      <c r="BJ55">
        <v>91.97</v>
      </c>
      <c r="BL55">
        <v>1779116400000</v>
      </c>
      <c r="BM55">
        <v>82.05</v>
      </c>
      <c r="BO55">
        <v>1779120000000</v>
      </c>
      <c r="BP55">
        <v>64.62</v>
      </c>
      <c r="BR55">
        <v>1779116400000</v>
      </c>
      <c r="BS55">
        <v>78.17</v>
      </c>
      <c r="BT55" s="6"/>
      <c r="BU55">
        <v>1782232200000</v>
      </c>
      <c r="BV55">
        <v>90.37</v>
      </c>
      <c r="BX55">
        <v>1782227700000</v>
      </c>
      <c r="BY55">
        <v>13.65</v>
      </c>
      <c r="CA55">
        <v>1782234000000</v>
      </c>
      <c r="CB55">
        <v>88.77</v>
      </c>
      <c r="CD55">
        <v>1782229500000</v>
      </c>
      <c r="CE55">
        <v>70.599999999999994</v>
      </c>
      <c r="CG55">
        <v>1782226800000</v>
      </c>
      <c r="CH55">
        <v>99.33</v>
      </c>
      <c r="CJ55">
        <v>1782226800000</v>
      </c>
      <c r="CK55">
        <v>73.7</v>
      </c>
      <c r="CM55">
        <v>1782228600000</v>
      </c>
      <c r="CN55">
        <v>79.239999999999995</v>
      </c>
      <c r="CP55">
        <v>1782225900000</v>
      </c>
      <c r="CQ55">
        <v>91.2</v>
      </c>
      <c r="CR55" s="6"/>
      <c r="CS55">
        <v>1784044800000</v>
      </c>
      <c r="CT55">
        <v>93.97</v>
      </c>
      <c r="CV55">
        <v>1784043900000</v>
      </c>
      <c r="CW55">
        <v>66.05</v>
      </c>
      <c r="CY55">
        <v>1784050200000</v>
      </c>
      <c r="CZ55">
        <v>97.25</v>
      </c>
      <c r="DB55">
        <v>1784041200000</v>
      </c>
      <c r="DC55">
        <v>73.27</v>
      </c>
      <c r="DE55">
        <v>1784040300000</v>
      </c>
      <c r="DF55">
        <v>152.15</v>
      </c>
      <c r="DH55">
        <v>1784040300000</v>
      </c>
      <c r="DI55">
        <v>78.98</v>
      </c>
      <c r="DK55">
        <v>1784040300000</v>
      </c>
      <c r="DL55">
        <v>80.739999999999995</v>
      </c>
      <c r="DN55">
        <v>1784040300000</v>
      </c>
      <c r="DO55">
        <v>113.93</v>
      </c>
      <c r="DP55" s="6"/>
      <c r="DQ55">
        <v>1784129400000</v>
      </c>
      <c r="DR55">
        <v>91.93</v>
      </c>
      <c r="DT55">
        <v>1784130300000</v>
      </c>
      <c r="DU55">
        <v>71.900000000000006</v>
      </c>
      <c r="DW55">
        <v>1784136600000</v>
      </c>
      <c r="DX55">
        <v>94.64</v>
      </c>
      <c r="DZ55">
        <v>1784126700000</v>
      </c>
      <c r="EA55">
        <v>48.88</v>
      </c>
      <c r="EC55">
        <v>1784127600000</v>
      </c>
      <c r="ED55">
        <v>99.55</v>
      </c>
      <c r="EF55">
        <v>1784126700000</v>
      </c>
      <c r="EG55">
        <v>76.180000000000007</v>
      </c>
      <c r="EI55">
        <v>1784128500000</v>
      </c>
      <c r="EJ55">
        <v>47.11</v>
      </c>
      <c r="EL55">
        <v>1784126700000</v>
      </c>
      <c r="EM55">
        <v>89.92</v>
      </c>
      <c r="EN55" s="6"/>
    </row>
    <row r="56" spans="1:144">
      <c r="A56">
        <v>1777999500000</v>
      </c>
      <c r="B56">
        <v>75.78</v>
      </c>
      <c r="D56">
        <v>1777993200000</v>
      </c>
      <c r="E56">
        <v>80.900000000000006</v>
      </c>
      <c r="G56">
        <v>1778002200000</v>
      </c>
      <c r="H56">
        <v>93.8</v>
      </c>
      <c r="J56">
        <v>1777994100000</v>
      </c>
      <c r="K56">
        <v>70.569999999999993</v>
      </c>
      <c r="M56">
        <v>1777993200000</v>
      </c>
      <c r="N56">
        <v>102.83</v>
      </c>
      <c r="P56">
        <v>1777993200000</v>
      </c>
      <c r="Q56">
        <v>84.37</v>
      </c>
      <c r="S56">
        <v>1777997700000</v>
      </c>
      <c r="T56">
        <v>57.27</v>
      </c>
      <c r="V56">
        <v>1777994100000</v>
      </c>
      <c r="W56">
        <v>83.26</v>
      </c>
      <c r="X56" s="6"/>
      <c r="Y56">
        <v>1778084100000</v>
      </c>
      <c r="Z56">
        <v>95.8</v>
      </c>
      <c r="AB56">
        <v>1778079600000</v>
      </c>
      <c r="AC56">
        <v>71.2</v>
      </c>
      <c r="AE56">
        <v>1778091300000</v>
      </c>
      <c r="AF56">
        <v>79.86</v>
      </c>
      <c r="AH56">
        <v>1778081400000</v>
      </c>
      <c r="AI56">
        <v>70.3</v>
      </c>
      <c r="AK56">
        <v>1778079600000</v>
      </c>
      <c r="AL56">
        <v>104.43</v>
      </c>
      <c r="AN56">
        <v>1778079600000</v>
      </c>
      <c r="AO56">
        <v>73.58</v>
      </c>
      <c r="AQ56">
        <v>1778083200000</v>
      </c>
      <c r="AR56">
        <v>72.47</v>
      </c>
      <c r="AT56">
        <v>1778080500000</v>
      </c>
      <c r="AU56">
        <v>90.1</v>
      </c>
      <c r="AV56" s="6"/>
      <c r="AW56">
        <v>1779125400000</v>
      </c>
      <c r="AX56">
        <v>99.28</v>
      </c>
      <c r="AZ56">
        <v>1779117300000</v>
      </c>
      <c r="BA56">
        <v>69.17</v>
      </c>
      <c r="BC56">
        <v>1779129900000</v>
      </c>
      <c r="BD56">
        <v>10.9</v>
      </c>
      <c r="BF56">
        <v>1779120000000</v>
      </c>
      <c r="BG56">
        <v>61.68</v>
      </c>
      <c r="BI56">
        <v>1779118200000</v>
      </c>
      <c r="BJ56">
        <v>101.08</v>
      </c>
      <c r="BL56">
        <v>1779117300000</v>
      </c>
      <c r="BM56">
        <v>77.28</v>
      </c>
      <c r="BO56">
        <v>1779120900000</v>
      </c>
      <c r="BP56">
        <v>58.5</v>
      </c>
      <c r="BR56">
        <v>1779117300000</v>
      </c>
      <c r="BS56">
        <v>86.87</v>
      </c>
      <c r="BT56" s="6"/>
      <c r="BU56">
        <v>1782233100000</v>
      </c>
      <c r="BV56">
        <v>78.38</v>
      </c>
      <c r="BX56">
        <v>1782228600000</v>
      </c>
      <c r="BY56">
        <v>69.73</v>
      </c>
      <c r="CA56">
        <v>1782234900000</v>
      </c>
      <c r="CB56">
        <v>49.22</v>
      </c>
      <c r="CD56">
        <v>1782230400000</v>
      </c>
      <c r="CE56">
        <v>71.099999999999994</v>
      </c>
      <c r="CG56">
        <v>1782227700000</v>
      </c>
      <c r="CH56">
        <v>89.97</v>
      </c>
      <c r="CJ56">
        <v>1782227700000</v>
      </c>
      <c r="CK56">
        <v>73.349999999999994</v>
      </c>
      <c r="CM56">
        <v>1782229500000</v>
      </c>
      <c r="CN56">
        <v>86.94</v>
      </c>
      <c r="CP56">
        <v>1782226800000</v>
      </c>
      <c r="CQ56">
        <v>90.83</v>
      </c>
      <c r="CR56" s="6"/>
      <c r="CS56">
        <v>1784045700000</v>
      </c>
      <c r="CT56">
        <v>87.57</v>
      </c>
      <c r="CV56">
        <v>1784044800000</v>
      </c>
      <c r="CW56">
        <v>65.38</v>
      </c>
      <c r="CY56">
        <v>1784051100000</v>
      </c>
      <c r="CZ56">
        <v>55.15</v>
      </c>
      <c r="DB56">
        <v>1784042100000</v>
      </c>
      <c r="DC56">
        <v>87.72</v>
      </c>
      <c r="DE56">
        <v>1784041200000</v>
      </c>
      <c r="DF56">
        <v>99.78</v>
      </c>
      <c r="DH56">
        <v>1784041200000</v>
      </c>
      <c r="DI56">
        <v>81.319999999999993</v>
      </c>
      <c r="DK56">
        <v>1784041200000</v>
      </c>
      <c r="DL56">
        <v>69.42</v>
      </c>
      <c r="DN56">
        <v>1784041200000</v>
      </c>
      <c r="DO56">
        <v>76.88</v>
      </c>
      <c r="DP56" s="6"/>
      <c r="DQ56">
        <v>1784130300000</v>
      </c>
      <c r="DR56">
        <v>69.28</v>
      </c>
      <c r="DT56">
        <v>1784131200000</v>
      </c>
      <c r="DU56">
        <v>70.680000000000007</v>
      </c>
      <c r="DW56">
        <v>1784137500000</v>
      </c>
      <c r="DX56">
        <v>92.74</v>
      </c>
      <c r="DZ56">
        <v>1784127600000</v>
      </c>
      <c r="EA56">
        <v>55.55</v>
      </c>
      <c r="EC56">
        <v>1784128500000</v>
      </c>
      <c r="ED56">
        <v>93.3</v>
      </c>
      <c r="EF56">
        <v>1784127600000</v>
      </c>
      <c r="EG56">
        <v>80.73</v>
      </c>
      <c r="EI56">
        <v>1784129400000</v>
      </c>
      <c r="EJ56">
        <v>71.540000000000006</v>
      </c>
      <c r="EL56">
        <v>1784127600000</v>
      </c>
      <c r="EM56">
        <v>90.97</v>
      </c>
      <c r="EN56" s="6"/>
    </row>
    <row r="57" spans="1:144">
      <c r="A57">
        <v>1778000400000</v>
      </c>
      <c r="B57">
        <v>82.07</v>
      </c>
      <c r="D57">
        <v>1777995000000</v>
      </c>
      <c r="E57">
        <v>79.599999999999994</v>
      </c>
      <c r="G57">
        <v>1778003100000</v>
      </c>
      <c r="H57">
        <v>80.849999999999994</v>
      </c>
      <c r="J57">
        <v>1777995000000</v>
      </c>
      <c r="K57">
        <v>66.7</v>
      </c>
      <c r="M57">
        <v>1777994100000</v>
      </c>
      <c r="N57">
        <v>100.14</v>
      </c>
      <c r="P57">
        <v>1777994100000</v>
      </c>
      <c r="Q57">
        <v>75.930000000000007</v>
      </c>
      <c r="S57">
        <v>1777998600000</v>
      </c>
      <c r="T57">
        <v>130.32</v>
      </c>
      <c r="V57">
        <v>1777995000000</v>
      </c>
      <c r="W57">
        <v>76.11</v>
      </c>
      <c r="X57" s="6"/>
      <c r="Y57">
        <v>1778085000000</v>
      </c>
      <c r="Z57">
        <v>110.63</v>
      </c>
      <c r="AB57">
        <v>1778080500000</v>
      </c>
      <c r="AC57">
        <v>73.3</v>
      </c>
      <c r="AE57">
        <v>1778092200000</v>
      </c>
      <c r="AF57">
        <v>100.97</v>
      </c>
      <c r="AH57">
        <v>1778082300000</v>
      </c>
      <c r="AI57">
        <v>47.83</v>
      </c>
      <c r="AK57">
        <v>1778080500000</v>
      </c>
      <c r="AL57">
        <v>99.56</v>
      </c>
      <c r="AN57">
        <v>1778080500000</v>
      </c>
      <c r="AO57">
        <v>72.72</v>
      </c>
      <c r="AQ57">
        <v>1778084100000</v>
      </c>
      <c r="AR57">
        <v>74.11</v>
      </c>
      <c r="AT57">
        <v>1778081400000</v>
      </c>
      <c r="AU57">
        <v>74.08</v>
      </c>
      <c r="AV57" s="6"/>
      <c r="AW57">
        <v>1779126300000</v>
      </c>
      <c r="AX57">
        <v>97.29</v>
      </c>
      <c r="AZ57">
        <v>1779119100000</v>
      </c>
      <c r="BA57">
        <v>68.849999999999994</v>
      </c>
      <c r="BC57">
        <v>1779130800000</v>
      </c>
      <c r="BD57">
        <v>26.33</v>
      </c>
      <c r="BF57">
        <v>1779120900000</v>
      </c>
      <c r="BG57">
        <v>52.82</v>
      </c>
      <c r="BI57">
        <v>1779119100000</v>
      </c>
      <c r="BJ57">
        <v>96.66</v>
      </c>
      <c r="BL57">
        <v>1779118200000</v>
      </c>
      <c r="BM57">
        <v>73.58</v>
      </c>
      <c r="BO57">
        <v>1779121800000</v>
      </c>
      <c r="BP57">
        <v>66.319999999999993</v>
      </c>
      <c r="BR57">
        <v>1779118200000</v>
      </c>
      <c r="BS57">
        <v>96.04</v>
      </c>
      <c r="BT57" s="6"/>
      <c r="BU57">
        <v>1782234000000</v>
      </c>
      <c r="BV57">
        <v>86.88</v>
      </c>
      <c r="BX57">
        <v>1782229500000</v>
      </c>
      <c r="BY57">
        <v>64.17</v>
      </c>
      <c r="CA57">
        <v>1782235800000</v>
      </c>
      <c r="CB57">
        <v>68.38</v>
      </c>
      <c r="CD57">
        <v>1782231300000</v>
      </c>
      <c r="CE57">
        <v>69.53</v>
      </c>
      <c r="CG57">
        <v>1782228600000</v>
      </c>
      <c r="CH57">
        <v>104.3</v>
      </c>
      <c r="CJ57">
        <v>1782228600000</v>
      </c>
      <c r="CK57">
        <v>66.37</v>
      </c>
      <c r="CM57">
        <v>1782230400000</v>
      </c>
      <c r="CN57">
        <v>65.680000000000007</v>
      </c>
      <c r="CP57">
        <v>1782227700000</v>
      </c>
      <c r="CQ57">
        <v>79.989999999999995</v>
      </c>
      <c r="CR57" s="6"/>
      <c r="CS57">
        <v>1784046600000</v>
      </c>
      <c r="CT57">
        <v>79.12</v>
      </c>
      <c r="CV57">
        <v>1784045700000</v>
      </c>
      <c r="CW57">
        <v>56.66</v>
      </c>
      <c r="CY57">
        <v>1784052000000</v>
      </c>
      <c r="CZ57">
        <v>82.68</v>
      </c>
      <c r="DB57">
        <v>1784043000000</v>
      </c>
      <c r="DC57">
        <v>89.43</v>
      </c>
      <c r="DE57">
        <v>1784042100000</v>
      </c>
      <c r="DF57">
        <v>87.78</v>
      </c>
      <c r="DH57">
        <v>1784042100000</v>
      </c>
      <c r="DI57">
        <v>80.569999999999993</v>
      </c>
      <c r="DK57">
        <v>1784042100000</v>
      </c>
      <c r="DL57">
        <v>83.83</v>
      </c>
      <c r="DN57">
        <v>1784042100000</v>
      </c>
      <c r="DO57">
        <v>83.67</v>
      </c>
      <c r="DP57" s="6"/>
      <c r="DQ57">
        <v>1784131200000</v>
      </c>
      <c r="DR57">
        <v>98.9</v>
      </c>
      <c r="DT57">
        <v>1784132100000</v>
      </c>
      <c r="DU57">
        <v>75.75</v>
      </c>
      <c r="DW57">
        <v>1784138400000</v>
      </c>
      <c r="DX57">
        <v>106.54</v>
      </c>
      <c r="DZ57">
        <v>1784128500000</v>
      </c>
      <c r="EA57">
        <v>59.93</v>
      </c>
      <c r="EC57">
        <v>1784129400000</v>
      </c>
      <c r="ED57">
        <v>97.44</v>
      </c>
      <c r="EF57">
        <v>1784128500000</v>
      </c>
      <c r="EG57">
        <v>74.98</v>
      </c>
      <c r="EI57">
        <v>1784130300000</v>
      </c>
      <c r="EJ57">
        <v>64.92</v>
      </c>
      <c r="EL57">
        <v>1784128500000</v>
      </c>
      <c r="EM57">
        <v>85.17</v>
      </c>
      <c r="EN57" s="6"/>
    </row>
    <row r="58" spans="1:144">
      <c r="A58">
        <v>1778001300000</v>
      </c>
      <c r="B58">
        <v>78.63</v>
      </c>
      <c r="D58">
        <v>1777995900000</v>
      </c>
      <c r="E58">
        <v>63.37</v>
      </c>
      <c r="G58">
        <v>1778004000000</v>
      </c>
      <c r="H58">
        <v>69.38</v>
      </c>
      <c r="J58">
        <v>1777995900000</v>
      </c>
      <c r="K58">
        <v>62.36</v>
      </c>
      <c r="M58">
        <v>1777995000000</v>
      </c>
      <c r="N58">
        <v>100.64</v>
      </c>
      <c r="P58">
        <v>1777995000000</v>
      </c>
      <c r="Q58">
        <v>75.459999999999994</v>
      </c>
      <c r="S58">
        <v>1777999500000</v>
      </c>
      <c r="T58">
        <v>54.16</v>
      </c>
      <c r="V58">
        <v>1777995900000</v>
      </c>
      <c r="W58">
        <v>77.22</v>
      </c>
      <c r="X58" s="6"/>
      <c r="Y58">
        <v>1778085900000</v>
      </c>
      <c r="Z58">
        <v>85.26</v>
      </c>
      <c r="AB58">
        <v>1778081400000</v>
      </c>
      <c r="AC58">
        <v>62.33</v>
      </c>
      <c r="AE58">
        <v>1778093100000</v>
      </c>
      <c r="AF58">
        <v>75.680000000000007</v>
      </c>
      <c r="AH58">
        <v>1778083200000</v>
      </c>
      <c r="AI58">
        <v>50.24</v>
      </c>
      <c r="AK58">
        <v>1778081400000</v>
      </c>
      <c r="AL58">
        <v>99.02</v>
      </c>
      <c r="AN58">
        <v>1778081400000</v>
      </c>
      <c r="AO58">
        <v>76.2</v>
      </c>
      <c r="AQ58">
        <v>1778085000000</v>
      </c>
      <c r="AR58">
        <v>81.27</v>
      </c>
      <c r="AT58">
        <v>1778082300000</v>
      </c>
      <c r="AU58">
        <v>77.22</v>
      </c>
      <c r="AV58" s="6"/>
      <c r="AW58">
        <v>1779127200000</v>
      </c>
      <c r="AX58">
        <v>88.77</v>
      </c>
      <c r="AZ58">
        <v>1779120000000</v>
      </c>
      <c r="BA58">
        <v>63.18</v>
      </c>
      <c r="BC58">
        <v>1779131700000</v>
      </c>
      <c r="BD58">
        <v>78.17</v>
      </c>
      <c r="BF58">
        <v>1779121800000</v>
      </c>
      <c r="BG58">
        <v>64.37</v>
      </c>
      <c r="BI58">
        <v>1779120000000</v>
      </c>
      <c r="BJ58">
        <v>92.95</v>
      </c>
      <c r="BL58">
        <v>1779119100000</v>
      </c>
      <c r="BM58">
        <v>71.88</v>
      </c>
      <c r="BO58">
        <v>1779122700000</v>
      </c>
      <c r="BP58">
        <v>76.930000000000007</v>
      </c>
      <c r="BR58">
        <v>1779119100000</v>
      </c>
      <c r="BS58">
        <v>80.28</v>
      </c>
      <c r="BT58" s="6"/>
      <c r="BU58">
        <v>1782234900000</v>
      </c>
      <c r="BV58">
        <v>87.04</v>
      </c>
      <c r="BX58">
        <v>1782230400000</v>
      </c>
      <c r="BY58">
        <v>55</v>
      </c>
      <c r="CA58">
        <v>1782236700000</v>
      </c>
      <c r="CB58">
        <v>77.400000000000006</v>
      </c>
      <c r="CD58">
        <v>1782232200000</v>
      </c>
      <c r="CE58">
        <v>85.37</v>
      </c>
      <c r="CG58">
        <v>1782229500000</v>
      </c>
      <c r="CH58">
        <v>82.15</v>
      </c>
      <c r="CJ58">
        <v>1782229500000</v>
      </c>
      <c r="CK58">
        <v>78.75</v>
      </c>
      <c r="CM58">
        <v>1782231300000</v>
      </c>
      <c r="CN58">
        <v>81.94</v>
      </c>
      <c r="CP58">
        <v>1782228600000</v>
      </c>
      <c r="CQ58">
        <v>89.68</v>
      </c>
      <c r="CR58" s="6"/>
      <c r="CS58">
        <v>1784047500000</v>
      </c>
      <c r="CT58">
        <v>122.42</v>
      </c>
      <c r="CV58">
        <v>1784046600000</v>
      </c>
      <c r="CW58">
        <v>65.94</v>
      </c>
      <c r="CY58">
        <v>1784052900000</v>
      </c>
      <c r="CZ58">
        <v>91.03</v>
      </c>
      <c r="DB58">
        <v>1784043900000</v>
      </c>
      <c r="DC58">
        <v>58.62</v>
      </c>
      <c r="DE58">
        <v>1784043000000</v>
      </c>
      <c r="DF58">
        <v>94.2</v>
      </c>
      <c r="DH58">
        <v>1784043000000</v>
      </c>
      <c r="DI58">
        <v>79.650000000000006</v>
      </c>
      <c r="DK58">
        <v>1784043000000</v>
      </c>
      <c r="DL58">
        <v>77.319999999999993</v>
      </c>
      <c r="DN58">
        <v>1784043000000</v>
      </c>
      <c r="DO58">
        <v>79.599999999999994</v>
      </c>
      <c r="DP58" s="6"/>
      <c r="DQ58">
        <v>1784132100000</v>
      </c>
      <c r="DR58">
        <v>86.19</v>
      </c>
      <c r="DT58">
        <v>1784133000000</v>
      </c>
      <c r="DU58">
        <v>63.7</v>
      </c>
      <c r="DW58">
        <v>1784139300000</v>
      </c>
      <c r="DX58">
        <v>102.34</v>
      </c>
      <c r="DZ58">
        <v>1784129400000</v>
      </c>
      <c r="EA58">
        <v>33.9</v>
      </c>
      <c r="EC58">
        <v>1784130300000</v>
      </c>
      <c r="ED58">
        <v>83.53</v>
      </c>
      <c r="EF58">
        <v>1784129400000</v>
      </c>
      <c r="EG58">
        <v>76.459999999999994</v>
      </c>
      <c r="EI58">
        <v>1784131200000</v>
      </c>
      <c r="EJ58">
        <v>81.069999999999993</v>
      </c>
      <c r="EL58">
        <v>1784129400000</v>
      </c>
      <c r="EM58">
        <v>75.64</v>
      </c>
      <c r="EN58" s="6"/>
    </row>
    <row r="59" spans="1:144">
      <c r="A59">
        <v>1778002200000</v>
      </c>
      <c r="B59">
        <v>61.18</v>
      </c>
      <c r="D59">
        <v>1777996800000</v>
      </c>
      <c r="E59">
        <v>61.8</v>
      </c>
      <c r="G59">
        <v>1778004900000</v>
      </c>
      <c r="H59">
        <v>64.959999999999994</v>
      </c>
      <c r="J59">
        <v>1777996800000</v>
      </c>
      <c r="K59">
        <v>62.42</v>
      </c>
      <c r="M59">
        <v>1777995900000</v>
      </c>
      <c r="N59">
        <v>85.5</v>
      </c>
      <c r="P59">
        <v>1777995900000</v>
      </c>
      <c r="Q59">
        <v>80.75</v>
      </c>
      <c r="S59">
        <v>1778000400000</v>
      </c>
      <c r="T59">
        <v>80.03</v>
      </c>
      <c r="V59">
        <v>1777996800000</v>
      </c>
      <c r="W59">
        <v>81</v>
      </c>
      <c r="X59" s="6"/>
      <c r="Y59">
        <v>1778086800000</v>
      </c>
      <c r="Z59">
        <v>93.68</v>
      </c>
      <c r="AB59">
        <v>1778082300000</v>
      </c>
      <c r="AC59">
        <v>53.5</v>
      </c>
      <c r="AE59">
        <v>1778094000000</v>
      </c>
      <c r="AF59">
        <v>76.180000000000007</v>
      </c>
      <c r="AH59">
        <v>1778084100000</v>
      </c>
      <c r="AI59">
        <v>54.6</v>
      </c>
      <c r="AK59">
        <v>1778082300000</v>
      </c>
      <c r="AL59">
        <v>68.95</v>
      </c>
      <c r="AN59">
        <v>1778082300000</v>
      </c>
      <c r="AO59">
        <v>72.599999999999994</v>
      </c>
      <c r="AQ59">
        <v>1778085900000</v>
      </c>
      <c r="AR59">
        <v>52.63</v>
      </c>
      <c r="AT59">
        <v>1778083200000</v>
      </c>
      <c r="AU59">
        <v>65.17</v>
      </c>
      <c r="AV59" s="6"/>
      <c r="AW59">
        <v>1779128100000</v>
      </c>
      <c r="AX59">
        <v>88.27</v>
      </c>
      <c r="AZ59">
        <v>1779120900000</v>
      </c>
      <c r="BA59">
        <v>63.4</v>
      </c>
      <c r="BC59">
        <v>1779132600000</v>
      </c>
      <c r="BD59">
        <v>68.75</v>
      </c>
      <c r="BF59">
        <v>1779122700000</v>
      </c>
      <c r="BG59">
        <v>41.05</v>
      </c>
      <c r="BI59">
        <v>1779120900000</v>
      </c>
      <c r="BJ59">
        <v>90.65</v>
      </c>
      <c r="BL59">
        <v>1779120000000</v>
      </c>
      <c r="BM59">
        <v>62.8</v>
      </c>
      <c r="BO59">
        <v>1779123600000</v>
      </c>
      <c r="BP59">
        <v>56.28</v>
      </c>
      <c r="BR59">
        <v>1779120000000</v>
      </c>
      <c r="BS59">
        <v>69.5</v>
      </c>
      <c r="BT59" s="6"/>
      <c r="BU59">
        <v>1782235800000</v>
      </c>
      <c r="BV59">
        <v>86.04</v>
      </c>
      <c r="BX59">
        <v>1782231300000</v>
      </c>
      <c r="BY59">
        <v>56.62</v>
      </c>
      <c r="CA59">
        <v>1782237600000</v>
      </c>
      <c r="CB59">
        <v>100.96</v>
      </c>
      <c r="CD59">
        <v>1782233100000</v>
      </c>
      <c r="CE59">
        <v>80.900000000000006</v>
      </c>
      <c r="CG59">
        <v>1782230400000</v>
      </c>
      <c r="CH59">
        <v>96.44</v>
      </c>
      <c r="CJ59">
        <v>1782230400000</v>
      </c>
      <c r="CK59">
        <v>77.42</v>
      </c>
      <c r="CM59">
        <v>1782232200000</v>
      </c>
      <c r="CN59">
        <v>72.34</v>
      </c>
      <c r="CP59">
        <v>1782229500000</v>
      </c>
      <c r="CQ59">
        <v>83.72</v>
      </c>
      <c r="CR59" s="6"/>
      <c r="CS59">
        <v>1784048400000</v>
      </c>
      <c r="CT59">
        <v>88.3</v>
      </c>
      <c r="CV59">
        <v>1784047500000</v>
      </c>
      <c r="CW59">
        <v>58.3</v>
      </c>
      <c r="CY59">
        <v>1784053800000</v>
      </c>
      <c r="CZ59">
        <v>84.06</v>
      </c>
      <c r="DB59">
        <v>1784044800000</v>
      </c>
      <c r="DC59">
        <v>84.52</v>
      </c>
      <c r="DE59">
        <v>1784043900000</v>
      </c>
      <c r="DF59">
        <v>103.35</v>
      </c>
      <c r="DH59">
        <v>1784043900000</v>
      </c>
      <c r="DI59">
        <v>81.099999999999994</v>
      </c>
      <c r="DK59">
        <v>1784043900000</v>
      </c>
      <c r="DL59">
        <v>85.44</v>
      </c>
      <c r="DN59">
        <v>1784043900000</v>
      </c>
      <c r="DO59">
        <v>79.37</v>
      </c>
      <c r="DP59" s="6"/>
      <c r="DQ59">
        <v>1784133000000</v>
      </c>
      <c r="DR59">
        <v>96.58</v>
      </c>
      <c r="DT59">
        <v>1784133900000</v>
      </c>
      <c r="DU59">
        <v>56.63</v>
      </c>
      <c r="DW59">
        <v>1784140200000</v>
      </c>
      <c r="DX59">
        <v>83.2</v>
      </c>
      <c r="DZ59">
        <v>1784130300000</v>
      </c>
      <c r="EA59">
        <v>51.38</v>
      </c>
      <c r="EC59">
        <v>1784131200000</v>
      </c>
      <c r="ED59">
        <v>85.86</v>
      </c>
      <c r="EF59">
        <v>1784130300000</v>
      </c>
      <c r="EG59">
        <v>73.959999999999994</v>
      </c>
      <c r="EI59">
        <v>1784132100000</v>
      </c>
      <c r="EJ59">
        <v>38.409999999999997</v>
      </c>
      <c r="EL59">
        <v>1784130300000</v>
      </c>
      <c r="EM59">
        <v>71.73</v>
      </c>
      <c r="EN59" s="6"/>
    </row>
    <row r="60" spans="1:144">
      <c r="A60">
        <v>1778003100000</v>
      </c>
      <c r="B60">
        <v>104.64</v>
      </c>
      <c r="D60">
        <v>1777997700000</v>
      </c>
      <c r="E60">
        <v>68.099999999999994</v>
      </c>
      <c r="G60">
        <v>1778005800000</v>
      </c>
      <c r="H60">
        <v>49.48</v>
      </c>
      <c r="J60">
        <v>1777997700000</v>
      </c>
      <c r="K60">
        <v>70.77</v>
      </c>
      <c r="M60">
        <v>1777996800000</v>
      </c>
      <c r="N60">
        <v>96.36</v>
      </c>
      <c r="P60">
        <v>1777996800000</v>
      </c>
      <c r="Q60">
        <v>75.78</v>
      </c>
      <c r="S60">
        <v>1778001300000</v>
      </c>
      <c r="T60">
        <v>79.099999999999994</v>
      </c>
      <c r="V60">
        <v>1777997700000</v>
      </c>
      <c r="W60">
        <v>86.18</v>
      </c>
      <c r="X60" s="6"/>
      <c r="Y60">
        <v>1778087700000</v>
      </c>
      <c r="Z60">
        <v>84.21</v>
      </c>
      <c r="AB60">
        <v>1778083200000</v>
      </c>
      <c r="AC60">
        <v>67.239999999999995</v>
      </c>
      <c r="AE60">
        <v>1778094900000</v>
      </c>
      <c r="AF60">
        <v>74.33</v>
      </c>
      <c r="AH60">
        <v>1778085000000</v>
      </c>
      <c r="AI60">
        <v>60.38</v>
      </c>
      <c r="AK60">
        <v>1778083200000</v>
      </c>
      <c r="AL60">
        <v>89.54</v>
      </c>
      <c r="AN60">
        <v>1778083200000</v>
      </c>
      <c r="AO60">
        <v>85.23</v>
      </c>
      <c r="AQ60">
        <v>1778086800000</v>
      </c>
      <c r="AR60">
        <v>85.68</v>
      </c>
      <c r="AT60">
        <v>1778084100000</v>
      </c>
      <c r="AU60">
        <v>79.260000000000005</v>
      </c>
      <c r="AV60" s="6"/>
      <c r="AW60">
        <v>1779129000000</v>
      </c>
      <c r="AX60">
        <v>93.8</v>
      </c>
      <c r="AZ60">
        <v>1779121800000</v>
      </c>
      <c r="BA60">
        <v>69.900000000000006</v>
      </c>
      <c r="BC60">
        <v>1779133500000</v>
      </c>
      <c r="BD60">
        <v>49.14</v>
      </c>
      <c r="BF60">
        <v>1779123600000</v>
      </c>
      <c r="BG60">
        <v>71.78</v>
      </c>
      <c r="BI60">
        <v>1779121800000</v>
      </c>
      <c r="BJ60">
        <v>97.85</v>
      </c>
      <c r="BL60">
        <v>1779120900000</v>
      </c>
      <c r="BM60">
        <v>79.900000000000006</v>
      </c>
      <c r="BO60">
        <v>1779124500000</v>
      </c>
      <c r="BP60">
        <v>74.78</v>
      </c>
      <c r="BR60">
        <v>1779120900000</v>
      </c>
      <c r="BS60">
        <v>88.32</v>
      </c>
      <c r="BT60" s="6"/>
      <c r="BU60">
        <v>1782236700000</v>
      </c>
      <c r="BV60">
        <v>89.44</v>
      </c>
      <c r="BX60">
        <v>1782232200000</v>
      </c>
      <c r="BY60">
        <v>62.4</v>
      </c>
      <c r="CA60">
        <v>1782238500000</v>
      </c>
      <c r="CB60">
        <v>76.930000000000007</v>
      </c>
      <c r="CD60">
        <v>1782234000000</v>
      </c>
      <c r="CE60">
        <v>77.7</v>
      </c>
      <c r="CG60">
        <v>1782231300000</v>
      </c>
      <c r="CH60">
        <v>81.99</v>
      </c>
      <c r="CJ60">
        <v>1782231300000</v>
      </c>
      <c r="CK60">
        <v>82.97</v>
      </c>
      <c r="CM60">
        <v>1782233100000</v>
      </c>
      <c r="CN60">
        <v>89.55</v>
      </c>
      <c r="CP60">
        <v>1782230400000</v>
      </c>
      <c r="CQ60">
        <v>85.57</v>
      </c>
      <c r="CR60" s="6"/>
      <c r="CS60">
        <v>1784049300000</v>
      </c>
      <c r="CT60">
        <v>90.78</v>
      </c>
      <c r="CV60">
        <v>1784048400000</v>
      </c>
      <c r="CW60">
        <v>61.98</v>
      </c>
      <c r="CY60">
        <v>1784054700000</v>
      </c>
      <c r="CZ60">
        <v>78.2</v>
      </c>
      <c r="DB60">
        <v>1784045700000</v>
      </c>
      <c r="DC60">
        <v>72.53</v>
      </c>
      <c r="DE60">
        <v>1784044800000</v>
      </c>
      <c r="DF60">
        <v>40.369999999999997</v>
      </c>
      <c r="DH60">
        <v>1784044800000</v>
      </c>
      <c r="DI60">
        <v>83.87</v>
      </c>
      <c r="DK60">
        <v>1784044800000</v>
      </c>
      <c r="DL60">
        <v>81.599999999999994</v>
      </c>
      <c r="DN60">
        <v>1784044800000</v>
      </c>
      <c r="DO60">
        <v>97.77</v>
      </c>
      <c r="DP60" s="6"/>
      <c r="DQ60">
        <v>1784133900000</v>
      </c>
      <c r="DR60">
        <v>103.53</v>
      </c>
      <c r="DT60">
        <v>1784134800000</v>
      </c>
      <c r="DU60">
        <v>69.97</v>
      </c>
      <c r="DW60">
        <v>1784141100000</v>
      </c>
      <c r="DX60">
        <v>101.02</v>
      </c>
      <c r="DZ60">
        <v>1784131200000</v>
      </c>
      <c r="EA60">
        <v>79.08</v>
      </c>
      <c r="EC60">
        <v>1784132100000</v>
      </c>
      <c r="ED60">
        <v>101.2</v>
      </c>
      <c r="EF60">
        <v>1784131200000</v>
      </c>
      <c r="EG60">
        <v>78.260000000000005</v>
      </c>
      <c r="EI60">
        <v>1784133000000</v>
      </c>
      <c r="EJ60">
        <v>55.6</v>
      </c>
      <c r="EL60">
        <v>1784131200000</v>
      </c>
      <c r="EM60">
        <v>97.26</v>
      </c>
      <c r="EN60" s="6"/>
    </row>
    <row r="61" spans="1:144">
      <c r="A61">
        <v>1778004000000</v>
      </c>
      <c r="B61">
        <v>86.96</v>
      </c>
      <c r="D61">
        <v>1777998600000</v>
      </c>
      <c r="E61">
        <v>54.73</v>
      </c>
      <c r="G61">
        <v>1778006700000</v>
      </c>
      <c r="H61">
        <v>76.58</v>
      </c>
      <c r="J61">
        <v>1777998600000</v>
      </c>
      <c r="K61">
        <v>94.12</v>
      </c>
      <c r="M61">
        <v>1777997700000</v>
      </c>
      <c r="N61">
        <v>89.48</v>
      </c>
      <c r="P61">
        <v>1777997700000</v>
      </c>
      <c r="Q61">
        <v>84.35</v>
      </c>
      <c r="S61">
        <v>1778002200000</v>
      </c>
      <c r="T61">
        <v>60.37</v>
      </c>
      <c r="V61">
        <v>1777998600000</v>
      </c>
      <c r="W61">
        <v>107.63</v>
      </c>
      <c r="X61" s="6"/>
      <c r="Y61">
        <v>1778088600000</v>
      </c>
      <c r="Z61">
        <v>71.540000000000006</v>
      </c>
      <c r="AB61">
        <v>1778084100000</v>
      </c>
      <c r="AC61">
        <v>57.6</v>
      </c>
      <c r="AE61">
        <v>1778095800000</v>
      </c>
      <c r="AF61">
        <v>98.8</v>
      </c>
      <c r="AH61">
        <v>1778085900000</v>
      </c>
      <c r="AI61">
        <v>51.83</v>
      </c>
      <c r="AK61">
        <v>1778084100000</v>
      </c>
      <c r="AL61">
        <v>82.65</v>
      </c>
      <c r="AN61">
        <v>1778084100000</v>
      </c>
      <c r="AO61">
        <v>70.33</v>
      </c>
      <c r="AQ61">
        <v>1778087700000</v>
      </c>
      <c r="AR61">
        <v>80.84</v>
      </c>
      <c r="AT61">
        <v>1778085000000</v>
      </c>
      <c r="AU61">
        <v>71.319999999999993</v>
      </c>
      <c r="AV61" s="6"/>
      <c r="AW61">
        <v>1779129900000</v>
      </c>
      <c r="AX61">
        <v>107.8</v>
      </c>
      <c r="AZ61">
        <v>1779122700000</v>
      </c>
      <c r="BA61">
        <v>72.95</v>
      </c>
      <c r="BC61">
        <v>1779134400000</v>
      </c>
      <c r="BD61">
        <v>83.55</v>
      </c>
      <c r="BF61">
        <v>1779124500000</v>
      </c>
      <c r="BG61">
        <v>56.83</v>
      </c>
      <c r="BI61">
        <v>1779122700000</v>
      </c>
      <c r="BJ61">
        <v>102.63</v>
      </c>
      <c r="BL61">
        <v>1779121800000</v>
      </c>
      <c r="BM61">
        <v>80.75</v>
      </c>
      <c r="BO61">
        <v>1779125400000</v>
      </c>
      <c r="BP61">
        <v>55.79</v>
      </c>
      <c r="BR61">
        <v>1779121800000</v>
      </c>
      <c r="BS61">
        <v>91.17</v>
      </c>
      <c r="BT61" s="6"/>
      <c r="BU61">
        <v>1782237600000</v>
      </c>
      <c r="BV61">
        <v>94.78</v>
      </c>
      <c r="BX61">
        <v>1782233100000</v>
      </c>
      <c r="BY61">
        <v>66.36</v>
      </c>
      <c r="CA61">
        <v>1782239400000</v>
      </c>
      <c r="CB61">
        <v>62.93</v>
      </c>
      <c r="CD61">
        <v>1782234900000</v>
      </c>
      <c r="CE61">
        <v>35.92</v>
      </c>
      <c r="CG61">
        <v>1782232200000</v>
      </c>
      <c r="CH61">
        <v>96.22</v>
      </c>
      <c r="CJ61">
        <v>1782232200000</v>
      </c>
      <c r="CK61">
        <v>79.08</v>
      </c>
      <c r="CM61">
        <v>1782234000000</v>
      </c>
      <c r="CN61">
        <v>80.69</v>
      </c>
      <c r="CP61">
        <v>1782231300000</v>
      </c>
      <c r="CQ61">
        <v>86.17</v>
      </c>
      <c r="CR61" s="6"/>
      <c r="CS61">
        <v>1784050200000</v>
      </c>
      <c r="CT61">
        <v>99.53</v>
      </c>
      <c r="CV61">
        <v>1784049300000</v>
      </c>
      <c r="CW61">
        <v>66.150000000000006</v>
      </c>
      <c r="CY61">
        <v>1784055600000</v>
      </c>
      <c r="CZ61">
        <v>77.67</v>
      </c>
      <c r="DB61">
        <v>1784046600000</v>
      </c>
      <c r="DC61">
        <v>85.8</v>
      </c>
      <c r="DE61">
        <v>1784045700000</v>
      </c>
      <c r="DF61">
        <v>87.24</v>
      </c>
      <c r="DH61">
        <v>1784045700000</v>
      </c>
      <c r="DI61">
        <v>88.6</v>
      </c>
      <c r="DK61">
        <v>1784045700000</v>
      </c>
      <c r="DL61">
        <v>64.98</v>
      </c>
      <c r="DN61">
        <v>1784045700000</v>
      </c>
      <c r="DO61">
        <v>72.3</v>
      </c>
      <c r="DP61" s="6"/>
      <c r="DQ61">
        <v>1784134800000</v>
      </c>
      <c r="DR61">
        <v>78.55</v>
      </c>
      <c r="DT61">
        <v>1784135700000</v>
      </c>
      <c r="DU61">
        <v>71.3</v>
      </c>
      <c r="DW61">
        <v>1784142000000</v>
      </c>
      <c r="DX61">
        <v>70.78</v>
      </c>
      <c r="DZ61">
        <v>1784132100000</v>
      </c>
      <c r="EA61">
        <v>78.13</v>
      </c>
      <c r="EC61">
        <v>1784133000000</v>
      </c>
      <c r="ED61">
        <v>98.61</v>
      </c>
      <c r="EF61">
        <v>1784132100000</v>
      </c>
      <c r="EG61">
        <v>81.88</v>
      </c>
      <c r="EI61">
        <v>1784133900000</v>
      </c>
      <c r="EJ61">
        <v>69.78</v>
      </c>
      <c r="EL61">
        <v>1784132100000</v>
      </c>
      <c r="EM61">
        <v>82.93</v>
      </c>
      <c r="EN61" s="6"/>
    </row>
    <row r="62" spans="1:144">
      <c r="A62">
        <v>1778004900000</v>
      </c>
      <c r="B62">
        <v>121.87</v>
      </c>
      <c r="D62">
        <v>1777999500000</v>
      </c>
      <c r="E62">
        <v>73</v>
      </c>
      <c r="G62">
        <v>1778007600000</v>
      </c>
      <c r="H62">
        <v>68.349999999999994</v>
      </c>
      <c r="J62">
        <v>1777999500000</v>
      </c>
      <c r="K62">
        <v>131.97</v>
      </c>
      <c r="M62">
        <v>1777998600000</v>
      </c>
      <c r="N62">
        <v>110.56</v>
      </c>
      <c r="P62">
        <v>1777998600000</v>
      </c>
      <c r="Q62">
        <v>70.53</v>
      </c>
      <c r="S62">
        <v>1778003100000</v>
      </c>
      <c r="T62">
        <v>86.27</v>
      </c>
      <c r="V62">
        <v>1777999500000</v>
      </c>
      <c r="W62">
        <v>160.9</v>
      </c>
      <c r="X62" s="6"/>
      <c r="Y62">
        <v>1778089500000</v>
      </c>
      <c r="Z62">
        <v>124.42</v>
      </c>
      <c r="AB62">
        <v>1778085000000</v>
      </c>
      <c r="AC62">
        <v>54.47</v>
      </c>
      <c r="AE62">
        <v>1778096700000</v>
      </c>
      <c r="AF62">
        <v>36.770000000000003</v>
      </c>
      <c r="AH62">
        <v>1778086800000</v>
      </c>
      <c r="AI62">
        <v>66.180000000000007</v>
      </c>
      <c r="AK62">
        <v>1778085000000</v>
      </c>
      <c r="AL62">
        <v>95.58</v>
      </c>
      <c r="AN62">
        <v>1778085000000</v>
      </c>
      <c r="AO62">
        <v>78.92</v>
      </c>
      <c r="AQ62">
        <v>1778088600000</v>
      </c>
      <c r="AR62">
        <v>77.27</v>
      </c>
      <c r="AT62">
        <v>1778085900000</v>
      </c>
      <c r="AU62">
        <v>83.93</v>
      </c>
      <c r="AV62" s="6"/>
      <c r="AW62">
        <v>1779130800000</v>
      </c>
      <c r="AX62">
        <v>98.75</v>
      </c>
      <c r="AZ62">
        <v>1779123600000</v>
      </c>
      <c r="BA62">
        <v>95.56</v>
      </c>
      <c r="BC62">
        <v>1779135300000</v>
      </c>
      <c r="BD62">
        <v>85.46</v>
      </c>
      <c r="BF62">
        <v>1779125400000</v>
      </c>
      <c r="BG62">
        <v>77.349999999999994</v>
      </c>
      <c r="BI62">
        <v>1779123600000</v>
      </c>
      <c r="BJ62">
        <v>95.08</v>
      </c>
      <c r="BL62">
        <v>1779122700000</v>
      </c>
      <c r="BM62">
        <v>76.98</v>
      </c>
      <c r="BO62">
        <v>1779126300000</v>
      </c>
      <c r="BP62">
        <v>103.53</v>
      </c>
      <c r="BR62">
        <v>1779122700000</v>
      </c>
      <c r="BS62">
        <v>81.430000000000007</v>
      </c>
      <c r="BT62" s="6"/>
      <c r="BU62">
        <v>1782238500000</v>
      </c>
      <c r="BV62">
        <v>94.3</v>
      </c>
      <c r="BX62">
        <v>1782234000000</v>
      </c>
      <c r="BY62">
        <v>54.6</v>
      </c>
      <c r="CA62">
        <v>1782240300000</v>
      </c>
      <c r="CB62">
        <v>75.930000000000007</v>
      </c>
      <c r="CD62">
        <v>1782235800000</v>
      </c>
      <c r="CE62">
        <v>52.97</v>
      </c>
      <c r="CG62">
        <v>1782233100000</v>
      </c>
      <c r="CH62">
        <v>82.95</v>
      </c>
      <c r="CJ62">
        <v>1782233100000</v>
      </c>
      <c r="CK62">
        <v>78.02</v>
      </c>
      <c r="CM62">
        <v>1782234900000</v>
      </c>
      <c r="CN62">
        <v>80.58</v>
      </c>
      <c r="CP62">
        <v>1782232200000</v>
      </c>
      <c r="CQ62">
        <v>77.36</v>
      </c>
      <c r="CR62" s="6"/>
      <c r="CS62">
        <v>1784051100000</v>
      </c>
      <c r="CT62">
        <v>79.77</v>
      </c>
      <c r="CV62">
        <v>1784050200000</v>
      </c>
      <c r="CW62">
        <v>77.650000000000006</v>
      </c>
      <c r="CY62">
        <v>1784056500000</v>
      </c>
      <c r="CZ62">
        <v>88.73</v>
      </c>
      <c r="DB62">
        <v>1784047500000</v>
      </c>
      <c r="DC62">
        <v>65.16</v>
      </c>
      <c r="DE62">
        <v>1784046600000</v>
      </c>
      <c r="DF62">
        <v>78.900000000000006</v>
      </c>
      <c r="DH62">
        <v>1784046600000</v>
      </c>
      <c r="DI62">
        <v>79.67</v>
      </c>
      <c r="DK62">
        <v>1784046600000</v>
      </c>
      <c r="DL62">
        <v>79.28</v>
      </c>
      <c r="DN62">
        <v>1784046600000</v>
      </c>
      <c r="DO62">
        <v>77.55</v>
      </c>
      <c r="DP62" s="6"/>
      <c r="DQ62">
        <v>1784135700000</v>
      </c>
      <c r="DR62">
        <v>60.1</v>
      </c>
      <c r="DT62">
        <v>1784136600000</v>
      </c>
      <c r="DU62">
        <v>69.8</v>
      </c>
      <c r="DW62">
        <v>1784142900000</v>
      </c>
      <c r="DX62">
        <v>89.34</v>
      </c>
      <c r="DZ62">
        <v>1784133000000</v>
      </c>
      <c r="EA62">
        <v>71.48</v>
      </c>
      <c r="EC62">
        <v>1784133900000</v>
      </c>
      <c r="ED62">
        <v>100</v>
      </c>
      <c r="EF62">
        <v>1784133000000</v>
      </c>
      <c r="EG62">
        <v>83.52</v>
      </c>
      <c r="EI62">
        <v>1784134800000</v>
      </c>
      <c r="EJ62">
        <v>67.5</v>
      </c>
      <c r="EL62">
        <v>1784133000000</v>
      </c>
      <c r="EM62">
        <v>81.260000000000005</v>
      </c>
      <c r="EN62" s="6"/>
    </row>
    <row r="63" spans="1:144">
      <c r="A63">
        <v>1778005800000</v>
      </c>
      <c r="B63">
        <v>79.260000000000005</v>
      </c>
      <c r="D63">
        <v>1778000400000</v>
      </c>
      <c r="E63">
        <v>68.7</v>
      </c>
      <c r="G63">
        <v>1778008500000</v>
      </c>
      <c r="H63">
        <v>101.59</v>
      </c>
      <c r="J63">
        <v>1778000400000</v>
      </c>
      <c r="K63">
        <v>69.78</v>
      </c>
      <c r="M63">
        <v>1777999500000</v>
      </c>
      <c r="N63">
        <v>76.58</v>
      </c>
      <c r="P63">
        <v>1777999500000</v>
      </c>
      <c r="Q63">
        <v>55.67</v>
      </c>
      <c r="S63">
        <v>1778004000000</v>
      </c>
      <c r="T63">
        <v>86.95</v>
      </c>
      <c r="V63">
        <v>1778000400000</v>
      </c>
      <c r="W63">
        <v>86.8</v>
      </c>
      <c r="X63" s="6"/>
      <c r="Y63">
        <v>1778090400000</v>
      </c>
      <c r="Z63">
        <v>100.78</v>
      </c>
      <c r="AB63">
        <v>1778085900000</v>
      </c>
      <c r="AC63">
        <v>69.47</v>
      </c>
      <c r="AE63">
        <v>1778097600000</v>
      </c>
      <c r="AF63">
        <v>98.4</v>
      </c>
      <c r="AH63">
        <v>1778087700000</v>
      </c>
      <c r="AI63">
        <v>59.97</v>
      </c>
      <c r="AK63">
        <v>1778085900000</v>
      </c>
      <c r="AL63">
        <v>101.2</v>
      </c>
      <c r="AN63">
        <v>1778085900000</v>
      </c>
      <c r="AO63">
        <v>85.6</v>
      </c>
      <c r="AQ63">
        <v>1778089500000</v>
      </c>
      <c r="AR63">
        <v>78.040000000000006</v>
      </c>
      <c r="AT63">
        <v>1778086800000</v>
      </c>
      <c r="AU63">
        <v>108.34</v>
      </c>
      <c r="AV63" s="6"/>
      <c r="AW63">
        <v>1779131700000</v>
      </c>
      <c r="AX63">
        <v>95.42</v>
      </c>
      <c r="AZ63">
        <v>1779124500000</v>
      </c>
      <c r="BA63">
        <v>61.4</v>
      </c>
      <c r="BC63">
        <v>1779136200000</v>
      </c>
      <c r="BD63">
        <v>93.66</v>
      </c>
      <c r="BF63">
        <v>1779126300000</v>
      </c>
      <c r="BG63">
        <v>49.54</v>
      </c>
      <c r="BI63">
        <v>1779124500000</v>
      </c>
      <c r="BJ63">
        <v>97.86</v>
      </c>
      <c r="BL63">
        <v>1779123600000</v>
      </c>
      <c r="BM63">
        <v>84.9</v>
      </c>
      <c r="BO63">
        <v>1779127200000</v>
      </c>
      <c r="BP63">
        <v>57.34</v>
      </c>
      <c r="BR63">
        <v>1779123600000</v>
      </c>
      <c r="BS63">
        <v>62.45</v>
      </c>
      <c r="BT63" s="6"/>
      <c r="BU63">
        <v>1782239400000</v>
      </c>
      <c r="BV63">
        <v>94.9</v>
      </c>
      <c r="BX63">
        <v>1782234900000</v>
      </c>
      <c r="BY63">
        <v>61.05</v>
      </c>
      <c r="CA63">
        <v>1782241200000</v>
      </c>
      <c r="CB63">
        <v>67</v>
      </c>
      <c r="CD63">
        <v>1782236700000</v>
      </c>
      <c r="CE63">
        <v>63.26</v>
      </c>
      <c r="CG63">
        <v>1782234000000</v>
      </c>
      <c r="CH63">
        <v>107.88</v>
      </c>
      <c r="CJ63">
        <v>1782234000000</v>
      </c>
      <c r="CK63">
        <v>86.52</v>
      </c>
      <c r="CM63">
        <v>1782235800000</v>
      </c>
      <c r="CN63">
        <v>58.75</v>
      </c>
      <c r="CP63">
        <v>1782233100000</v>
      </c>
      <c r="CQ63">
        <v>74.7</v>
      </c>
      <c r="CR63" s="6"/>
      <c r="CS63">
        <v>1784052000000</v>
      </c>
      <c r="CT63">
        <v>95.57</v>
      </c>
      <c r="CV63">
        <v>1784051100000</v>
      </c>
      <c r="CW63">
        <v>78.599999999999994</v>
      </c>
      <c r="CY63">
        <v>1784057400000</v>
      </c>
      <c r="CZ63">
        <v>112.2</v>
      </c>
      <c r="DB63">
        <v>1784048400000</v>
      </c>
      <c r="DC63">
        <v>79.3</v>
      </c>
      <c r="DE63">
        <v>1784047500000</v>
      </c>
      <c r="DF63">
        <v>89.93</v>
      </c>
      <c r="DH63">
        <v>1784047500000</v>
      </c>
      <c r="DI63">
        <v>84.84</v>
      </c>
      <c r="DK63">
        <v>1784047500000</v>
      </c>
      <c r="DL63">
        <v>64.97</v>
      </c>
      <c r="DN63">
        <v>1784047500000</v>
      </c>
      <c r="DO63">
        <v>86.18</v>
      </c>
      <c r="DP63" s="6"/>
      <c r="DQ63">
        <v>1784136600000</v>
      </c>
      <c r="DR63">
        <v>80.53</v>
      </c>
      <c r="DT63">
        <v>1784137500000</v>
      </c>
      <c r="DU63">
        <v>68.900000000000006</v>
      </c>
      <c r="DW63">
        <v>1784143800000</v>
      </c>
      <c r="DX63">
        <v>78.400000000000006</v>
      </c>
      <c r="DZ63">
        <v>1784133900000</v>
      </c>
      <c r="EA63">
        <v>87.37</v>
      </c>
      <c r="EC63">
        <v>1784134800000</v>
      </c>
      <c r="ED63">
        <v>79.97</v>
      </c>
      <c r="EF63">
        <v>1784133900000</v>
      </c>
      <c r="EG63">
        <v>75.97</v>
      </c>
      <c r="EI63">
        <v>1784135700000</v>
      </c>
      <c r="EJ63">
        <v>82.24</v>
      </c>
      <c r="EL63">
        <v>1784133900000</v>
      </c>
      <c r="EM63">
        <v>90.23</v>
      </c>
      <c r="EN63" s="6"/>
    </row>
    <row r="64" spans="1:144">
      <c r="A64">
        <v>1778006700000</v>
      </c>
      <c r="B64">
        <v>95.38</v>
      </c>
      <c r="D64">
        <v>1778001300000</v>
      </c>
      <c r="E64">
        <v>67.8</v>
      </c>
      <c r="G64">
        <v>1778009400000</v>
      </c>
      <c r="H64">
        <v>107.57</v>
      </c>
      <c r="J64">
        <v>1778001300000</v>
      </c>
      <c r="K64">
        <v>86.32</v>
      </c>
      <c r="M64">
        <v>1778000400000</v>
      </c>
      <c r="N64">
        <v>87.3</v>
      </c>
      <c r="P64">
        <v>1778000400000</v>
      </c>
      <c r="Q64">
        <v>78.13</v>
      </c>
      <c r="S64">
        <v>1778004900000</v>
      </c>
      <c r="T64">
        <v>71.42</v>
      </c>
      <c r="V64">
        <v>1778001300000</v>
      </c>
      <c r="W64">
        <v>91.38</v>
      </c>
      <c r="X64" s="6"/>
      <c r="Y64">
        <v>1778091300000</v>
      </c>
      <c r="Z64">
        <v>84.04</v>
      </c>
      <c r="AB64">
        <v>1778086800000</v>
      </c>
      <c r="AC64">
        <v>45.3</v>
      </c>
      <c r="AE64">
        <v>1778098500000</v>
      </c>
      <c r="AF64">
        <v>77.58</v>
      </c>
      <c r="AH64">
        <v>1778088600000</v>
      </c>
      <c r="AI64">
        <v>48.78</v>
      </c>
      <c r="AK64">
        <v>1778086800000</v>
      </c>
      <c r="AL64">
        <v>91.98</v>
      </c>
      <c r="AN64">
        <v>1778086800000</v>
      </c>
      <c r="AO64">
        <v>80.22</v>
      </c>
      <c r="AQ64">
        <v>1778090400000</v>
      </c>
      <c r="AR64">
        <v>92.18</v>
      </c>
      <c r="AT64">
        <v>1778087700000</v>
      </c>
      <c r="AU64">
        <v>83.18</v>
      </c>
      <c r="AV64" s="6"/>
      <c r="AW64">
        <v>1779132600000</v>
      </c>
      <c r="AX64">
        <v>95.63</v>
      </c>
      <c r="AZ64">
        <v>1779125400000</v>
      </c>
      <c r="BA64">
        <v>64.83</v>
      </c>
      <c r="BC64">
        <v>1779137100000</v>
      </c>
      <c r="BD64">
        <v>95.3</v>
      </c>
      <c r="BF64">
        <v>1779127200000</v>
      </c>
      <c r="BG64">
        <v>47.56</v>
      </c>
      <c r="BI64">
        <v>1779125400000</v>
      </c>
      <c r="BJ64">
        <v>98.93</v>
      </c>
      <c r="BL64">
        <v>1779124500000</v>
      </c>
      <c r="BM64">
        <v>85</v>
      </c>
      <c r="BO64">
        <v>1779128100000</v>
      </c>
      <c r="BP64">
        <v>85.53</v>
      </c>
      <c r="BR64">
        <v>1779124500000</v>
      </c>
      <c r="BS64">
        <v>71.099999999999994</v>
      </c>
      <c r="BT64" s="6"/>
      <c r="BU64">
        <v>1782240300000</v>
      </c>
      <c r="BV64">
        <v>105.25</v>
      </c>
      <c r="BX64">
        <v>1782235800000</v>
      </c>
      <c r="BY64">
        <v>64.67</v>
      </c>
      <c r="CA64">
        <v>1782242100000</v>
      </c>
      <c r="CB64">
        <v>80.75</v>
      </c>
      <c r="CD64">
        <v>1782237600000</v>
      </c>
      <c r="CE64">
        <v>65.58</v>
      </c>
      <c r="CG64">
        <v>1782234900000</v>
      </c>
      <c r="CH64">
        <v>96.83</v>
      </c>
      <c r="CJ64">
        <v>1782234900000</v>
      </c>
      <c r="CK64">
        <v>73.400000000000006</v>
      </c>
      <c r="CM64">
        <v>1782236700000</v>
      </c>
      <c r="CN64">
        <v>93.03</v>
      </c>
      <c r="CP64">
        <v>1782234000000</v>
      </c>
      <c r="CQ64">
        <v>71.22</v>
      </c>
      <c r="CR64" s="6"/>
      <c r="CS64">
        <v>1784052900000</v>
      </c>
      <c r="CT64">
        <v>104.3</v>
      </c>
      <c r="CV64">
        <v>1784052000000</v>
      </c>
      <c r="CW64">
        <v>62.7</v>
      </c>
      <c r="CY64">
        <v>1784058300000</v>
      </c>
      <c r="CZ64">
        <v>65.62</v>
      </c>
      <c r="DB64">
        <v>1784049300000</v>
      </c>
      <c r="DC64">
        <v>39.96</v>
      </c>
      <c r="DE64">
        <v>1784048400000</v>
      </c>
      <c r="DF64">
        <v>88.53</v>
      </c>
      <c r="DH64">
        <v>1784048400000</v>
      </c>
      <c r="DI64">
        <v>87.64</v>
      </c>
      <c r="DK64">
        <v>1784048400000</v>
      </c>
      <c r="DL64">
        <v>102.5</v>
      </c>
      <c r="DN64">
        <v>1784048400000</v>
      </c>
      <c r="DO64">
        <v>86.9</v>
      </c>
      <c r="DP64" s="6"/>
      <c r="DQ64">
        <v>1784137500000</v>
      </c>
      <c r="DR64">
        <v>99.83</v>
      </c>
      <c r="DT64">
        <v>1784138400000</v>
      </c>
      <c r="DU64">
        <v>62.9</v>
      </c>
      <c r="DW64">
        <v>1784144700000</v>
      </c>
      <c r="DX64">
        <v>56.96</v>
      </c>
      <c r="DZ64">
        <v>1784134800000</v>
      </c>
      <c r="EA64">
        <v>70.87</v>
      </c>
      <c r="EC64">
        <v>1784135700000</v>
      </c>
      <c r="ED64">
        <v>82.27</v>
      </c>
      <c r="EF64">
        <v>1784134800000</v>
      </c>
      <c r="EG64">
        <v>149.6</v>
      </c>
      <c r="EI64">
        <v>1784136600000</v>
      </c>
      <c r="EJ64">
        <v>74.27</v>
      </c>
      <c r="EL64">
        <v>1784134800000</v>
      </c>
      <c r="EM64">
        <v>95.92</v>
      </c>
      <c r="EN64" s="6"/>
    </row>
    <row r="65" spans="1:144">
      <c r="A65">
        <v>1778007600000</v>
      </c>
      <c r="B65">
        <v>62.28</v>
      </c>
      <c r="D65">
        <v>1778002200000</v>
      </c>
      <c r="E65">
        <v>69.78</v>
      </c>
      <c r="G65">
        <v>1778010300000</v>
      </c>
      <c r="H65">
        <v>106.4</v>
      </c>
      <c r="J65">
        <v>1778002200000</v>
      </c>
      <c r="K65">
        <v>59.87</v>
      </c>
      <c r="M65">
        <v>1778001300000</v>
      </c>
      <c r="N65">
        <v>103.18</v>
      </c>
      <c r="P65">
        <v>1778001300000</v>
      </c>
      <c r="Q65">
        <v>81.17</v>
      </c>
      <c r="S65">
        <v>1778005800000</v>
      </c>
      <c r="T65">
        <v>76.760000000000005</v>
      </c>
      <c r="V65">
        <v>1778002200000</v>
      </c>
      <c r="W65">
        <v>89.22</v>
      </c>
      <c r="X65" s="6"/>
      <c r="Y65">
        <v>1778092200000</v>
      </c>
      <c r="Z65">
        <v>85.54</v>
      </c>
      <c r="AB65">
        <v>1778087700000</v>
      </c>
      <c r="AC65">
        <v>65.87</v>
      </c>
      <c r="AE65">
        <v>1778099400000</v>
      </c>
      <c r="AF65">
        <v>52.62</v>
      </c>
      <c r="AH65">
        <v>1778089500000</v>
      </c>
      <c r="AI65">
        <v>61.46</v>
      </c>
      <c r="AK65">
        <v>1778087700000</v>
      </c>
      <c r="AL65">
        <v>94.65</v>
      </c>
      <c r="AN65">
        <v>1778087700000</v>
      </c>
      <c r="AO65">
        <v>85</v>
      </c>
      <c r="AQ65">
        <v>1778091300000</v>
      </c>
      <c r="AR65">
        <v>88.7</v>
      </c>
      <c r="AT65">
        <v>1778088600000</v>
      </c>
      <c r="AU65">
        <v>82.9</v>
      </c>
      <c r="AV65" s="6"/>
      <c r="AW65">
        <v>1779133500000</v>
      </c>
      <c r="AX65">
        <v>76.27</v>
      </c>
      <c r="AZ65">
        <v>1779126300000</v>
      </c>
      <c r="BA65">
        <v>80.400000000000006</v>
      </c>
      <c r="BC65">
        <v>1779138000000</v>
      </c>
      <c r="BD65">
        <v>67.680000000000007</v>
      </c>
      <c r="BF65">
        <v>1779128100000</v>
      </c>
      <c r="BG65">
        <v>77.78</v>
      </c>
      <c r="BI65">
        <v>1779126300000</v>
      </c>
      <c r="BJ65">
        <v>91.37</v>
      </c>
      <c r="BL65">
        <v>1779125400000</v>
      </c>
      <c r="BM65">
        <v>85.6</v>
      </c>
      <c r="BO65">
        <v>1779129000000</v>
      </c>
      <c r="BP65">
        <v>92.33</v>
      </c>
      <c r="BR65">
        <v>1779125400000</v>
      </c>
      <c r="BS65">
        <v>91.65</v>
      </c>
      <c r="BT65" s="6"/>
      <c r="BU65">
        <v>1782241200000</v>
      </c>
      <c r="BV65">
        <v>90.45</v>
      </c>
      <c r="BX65">
        <v>1782236700000</v>
      </c>
      <c r="BY65">
        <v>67.98</v>
      </c>
      <c r="CA65">
        <v>1782243000000</v>
      </c>
      <c r="CB65">
        <v>57.98</v>
      </c>
      <c r="CD65">
        <v>1782238500000</v>
      </c>
      <c r="CE65">
        <v>87.63</v>
      </c>
      <c r="CG65">
        <v>1782235800000</v>
      </c>
      <c r="CH65">
        <v>94.13</v>
      </c>
      <c r="CJ65">
        <v>1782235800000</v>
      </c>
      <c r="CK65">
        <v>77.17</v>
      </c>
      <c r="CM65">
        <v>1782237600000</v>
      </c>
      <c r="CN65">
        <v>91.16</v>
      </c>
      <c r="CP65">
        <v>1782234900000</v>
      </c>
      <c r="CQ65">
        <v>85.66</v>
      </c>
      <c r="CR65" s="6"/>
      <c r="CS65">
        <v>1784053800000</v>
      </c>
      <c r="CT65">
        <v>84.6</v>
      </c>
      <c r="CV65">
        <v>1784052900000</v>
      </c>
      <c r="CW65">
        <v>78</v>
      </c>
      <c r="CY65">
        <v>1784059200000</v>
      </c>
      <c r="CZ65">
        <v>104.97</v>
      </c>
      <c r="DB65">
        <v>1784050200000</v>
      </c>
      <c r="DC65">
        <v>81.17</v>
      </c>
      <c r="DE65">
        <v>1784049300000</v>
      </c>
      <c r="DF65">
        <v>92.65</v>
      </c>
      <c r="DH65">
        <v>1784049300000</v>
      </c>
      <c r="DI65">
        <v>78.099999999999994</v>
      </c>
      <c r="DK65">
        <v>1784049300000</v>
      </c>
      <c r="DL65">
        <v>71.260000000000005</v>
      </c>
      <c r="DN65">
        <v>1784049300000</v>
      </c>
      <c r="DO65">
        <v>90.58</v>
      </c>
      <c r="DP65" s="6"/>
      <c r="DQ65">
        <v>1784138400000</v>
      </c>
      <c r="DR65">
        <v>84.08</v>
      </c>
      <c r="DT65">
        <v>1784139300000</v>
      </c>
      <c r="DU65">
        <v>113.57</v>
      </c>
      <c r="DW65">
        <v>1784145600000</v>
      </c>
      <c r="DX65">
        <v>108</v>
      </c>
      <c r="DZ65">
        <v>1784135700000</v>
      </c>
      <c r="EA65">
        <v>74.5</v>
      </c>
      <c r="EC65">
        <v>1784136600000</v>
      </c>
      <c r="ED65">
        <v>86.45</v>
      </c>
      <c r="EF65">
        <v>1784135700000</v>
      </c>
      <c r="EG65">
        <v>107.5</v>
      </c>
      <c r="EI65">
        <v>1784137500000</v>
      </c>
      <c r="EJ65">
        <v>97.91</v>
      </c>
      <c r="EL65">
        <v>1784135700000</v>
      </c>
      <c r="EM65">
        <v>78.8</v>
      </c>
      <c r="EN65" s="6"/>
    </row>
    <row r="66" spans="1:144">
      <c r="A66">
        <v>1778008500000</v>
      </c>
      <c r="B66">
        <v>90.57</v>
      </c>
      <c r="D66">
        <v>1778003100000</v>
      </c>
      <c r="E66">
        <v>60.67</v>
      </c>
      <c r="G66">
        <v>1778011200000</v>
      </c>
      <c r="H66">
        <v>59.98</v>
      </c>
      <c r="J66">
        <v>1778003100000</v>
      </c>
      <c r="K66">
        <v>70.569999999999993</v>
      </c>
      <c r="M66">
        <v>1778002200000</v>
      </c>
      <c r="N66">
        <v>88.69</v>
      </c>
      <c r="P66">
        <v>1778002200000</v>
      </c>
      <c r="Q66">
        <v>76.47</v>
      </c>
      <c r="S66">
        <v>1778006700000</v>
      </c>
      <c r="T66">
        <v>85.6</v>
      </c>
      <c r="V66">
        <v>1778003100000</v>
      </c>
      <c r="W66">
        <v>75.17</v>
      </c>
      <c r="X66" s="6"/>
      <c r="Y66">
        <v>1778093100000</v>
      </c>
      <c r="Z66">
        <v>96.73</v>
      </c>
      <c r="AB66">
        <v>1778088600000</v>
      </c>
      <c r="AC66">
        <v>69.87</v>
      </c>
      <c r="AE66">
        <v>1778100300000</v>
      </c>
      <c r="AF66">
        <v>89.82</v>
      </c>
      <c r="AH66">
        <v>1778090400000</v>
      </c>
      <c r="AI66">
        <v>66.099999999999994</v>
      </c>
      <c r="AK66">
        <v>1778088600000</v>
      </c>
      <c r="AL66">
        <v>94.07</v>
      </c>
      <c r="AN66">
        <v>1778088600000</v>
      </c>
      <c r="AO66">
        <v>79.63</v>
      </c>
      <c r="AQ66">
        <v>1778092200000</v>
      </c>
      <c r="AR66">
        <v>84.46</v>
      </c>
      <c r="AT66">
        <v>1778089500000</v>
      </c>
      <c r="AU66">
        <v>107.98</v>
      </c>
      <c r="AV66" s="6"/>
      <c r="AW66">
        <v>1779134400000</v>
      </c>
      <c r="AX66">
        <v>91.47</v>
      </c>
      <c r="AZ66">
        <v>1779127200000</v>
      </c>
      <c r="BA66">
        <v>72.849999999999994</v>
      </c>
      <c r="BC66">
        <v>1779138900000</v>
      </c>
      <c r="BD66">
        <v>104.3</v>
      </c>
      <c r="BF66">
        <v>1779129000000</v>
      </c>
      <c r="BG66">
        <v>76.14</v>
      </c>
      <c r="BI66">
        <v>1779127200000</v>
      </c>
      <c r="BJ66">
        <v>114.5</v>
      </c>
      <c r="BL66">
        <v>1779126300000</v>
      </c>
      <c r="BM66">
        <v>83.7</v>
      </c>
      <c r="BO66">
        <v>1779129900000</v>
      </c>
      <c r="BP66">
        <v>80.27</v>
      </c>
      <c r="BR66">
        <v>1779126300000</v>
      </c>
      <c r="BS66">
        <v>79.81</v>
      </c>
      <c r="BT66" s="6"/>
      <c r="BU66">
        <v>1782242100000</v>
      </c>
      <c r="BV66">
        <v>92.27</v>
      </c>
      <c r="BX66">
        <v>1782237600000</v>
      </c>
      <c r="BY66">
        <v>58.77</v>
      </c>
      <c r="CA66">
        <v>1782243900000</v>
      </c>
      <c r="CB66">
        <v>98.22</v>
      </c>
      <c r="CD66">
        <v>1782239400000</v>
      </c>
      <c r="CE66">
        <v>82.14</v>
      </c>
      <c r="CG66">
        <v>1782236700000</v>
      </c>
      <c r="CH66">
        <v>92.75</v>
      </c>
      <c r="CJ66">
        <v>1782236700000</v>
      </c>
      <c r="CK66">
        <v>85.1</v>
      </c>
      <c r="CM66">
        <v>1782238500000</v>
      </c>
      <c r="CN66">
        <v>41.4</v>
      </c>
      <c r="CP66">
        <v>1782235800000</v>
      </c>
      <c r="CQ66">
        <v>91.2</v>
      </c>
      <c r="CR66" s="6"/>
      <c r="CS66">
        <v>1784054700000</v>
      </c>
      <c r="CT66">
        <v>93.03</v>
      </c>
      <c r="CV66">
        <v>1784053800000</v>
      </c>
      <c r="CW66">
        <v>68.430000000000007</v>
      </c>
      <c r="CY66">
        <v>1784060100000</v>
      </c>
      <c r="CZ66">
        <v>76.8</v>
      </c>
      <c r="DB66">
        <v>1784051100000</v>
      </c>
      <c r="DC66">
        <v>62.65</v>
      </c>
      <c r="DE66">
        <v>1784050200000</v>
      </c>
      <c r="DF66">
        <v>104.15</v>
      </c>
      <c r="DH66">
        <v>1784050200000</v>
      </c>
      <c r="DI66">
        <v>80.72</v>
      </c>
      <c r="DK66">
        <v>1784050200000</v>
      </c>
      <c r="DL66">
        <v>60.6</v>
      </c>
      <c r="DN66">
        <v>1784050200000</v>
      </c>
      <c r="DO66">
        <v>85.72</v>
      </c>
      <c r="DP66" s="6"/>
      <c r="DQ66">
        <v>1784139300000</v>
      </c>
      <c r="DR66">
        <v>149.66999999999999</v>
      </c>
      <c r="DT66">
        <v>1784140200000</v>
      </c>
      <c r="DU66">
        <v>65.349999999999994</v>
      </c>
      <c r="DW66">
        <v>1784146500000</v>
      </c>
      <c r="DX66">
        <v>73.59</v>
      </c>
      <c r="DZ66">
        <v>1784136600000</v>
      </c>
      <c r="EA66">
        <v>71.78</v>
      </c>
      <c r="EC66">
        <v>1784137500000</v>
      </c>
      <c r="ED66">
        <v>92.74</v>
      </c>
      <c r="EF66">
        <v>1784136600000</v>
      </c>
      <c r="EG66">
        <v>89.7</v>
      </c>
      <c r="EI66">
        <v>1784138400000</v>
      </c>
      <c r="EJ66">
        <v>77</v>
      </c>
      <c r="EL66">
        <v>1784136600000</v>
      </c>
      <c r="EM66">
        <v>90.72</v>
      </c>
      <c r="EN66" s="6"/>
    </row>
    <row r="67" spans="1:144">
      <c r="A67">
        <v>1778009400000</v>
      </c>
      <c r="B67">
        <v>67.37</v>
      </c>
      <c r="D67">
        <v>1778004900000</v>
      </c>
      <c r="E67">
        <v>81.7</v>
      </c>
      <c r="G67">
        <v>1778012100000</v>
      </c>
      <c r="H67">
        <v>50.28</v>
      </c>
      <c r="J67">
        <v>1778004000000</v>
      </c>
      <c r="K67">
        <v>62.76</v>
      </c>
      <c r="M67">
        <v>1778003100000</v>
      </c>
      <c r="N67">
        <v>99.33</v>
      </c>
      <c r="P67">
        <v>1778003100000</v>
      </c>
      <c r="Q67">
        <v>78.34</v>
      </c>
      <c r="S67">
        <v>1778007600000</v>
      </c>
      <c r="T67">
        <v>61.18</v>
      </c>
      <c r="V67">
        <v>1778004000000</v>
      </c>
      <c r="W67">
        <v>84.65</v>
      </c>
      <c r="X67" s="6"/>
      <c r="Y67">
        <v>1778094000000</v>
      </c>
      <c r="Z67">
        <v>103.25</v>
      </c>
      <c r="AB67">
        <v>1778089500000</v>
      </c>
      <c r="AC67">
        <v>67.319999999999993</v>
      </c>
      <c r="AE67">
        <v>1778101200000</v>
      </c>
      <c r="AF67">
        <v>101.7</v>
      </c>
      <c r="AH67">
        <v>1778091300000</v>
      </c>
      <c r="AI67">
        <v>72.260000000000005</v>
      </c>
      <c r="AK67">
        <v>1778089500000</v>
      </c>
      <c r="AL67">
        <v>62.48</v>
      </c>
      <c r="AN67">
        <v>1778089500000</v>
      </c>
      <c r="AO67">
        <v>126.7</v>
      </c>
      <c r="AQ67">
        <v>1778093100000</v>
      </c>
      <c r="AR67">
        <v>99.75</v>
      </c>
      <c r="AT67">
        <v>1778090400000</v>
      </c>
      <c r="AU67">
        <v>81.72</v>
      </c>
      <c r="AV67" s="6"/>
      <c r="AW67">
        <v>1779135300000</v>
      </c>
      <c r="AX67">
        <v>74.430000000000007</v>
      </c>
      <c r="AZ67">
        <v>1779128100000</v>
      </c>
      <c r="BA67">
        <v>78.45</v>
      </c>
      <c r="BC67">
        <v>1779139800000</v>
      </c>
      <c r="BD67">
        <v>70.3</v>
      </c>
      <c r="BF67">
        <v>1779129900000</v>
      </c>
      <c r="BG67">
        <v>62.52</v>
      </c>
      <c r="BI67">
        <v>1779128100000</v>
      </c>
      <c r="BJ67">
        <v>95.42</v>
      </c>
      <c r="BL67">
        <v>1779127200000</v>
      </c>
      <c r="BM67">
        <v>87.25</v>
      </c>
      <c r="BO67">
        <v>1779130800000</v>
      </c>
      <c r="BP67">
        <v>86.62</v>
      </c>
      <c r="BR67">
        <v>1779127200000</v>
      </c>
      <c r="BS67">
        <v>92.73</v>
      </c>
      <c r="BT67" s="6"/>
      <c r="BU67">
        <v>1782243000000</v>
      </c>
      <c r="BV67">
        <v>92.24</v>
      </c>
      <c r="BX67">
        <v>1782238500000</v>
      </c>
      <c r="BY67">
        <v>76.849999999999994</v>
      </c>
      <c r="CA67">
        <v>1782244800000</v>
      </c>
      <c r="CB67">
        <v>104.08</v>
      </c>
      <c r="CD67">
        <v>1782240300000</v>
      </c>
      <c r="CE67">
        <v>61.47</v>
      </c>
      <c r="CG67">
        <v>1782237600000</v>
      </c>
      <c r="CH67">
        <v>83.3</v>
      </c>
      <c r="CJ67">
        <v>1782237600000</v>
      </c>
      <c r="CK67">
        <v>85.56</v>
      </c>
      <c r="CM67">
        <v>1782239400000</v>
      </c>
      <c r="CN67">
        <v>74.680000000000007</v>
      </c>
      <c r="CP67">
        <v>1782236700000</v>
      </c>
      <c r="CQ67">
        <v>83.23</v>
      </c>
      <c r="CR67" s="6"/>
      <c r="CS67">
        <v>1784055600000</v>
      </c>
      <c r="CT67">
        <v>95.63</v>
      </c>
      <c r="CV67">
        <v>1784054700000</v>
      </c>
      <c r="CW67">
        <v>70.53</v>
      </c>
      <c r="CY67">
        <v>1784061000000</v>
      </c>
      <c r="CZ67">
        <v>81.260000000000005</v>
      </c>
      <c r="DB67">
        <v>1784052000000</v>
      </c>
      <c r="DC67">
        <v>65.38</v>
      </c>
      <c r="DE67">
        <v>1784051100000</v>
      </c>
      <c r="DF67">
        <v>90.67</v>
      </c>
      <c r="DH67">
        <v>1784051100000</v>
      </c>
      <c r="DI67">
        <v>88.53</v>
      </c>
      <c r="DK67">
        <v>1784051100000</v>
      </c>
      <c r="DL67">
        <v>64.13</v>
      </c>
      <c r="DN67">
        <v>1784051100000</v>
      </c>
      <c r="DO67">
        <v>87</v>
      </c>
      <c r="DP67" s="6"/>
      <c r="DQ67">
        <v>1784140200000</v>
      </c>
      <c r="DR67">
        <v>87.92</v>
      </c>
      <c r="DT67">
        <v>1784141100000</v>
      </c>
      <c r="DU67">
        <v>70.900000000000006</v>
      </c>
      <c r="DW67">
        <v>1784147400000</v>
      </c>
      <c r="DX67">
        <v>71.83</v>
      </c>
      <c r="DZ67">
        <v>1784137500000</v>
      </c>
      <c r="EA67">
        <v>77.92</v>
      </c>
      <c r="EC67">
        <v>1784138400000</v>
      </c>
      <c r="ED67">
        <v>87.42</v>
      </c>
      <c r="EF67">
        <v>1784137500000</v>
      </c>
      <c r="EG67">
        <v>83</v>
      </c>
      <c r="EI67">
        <v>1784139300000</v>
      </c>
      <c r="EJ67">
        <v>67.14</v>
      </c>
      <c r="EL67">
        <v>1784137500000</v>
      </c>
      <c r="EM67">
        <v>72.400000000000006</v>
      </c>
      <c r="EN67" s="6"/>
    </row>
    <row r="68" spans="1:144">
      <c r="A68">
        <v>1778010300000</v>
      </c>
      <c r="B68">
        <v>122.78</v>
      </c>
      <c r="D68">
        <v>1778005800000</v>
      </c>
      <c r="E68">
        <v>68.95</v>
      </c>
      <c r="G68">
        <v>1778013000000</v>
      </c>
      <c r="H68">
        <v>94.12</v>
      </c>
      <c r="J68">
        <v>1778004900000</v>
      </c>
      <c r="K68">
        <v>76.14</v>
      </c>
      <c r="M68">
        <v>1778004000000</v>
      </c>
      <c r="N68">
        <v>102.23</v>
      </c>
      <c r="P68">
        <v>1778004000000</v>
      </c>
      <c r="Q68">
        <v>85.6</v>
      </c>
      <c r="S68">
        <v>1778008500000</v>
      </c>
      <c r="T68">
        <v>73.17</v>
      </c>
      <c r="V68">
        <v>1778004900000</v>
      </c>
      <c r="W68">
        <v>81.849999999999994</v>
      </c>
      <c r="X68" s="6"/>
      <c r="Y68">
        <v>1778094900000</v>
      </c>
      <c r="Z68">
        <v>94.88</v>
      </c>
      <c r="AB68">
        <v>1778090400000</v>
      </c>
      <c r="AC68">
        <v>61.73</v>
      </c>
      <c r="AE68">
        <v>1778102100000</v>
      </c>
      <c r="AF68">
        <v>101.63</v>
      </c>
      <c r="AH68">
        <v>1778092200000</v>
      </c>
      <c r="AI68">
        <v>80.92</v>
      </c>
      <c r="AK68">
        <v>1778090400000</v>
      </c>
      <c r="AL68">
        <v>93.65</v>
      </c>
      <c r="AN68">
        <v>1778090400000</v>
      </c>
      <c r="AO68">
        <v>86.22</v>
      </c>
      <c r="AQ68">
        <v>1778094000000</v>
      </c>
      <c r="AR68">
        <v>102.65</v>
      </c>
      <c r="AT68">
        <v>1778091300000</v>
      </c>
      <c r="AU68">
        <v>81.55</v>
      </c>
      <c r="AV68" s="6"/>
      <c r="AW68">
        <v>1779136200000</v>
      </c>
      <c r="AX68">
        <v>93.95</v>
      </c>
      <c r="AZ68">
        <v>1779129000000</v>
      </c>
      <c r="BA68">
        <v>73.05</v>
      </c>
      <c r="BC68">
        <v>1779140700000</v>
      </c>
      <c r="BD68">
        <v>79.87</v>
      </c>
      <c r="BF68">
        <v>1779130800000</v>
      </c>
      <c r="BG68">
        <v>76.37</v>
      </c>
      <c r="BI68">
        <v>1779129900000</v>
      </c>
      <c r="BJ68">
        <v>98.82</v>
      </c>
      <c r="BL68">
        <v>1779128100000</v>
      </c>
      <c r="BM68">
        <v>82.83</v>
      </c>
      <c r="BO68">
        <v>1779131700000</v>
      </c>
      <c r="BP68">
        <v>99.03</v>
      </c>
      <c r="BR68">
        <v>1779128100000</v>
      </c>
      <c r="BS68">
        <v>76.34</v>
      </c>
      <c r="BT68" s="6"/>
      <c r="BU68">
        <v>1782243900000</v>
      </c>
      <c r="BV68">
        <v>98.54</v>
      </c>
      <c r="BX68">
        <v>1782239400000</v>
      </c>
      <c r="BY68">
        <v>72</v>
      </c>
      <c r="CA68">
        <v>1782245700000</v>
      </c>
      <c r="CB68">
        <v>50.6</v>
      </c>
      <c r="CD68">
        <v>1782241200000</v>
      </c>
      <c r="CE68">
        <v>68.38</v>
      </c>
      <c r="CG68">
        <v>1782238500000</v>
      </c>
      <c r="CH68">
        <v>104.23</v>
      </c>
      <c r="CJ68">
        <v>1782238500000</v>
      </c>
      <c r="CK68">
        <v>87.9</v>
      </c>
      <c r="CM68">
        <v>1782240300000</v>
      </c>
      <c r="CN68">
        <v>94.4</v>
      </c>
      <c r="CP68">
        <v>1782237600000</v>
      </c>
      <c r="CQ68">
        <v>104.72</v>
      </c>
      <c r="CR68" s="6"/>
      <c r="CS68">
        <v>1784056500000</v>
      </c>
      <c r="CT68">
        <v>77.28</v>
      </c>
      <c r="CV68">
        <v>1784055600000</v>
      </c>
      <c r="CW68">
        <v>77.150000000000006</v>
      </c>
      <c r="CY68">
        <v>1784061900000</v>
      </c>
      <c r="CZ68">
        <v>82.9</v>
      </c>
      <c r="DB68">
        <v>1784052900000</v>
      </c>
      <c r="DC68">
        <v>79.3</v>
      </c>
      <c r="DE68">
        <v>1784052000000</v>
      </c>
      <c r="DF68">
        <v>97.13</v>
      </c>
      <c r="DH68">
        <v>1784052000000</v>
      </c>
      <c r="DI68">
        <v>87.9</v>
      </c>
      <c r="DK68">
        <v>1784052000000</v>
      </c>
      <c r="DL68">
        <v>64.78</v>
      </c>
      <c r="DN68">
        <v>1784052000000</v>
      </c>
      <c r="DO68">
        <v>90.74</v>
      </c>
      <c r="DP68" s="6"/>
      <c r="DQ68">
        <v>1784141100000</v>
      </c>
      <c r="DR68">
        <v>92.72</v>
      </c>
      <c r="DT68">
        <v>1784142000000</v>
      </c>
      <c r="DU68">
        <v>78.900000000000006</v>
      </c>
      <c r="DW68">
        <v>1784148300000</v>
      </c>
      <c r="DX68">
        <v>73.709999999999994</v>
      </c>
      <c r="DZ68">
        <v>1784138400000</v>
      </c>
      <c r="EA68">
        <v>73.349999999999994</v>
      </c>
      <c r="EC68">
        <v>1784139300000</v>
      </c>
      <c r="ED68">
        <v>99.9</v>
      </c>
      <c r="EF68">
        <v>1784138400000</v>
      </c>
      <c r="EG68">
        <v>84.2</v>
      </c>
      <c r="EI68">
        <v>1784140200000</v>
      </c>
      <c r="EJ68">
        <v>83.95</v>
      </c>
      <c r="EL68">
        <v>1784138400000</v>
      </c>
      <c r="EM68">
        <v>80.08</v>
      </c>
      <c r="EN68" s="6"/>
    </row>
    <row r="69" spans="1:144">
      <c r="A69">
        <v>1778011200000</v>
      </c>
      <c r="B69">
        <v>90.99</v>
      </c>
      <c r="D69">
        <v>1778006700000</v>
      </c>
      <c r="E69">
        <v>76.900000000000006</v>
      </c>
      <c r="G69">
        <v>1778013900000</v>
      </c>
      <c r="H69">
        <v>72.599999999999994</v>
      </c>
      <c r="J69">
        <v>1778005800000</v>
      </c>
      <c r="K69">
        <v>68.92</v>
      </c>
      <c r="M69">
        <v>1778004900000</v>
      </c>
      <c r="N69">
        <v>99.6</v>
      </c>
      <c r="P69">
        <v>1778004900000</v>
      </c>
      <c r="Q69">
        <v>90.8</v>
      </c>
      <c r="S69">
        <v>1778009400000</v>
      </c>
      <c r="T69">
        <v>50.1</v>
      </c>
      <c r="V69">
        <v>1778005800000</v>
      </c>
      <c r="W69">
        <v>84.12</v>
      </c>
      <c r="X69" s="6"/>
      <c r="Y69">
        <v>1778095800000</v>
      </c>
      <c r="Z69">
        <v>75.98</v>
      </c>
      <c r="AB69">
        <v>1778091300000</v>
      </c>
      <c r="AC69">
        <v>66.42</v>
      </c>
      <c r="AE69">
        <v>1778103000000</v>
      </c>
      <c r="AF69">
        <v>93.33</v>
      </c>
      <c r="AH69">
        <v>1778093100000</v>
      </c>
      <c r="AI69">
        <v>69.48</v>
      </c>
      <c r="AK69">
        <v>1778091300000</v>
      </c>
      <c r="AL69">
        <v>96.13</v>
      </c>
      <c r="AN69">
        <v>1778091300000</v>
      </c>
      <c r="AO69">
        <v>74.09</v>
      </c>
      <c r="AQ69">
        <v>1778094900000</v>
      </c>
      <c r="AR69">
        <v>73.900000000000006</v>
      </c>
      <c r="AT69">
        <v>1778092200000</v>
      </c>
      <c r="AU69">
        <v>81.98</v>
      </c>
      <c r="AV69" s="6"/>
      <c r="AW69">
        <v>1779137100000</v>
      </c>
      <c r="AX69">
        <v>84.44</v>
      </c>
      <c r="AZ69">
        <v>1779129900000</v>
      </c>
      <c r="BA69">
        <v>75.650000000000006</v>
      </c>
      <c r="BC69">
        <v>1779141600000</v>
      </c>
      <c r="BD69">
        <v>97.18</v>
      </c>
      <c r="BF69">
        <v>1779131700000</v>
      </c>
      <c r="BG69">
        <v>52.12</v>
      </c>
      <c r="BI69">
        <v>1779130800000</v>
      </c>
      <c r="BJ69">
        <v>98.65</v>
      </c>
      <c r="BL69">
        <v>1779129000000</v>
      </c>
      <c r="BM69">
        <v>85.13</v>
      </c>
      <c r="BO69">
        <v>1779132600000</v>
      </c>
      <c r="BP69">
        <v>103.78</v>
      </c>
      <c r="BR69">
        <v>1779129000000</v>
      </c>
      <c r="BS69">
        <v>90.4</v>
      </c>
      <c r="BT69" s="6"/>
      <c r="BU69">
        <v>1782244800000</v>
      </c>
      <c r="BV69">
        <v>89.3</v>
      </c>
      <c r="BX69">
        <v>1782240300000</v>
      </c>
      <c r="BY69">
        <v>58.9</v>
      </c>
      <c r="CA69">
        <v>1782246600000</v>
      </c>
      <c r="CB69">
        <v>71.52</v>
      </c>
      <c r="CD69">
        <v>1782242100000</v>
      </c>
      <c r="CE69">
        <v>70.52</v>
      </c>
      <c r="CG69">
        <v>1782239400000</v>
      </c>
      <c r="CH69">
        <v>98.82</v>
      </c>
      <c r="CJ69">
        <v>1782239400000</v>
      </c>
      <c r="CK69">
        <v>84.36</v>
      </c>
      <c r="CM69">
        <v>1782241200000</v>
      </c>
      <c r="CN69">
        <v>65.62</v>
      </c>
      <c r="CP69">
        <v>1782238500000</v>
      </c>
      <c r="CQ69">
        <v>77.84</v>
      </c>
      <c r="CR69" s="6"/>
      <c r="CS69">
        <v>1784057400000</v>
      </c>
      <c r="CT69">
        <v>89.22</v>
      </c>
      <c r="CV69">
        <v>1784056500000</v>
      </c>
      <c r="CW69">
        <v>80.400000000000006</v>
      </c>
      <c r="CY69">
        <v>1784062800000</v>
      </c>
      <c r="CZ69">
        <v>69.38</v>
      </c>
      <c r="DB69">
        <v>1784053800000</v>
      </c>
      <c r="DC69">
        <v>82.25</v>
      </c>
      <c r="DE69">
        <v>1784052900000</v>
      </c>
      <c r="DF69">
        <v>90.53</v>
      </c>
      <c r="DH69">
        <v>1784052900000</v>
      </c>
      <c r="DI69">
        <v>85.27</v>
      </c>
      <c r="DK69">
        <v>1784052900000</v>
      </c>
      <c r="DL69">
        <v>97.38</v>
      </c>
      <c r="DN69">
        <v>1784052900000</v>
      </c>
      <c r="DO69">
        <v>85.33</v>
      </c>
      <c r="DP69" s="6"/>
      <c r="DQ69">
        <v>1784142000000</v>
      </c>
      <c r="DR69">
        <v>94.63</v>
      </c>
      <c r="DT69">
        <v>1784142900000</v>
      </c>
      <c r="DU69">
        <v>59</v>
      </c>
      <c r="DW69">
        <v>1784149200000</v>
      </c>
      <c r="DX69">
        <v>58.59</v>
      </c>
      <c r="DZ69">
        <v>1784139300000</v>
      </c>
      <c r="EA69">
        <v>75.260000000000005</v>
      </c>
      <c r="EC69">
        <v>1784140200000</v>
      </c>
      <c r="ED69">
        <v>100.56</v>
      </c>
      <c r="EF69">
        <v>1784139300000</v>
      </c>
      <c r="EG69">
        <v>87</v>
      </c>
      <c r="EI69">
        <v>1784141100000</v>
      </c>
      <c r="EJ69">
        <v>121.22</v>
      </c>
      <c r="EL69">
        <v>1784139300000</v>
      </c>
      <c r="EM69">
        <v>85.25</v>
      </c>
      <c r="EN69" s="6"/>
    </row>
    <row r="70" spans="1:144">
      <c r="A70">
        <v>1778012100000</v>
      </c>
      <c r="B70">
        <v>99.57</v>
      </c>
      <c r="D70">
        <v>1778007600000</v>
      </c>
      <c r="E70">
        <v>77.900000000000006</v>
      </c>
      <c r="G70">
        <v>1778014800000</v>
      </c>
      <c r="H70">
        <v>73.36</v>
      </c>
      <c r="J70">
        <v>1778006700000</v>
      </c>
      <c r="K70">
        <v>82.33</v>
      </c>
      <c r="M70">
        <v>1778005800000</v>
      </c>
      <c r="N70">
        <v>91.1</v>
      </c>
      <c r="P70">
        <v>1778005800000</v>
      </c>
      <c r="Q70">
        <v>85.7</v>
      </c>
      <c r="S70">
        <v>1778010300000</v>
      </c>
      <c r="T70">
        <v>71.48</v>
      </c>
      <c r="V70">
        <v>1778006700000</v>
      </c>
      <c r="W70">
        <v>86.08</v>
      </c>
      <c r="X70" s="6"/>
      <c r="Y70">
        <v>1778096700000</v>
      </c>
      <c r="Z70">
        <v>80.58</v>
      </c>
      <c r="AB70">
        <v>1778092200000</v>
      </c>
      <c r="AC70">
        <v>79.05</v>
      </c>
      <c r="AE70">
        <v>1778103900000</v>
      </c>
      <c r="AF70">
        <v>69.28</v>
      </c>
      <c r="AH70">
        <v>1778094000000</v>
      </c>
      <c r="AI70">
        <v>81.55</v>
      </c>
      <c r="AK70">
        <v>1778092200000</v>
      </c>
      <c r="AL70">
        <v>103.67</v>
      </c>
      <c r="AN70">
        <v>1778092200000</v>
      </c>
      <c r="AO70">
        <v>83.3</v>
      </c>
      <c r="AQ70">
        <v>1778095800000</v>
      </c>
      <c r="AR70">
        <v>86.08</v>
      </c>
      <c r="AT70">
        <v>1778093100000</v>
      </c>
      <c r="AU70">
        <v>81.13</v>
      </c>
      <c r="AV70" s="6"/>
      <c r="AW70">
        <v>1779138000000</v>
      </c>
      <c r="AX70">
        <v>105.3</v>
      </c>
      <c r="AZ70">
        <v>1779130800000</v>
      </c>
      <c r="BA70">
        <v>72.17</v>
      </c>
      <c r="BC70">
        <v>1779142500000</v>
      </c>
      <c r="BD70">
        <v>84.53</v>
      </c>
      <c r="BF70">
        <v>1779132600000</v>
      </c>
      <c r="BG70">
        <v>77.88</v>
      </c>
      <c r="BI70">
        <v>1779131700000</v>
      </c>
      <c r="BJ70">
        <v>86.4</v>
      </c>
      <c r="BL70">
        <v>1779129900000</v>
      </c>
      <c r="BM70">
        <v>81.77</v>
      </c>
      <c r="BO70">
        <v>1779133500000</v>
      </c>
      <c r="BP70">
        <v>89.36</v>
      </c>
      <c r="BR70">
        <v>1779129900000</v>
      </c>
      <c r="BS70">
        <v>83.2</v>
      </c>
      <c r="BT70" s="6"/>
      <c r="BU70">
        <v>1782245700000</v>
      </c>
      <c r="BV70">
        <v>89.48</v>
      </c>
      <c r="BX70">
        <v>1782241200000</v>
      </c>
      <c r="BY70">
        <v>78.23</v>
      </c>
      <c r="CA70">
        <v>1782247500000</v>
      </c>
      <c r="CB70">
        <v>39.799999999999997</v>
      </c>
      <c r="CD70">
        <v>1782243000000</v>
      </c>
      <c r="CE70">
        <v>58.44</v>
      </c>
      <c r="CG70">
        <v>1782240300000</v>
      </c>
      <c r="CH70">
        <v>94.33</v>
      </c>
      <c r="CJ70">
        <v>1782240300000</v>
      </c>
      <c r="CK70">
        <v>90.4</v>
      </c>
      <c r="CM70">
        <v>1782242100000</v>
      </c>
      <c r="CN70">
        <v>97.92</v>
      </c>
      <c r="CP70">
        <v>1782239400000</v>
      </c>
      <c r="CQ70">
        <v>67.17</v>
      </c>
      <c r="CR70" s="6"/>
      <c r="CS70">
        <v>1784058300000</v>
      </c>
      <c r="CT70">
        <v>98.55</v>
      </c>
      <c r="CV70">
        <v>1784057400000</v>
      </c>
      <c r="CW70">
        <v>77.7</v>
      </c>
      <c r="CY70">
        <v>1784063700000</v>
      </c>
      <c r="CZ70">
        <v>71.62</v>
      </c>
      <c r="DB70">
        <v>1784054700000</v>
      </c>
      <c r="DC70">
        <v>80.209999999999994</v>
      </c>
      <c r="DE70">
        <v>1784053800000</v>
      </c>
      <c r="DF70">
        <v>97.62</v>
      </c>
      <c r="DH70">
        <v>1784053800000</v>
      </c>
      <c r="DI70">
        <v>86.05</v>
      </c>
      <c r="DK70">
        <v>1784053800000</v>
      </c>
      <c r="DL70">
        <v>60.16</v>
      </c>
      <c r="DN70">
        <v>1784053800000</v>
      </c>
      <c r="DO70">
        <v>76.97</v>
      </c>
      <c r="DP70" s="6"/>
      <c r="DQ70">
        <v>1784142900000</v>
      </c>
      <c r="DR70">
        <v>75.55</v>
      </c>
      <c r="DT70">
        <v>1784143800000</v>
      </c>
      <c r="DU70">
        <v>53.23</v>
      </c>
      <c r="DW70">
        <v>1784150100000</v>
      </c>
      <c r="DX70">
        <v>94.88</v>
      </c>
      <c r="DZ70">
        <v>1784140200000</v>
      </c>
      <c r="EA70">
        <v>77.400000000000006</v>
      </c>
      <c r="EC70">
        <v>1784141100000</v>
      </c>
      <c r="ED70">
        <v>99.6</v>
      </c>
      <c r="EF70">
        <v>1784140200000</v>
      </c>
      <c r="EG70">
        <v>81.069999999999993</v>
      </c>
      <c r="EI70">
        <v>1784142000000</v>
      </c>
      <c r="EJ70">
        <v>106.8</v>
      </c>
      <c r="EL70">
        <v>1784140200000</v>
      </c>
      <c r="EM70">
        <v>89.95</v>
      </c>
      <c r="EN70" s="6"/>
    </row>
    <row r="71" spans="1:144">
      <c r="A71">
        <v>1778013000000</v>
      </c>
      <c r="B71">
        <v>80.28</v>
      </c>
      <c r="D71">
        <v>1778008500000</v>
      </c>
      <c r="E71">
        <v>65.3</v>
      </c>
      <c r="G71">
        <v>1778015700000</v>
      </c>
      <c r="H71">
        <v>72.430000000000007</v>
      </c>
      <c r="J71">
        <v>1778007600000</v>
      </c>
      <c r="K71">
        <v>60.07</v>
      </c>
      <c r="M71">
        <v>1778006700000</v>
      </c>
      <c r="N71">
        <v>100.54</v>
      </c>
      <c r="P71">
        <v>1778006700000</v>
      </c>
      <c r="Q71">
        <v>83.27</v>
      </c>
      <c r="S71">
        <v>1778011200000</v>
      </c>
      <c r="T71">
        <v>52.64</v>
      </c>
      <c r="V71">
        <v>1778007600000</v>
      </c>
      <c r="W71">
        <v>76.040000000000006</v>
      </c>
      <c r="X71" s="6"/>
      <c r="Y71">
        <v>1778097600000</v>
      </c>
      <c r="Z71">
        <v>97.37</v>
      </c>
      <c r="AB71">
        <v>1778093100000</v>
      </c>
      <c r="AC71">
        <v>77.430000000000007</v>
      </c>
      <c r="AE71">
        <v>1778104800000</v>
      </c>
      <c r="AF71">
        <v>82.77</v>
      </c>
      <c r="AH71">
        <v>1778094900000</v>
      </c>
      <c r="AI71">
        <v>69.75</v>
      </c>
      <c r="AK71">
        <v>1778093100000</v>
      </c>
      <c r="AL71">
        <v>95.03</v>
      </c>
      <c r="AN71">
        <v>1778093100000</v>
      </c>
      <c r="AO71">
        <v>85.36</v>
      </c>
      <c r="AQ71">
        <v>1778096700000</v>
      </c>
      <c r="AR71">
        <v>64.760000000000005</v>
      </c>
      <c r="AT71">
        <v>1778094000000</v>
      </c>
      <c r="AU71">
        <v>81.459999999999994</v>
      </c>
      <c r="AV71" s="6"/>
      <c r="AW71">
        <v>1779138900000</v>
      </c>
      <c r="AX71">
        <v>93.04</v>
      </c>
      <c r="AZ71">
        <v>1779131700000</v>
      </c>
      <c r="BA71">
        <v>81.099999999999994</v>
      </c>
      <c r="BC71">
        <v>1779143400000</v>
      </c>
      <c r="BD71">
        <v>75.8</v>
      </c>
      <c r="BF71">
        <v>1779133500000</v>
      </c>
      <c r="BG71">
        <v>55.82</v>
      </c>
      <c r="BI71">
        <v>1779132600000</v>
      </c>
      <c r="BJ71">
        <v>83.1</v>
      </c>
      <c r="BL71">
        <v>1779130800000</v>
      </c>
      <c r="BM71">
        <v>69.75</v>
      </c>
      <c r="BO71">
        <v>1779134400000</v>
      </c>
      <c r="BP71">
        <v>97.4</v>
      </c>
      <c r="BR71">
        <v>1779130800000</v>
      </c>
      <c r="BS71">
        <v>77.62</v>
      </c>
      <c r="BT71" s="6"/>
      <c r="BU71">
        <v>1782246600000</v>
      </c>
      <c r="BV71">
        <v>89.25</v>
      </c>
      <c r="BX71">
        <v>1782242100000</v>
      </c>
      <c r="BY71">
        <v>75.599999999999994</v>
      </c>
      <c r="CA71">
        <v>1782248400000</v>
      </c>
      <c r="CB71">
        <v>70.400000000000006</v>
      </c>
      <c r="CD71">
        <v>1782243900000</v>
      </c>
      <c r="CE71">
        <v>50.15</v>
      </c>
      <c r="CG71">
        <v>1782241200000</v>
      </c>
      <c r="CH71">
        <v>99.45</v>
      </c>
      <c r="CJ71">
        <v>1782241200000</v>
      </c>
      <c r="CK71">
        <v>86</v>
      </c>
      <c r="CM71">
        <v>1782243000000</v>
      </c>
      <c r="CN71">
        <v>102.72</v>
      </c>
      <c r="CP71">
        <v>1782240300000</v>
      </c>
      <c r="CQ71">
        <v>87.47</v>
      </c>
      <c r="CR71" s="6"/>
      <c r="CS71">
        <v>1784059200000</v>
      </c>
      <c r="CT71">
        <v>97.66</v>
      </c>
      <c r="CV71">
        <v>1784058300000</v>
      </c>
      <c r="CW71">
        <v>80.900000000000006</v>
      </c>
      <c r="CY71">
        <v>1784064600000</v>
      </c>
      <c r="CZ71">
        <v>97.7</v>
      </c>
      <c r="DB71">
        <v>1784055600000</v>
      </c>
      <c r="DC71">
        <v>84.07</v>
      </c>
      <c r="DE71">
        <v>1784054700000</v>
      </c>
      <c r="DF71">
        <v>106.42</v>
      </c>
      <c r="DH71">
        <v>1784054700000</v>
      </c>
      <c r="DI71">
        <v>82.93</v>
      </c>
      <c r="DK71">
        <v>1784054700000</v>
      </c>
      <c r="DL71">
        <v>74.53</v>
      </c>
      <c r="DN71">
        <v>1784054700000</v>
      </c>
      <c r="DO71">
        <v>83.63</v>
      </c>
      <c r="DP71" s="6"/>
      <c r="DQ71">
        <v>1784143800000</v>
      </c>
      <c r="DR71">
        <v>71.33</v>
      </c>
      <c r="DT71">
        <v>1784144700000</v>
      </c>
      <c r="DU71">
        <v>66.2</v>
      </c>
      <c r="DW71">
        <v>1784151000000</v>
      </c>
      <c r="DX71">
        <v>90</v>
      </c>
      <c r="DZ71">
        <v>1784141100000</v>
      </c>
      <c r="EA71">
        <v>71.180000000000007</v>
      </c>
      <c r="EC71">
        <v>1784142000000</v>
      </c>
      <c r="ED71">
        <v>99.17</v>
      </c>
      <c r="EF71">
        <v>1784141100000</v>
      </c>
      <c r="EG71">
        <v>87.47</v>
      </c>
      <c r="EI71">
        <v>1784142900000</v>
      </c>
      <c r="EJ71">
        <v>100.57</v>
      </c>
      <c r="EL71">
        <v>1784141100000</v>
      </c>
      <c r="EM71">
        <v>85.55</v>
      </c>
      <c r="EN71" s="6"/>
    </row>
    <row r="72" spans="1:144">
      <c r="A72">
        <v>1778013900000</v>
      </c>
      <c r="B72">
        <v>83.54</v>
      </c>
      <c r="D72">
        <v>1778009400000</v>
      </c>
      <c r="E72">
        <v>61.55</v>
      </c>
      <c r="G72">
        <v>1778016600000</v>
      </c>
      <c r="H72">
        <v>98.17</v>
      </c>
      <c r="J72">
        <v>1778008500000</v>
      </c>
      <c r="K72">
        <v>79.28</v>
      </c>
      <c r="M72">
        <v>1778007600000</v>
      </c>
      <c r="N72">
        <v>99.2</v>
      </c>
      <c r="P72">
        <v>1778007600000</v>
      </c>
      <c r="Q72">
        <v>89.3</v>
      </c>
      <c r="S72">
        <v>1778012100000</v>
      </c>
      <c r="T72">
        <v>71.87</v>
      </c>
      <c r="V72">
        <v>1778008500000</v>
      </c>
      <c r="W72">
        <v>80.67</v>
      </c>
      <c r="X72" s="6"/>
      <c r="Y72">
        <v>1778098500000</v>
      </c>
      <c r="Z72">
        <v>99.95</v>
      </c>
      <c r="AB72">
        <v>1778094000000</v>
      </c>
      <c r="AC72">
        <v>61.8</v>
      </c>
      <c r="AE72">
        <v>1778105700000</v>
      </c>
      <c r="AF72">
        <v>62.38</v>
      </c>
      <c r="AH72">
        <v>1778095800000</v>
      </c>
      <c r="AI72">
        <v>47.32</v>
      </c>
      <c r="AK72">
        <v>1778094000000</v>
      </c>
      <c r="AL72">
        <v>97.88</v>
      </c>
      <c r="AN72">
        <v>1778094000000</v>
      </c>
      <c r="AO72">
        <v>83.75</v>
      </c>
      <c r="AQ72">
        <v>1778097600000</v>
      </c>
      <c r="AR72">
        <v>107.13</v>
      </c>
      <c r="AT72">
        <v>1778094900000</v>
      </c>
      <c r="AU72">
        <v>62.34</v>
      </c>
      <c r="AV72" s="6"/>
      <c r="AW72">
        <v>1779139800000</v>
      </c>
      <c r="AX72">
        <v>108.84</v>
      </c>
      <c r="AZ72">
        <v>1779133500000</v>
      </c>
      <c r="BA72">
        <v>79.23</v>
      </c>
      <c r="BC72">
        <v>1779144300000</v>
      </c>
      <c r="BD72">
        <v>98.24</v>
      </c>
      <c r="BF72">
        <v>1779134400000</v>
      </c>
      <c r="BG72">
        <v>54.02</v>
      </c>
      <c r="BI72">
        <v>1779133500000</v>
      </c>
      <c r="BJ72">
        <v>93.46</v>
      </c>
      <c r="BL72">
        <v>1779131700000</v>
      </c>
      <c r="BM72">
        <v>87.98</v>
      </c>
      <c r="BO72">
        <v>1779135300000</v>
      </c>
      <c r="BP72">
        <v>80.53</v>
      </c>
      <c r="BR72">
        <v>1779131700000</v>
      </c>
      <c r="BS72">
        <v>82.85</v>
      </c>
      <c r="BT72" s="6"/>
      <c r="BU72">
        <v>1782247500000</v>
      </c>
      <c r="BV72">
        <v>95.38</v>
      </c>
      <c r="BX72">
        <v>1782243000000</v>
      </c>
      <c r="BY72">
        <v>70.23</v>
      </c>
      <c r="CA72">
        <v>1782249300000</v>
      </c>
      <c r="CB72">
        <v>78.73</v>
      </c>
      <c r="CD72">
        <v>1782244800000</v>
      </c>
      <c r="CE72">
        <v>74.430000000000007</v>
      </c>
      <c r="CG72">
        <v>1782242100000</v>
      </c>
      <c r="CH72">
        <v>95.77</v>
      </c>
      <c r="CJ72">
        <v>1782242100000</v>
      </c>
      <c r="CK72">
        <v>90.75</v>
      </c>
      <c r="CM72">
        <v>1782243900000</v>
      </c>
      <c r="CN72">
        <v>94.72</v>
      </c>
      <c r="CP72">
        <v>1782241200000</v>
      </c>
      <c r="CQ72">
        <v>85.24</v>
      </c>
      <c r="CR72" s="6"/>
      <c r="CS72">
        <v>1784060100000</v>
      </c>
      <c r="CT72">
        <v>85.98</v>
      </c>
      <c r="CV72">
        <v>1784059200000</v>
      </c>
      <c r="CW72">
        <v>39.97</v>
      </c>
      <c r="CY72">
        <v>1784065500000</v>
      </c>
      <c r="CZ72">
        <v>99.38</v>
      </c>
      <c r="DB72">
        <v>1784056500000</v>
      </c>
      <c r="DC72">
        <v>64.64</v>
      </c>
      <c r="DE72">
        <v>1784055600000</v>
      </c>
      <c r="DF72">
        <v>95.03</v>
      </c>
      <c r="DH72">
        <v>1784055600000</v>
      </c>
      <c r="DI72">
        <v>85.08</v>
      </c>
      <c r="DK72">
        <v>1784055600000</v>
      </c>
      <c r="DL72">
        <v>105.32</v>
      </c>
      <c r="DN72">
        <v>1784055600000</v>
      </c>
      <c r="DO72">
        <v>86.1</v>
      </c>
      <c r="DP72" s="6"/>
      <c r="DQ72">
        <v>1784144700000</v>
      </c>
      <c r="DR72">
        <v>98.8</v>
      </c>
      <c r="DT72">
        <v>1784145600000</v>
      </c>
      <c r="DU72">
        <v>79.599999999999994</v>
      </c>
      <c r="DW72">
        <v>1784151900000</v>
      </c>
      <c r="DX72">
        <v>92.75</v>
      </c>
      <c r="DZ72">
        <v>1784142000000</v>
      </c>
      <c r="EA72">
        <v>74.83</v>
      </c>
      <c r="EC72">
        <v>1784142900000</v>
      </c>
      <c r="ED72">
        <v>67.5</v>
      </c>
      <c r="EF72">
        <v>1784142000000</v>
      </c>
      <c r="EG72">
        <v>89.2</v>
      </c>
      <c r="EI72">
        <v>1784143800000</v>
      </c>
      <c r="EJ72">
        <v>42.03</v>
      </c>
      <c r="EL72">
        <v>1784142000000</v>
      </c>
      <c r="EM72">
        <v>88.23</v>
      </c>
      <c r="EN72" s="6"/>
    </row>
    <row r="73" spans="1:144">
      <c r="A73">
        <v>1778014800000</v>
      </c>
      <c r="B73">
        <v>91.95</v>
      </c>
      <c r="D73">
        <v>1778010300000</v>
      </c>
      <c r="E73">
        <v>81.3</v>
      </c>
      <c r="G73">
        <v>1778017500000</v>
      </c>
      <c r="H73">
        <v>68.92</v>
      </c>
      <c r="J73">
        <v>1778009400000</v>
      </c>
      <c r="K73">
        <v>62.6</v>
      </c>
      <c r="M73">
        <v>1778008500000</v>
      </c>
      <c r="N73">
        <v>95.87</v>
      </c>
      <c r="P73">
        <v>1778008500000</v>
      </c>
      <c r="Q73">
        <v>82.9</v>
      </c>
      <c r="S73">
        <v>1778013000000</v>
      </c>
      <c r="T73">
        <v>104.92</v>
      </c>
      <c r="V73">
        <v>1778009400000</v>
      </c>
      <c r="W73">
        <v>81.430000000000007</v>
      </c>
      <c r="X73" s="6"/>
      <c r="Y73">
        <v>1778099400000</v>
      </c>
      <c r="Z73">
        <v>104.58</v>
      </c>
      <c r="AB73">
        <v>1778094900000</v>
      </c>
      <c r="AC73">
        <v>81.099999999999994</v>
      </c>
      <c r="AE73">
        <v>1778106600000</v>
      </c>
      <c r="AF73">
        <v>105.38</v>
      </c>
      <c r="AH73">
        <v>1778096700000</v>
      </c>
      <c r="AI73">
        <v>68.150000000000006</v>
      </c>
      <c r="AK73">
        <v>1778094900000</v>
      </c>
      <c r="AL73">
        <v>100.07</v>
      </c>
      <c r="AN73">
        <v>1778094900000</v>
      </c>
      <c r="AO73">
        <v>86.13</v>
      </c>
      <c r="AQ73">
        <v>1778098500000</v>
      </c>
      <c r="AR73">
        <v>91.42</v>
      </c>
      <c r="AT73">
        <v>1778095800000</v>
      </c>
      <c r="AU73">
        <v>84.29</v>
      </c>
      <c r="AV73" s="6"/>
      <c r="AW73">
        <v>1779140700000</v>
      </c>
      <c r="AX73">
        <v>124.07</v>
      </c>
      <c r="AZ73">
        <v>1779134400000</v>
      </c>
      <c r="BA73">
        <v>74.7</v>
      </c>
      <c r="BC73">
        <v>1779145200000</v>
      </c>
      <c r="BD73">
        <v>52.18</v>
      </c>
      <c r="BF73">
        <v>1779135300000</v>
      </c>
      <c r="BG73">
        <v>73.09</v>
      </c>
      <c r="BI73">
        <v>1779134400000</v>
      </c>
      <c r="BJ73">
        <v>140.72999999999999</v>
      </c>
      <c r="BL73">
        <v>1779132600000</v>
      </c>
      <c r="BM73">
        <v>80.17</v>
      </c>
      <c r="BO73">
        <v>1779136200000</v>
      </c>
      <c r="BP73">
        <v>75.36</v>
      </c>
      <c r="BR73">
        <v>1779132600000</v>
      </c>
      <c r="BS73">
        <v>82.7</v>
      </c>
      <c r="BT73" s="6"/>
      <c r="BU73">
        <v>1782248400000</v>
      </c>
      <c r="BV73">
        <v>92.08</v>
      </c>
      <c r="BX73">
        <v>1782243900000</v>
      </c>
      <c r="BY73">
        <v>74.2</v>
      </c>
      <c r="CA73">
        <v>1782250200000</v>
      </c>
      <c r="CB73">
        <v>111.47</v>
      </c>
      <c r="CD73">
        <v>1782245700000</v>
      </c>
      <c r="CE73">
        <v>79.599999999999994</v>
      </c>
      <c r="CG73">
        <v>1782243000000</v>
      </c>
      <c r="CH73">
        <v>90.7</v>
      </c>
      <c r="CJ73">
        <v>1782243000000</v>
      </c>
      <c r="CK73">
        <v>88.17</v>
      </c>
      <c r="CM73">
        <v>1782244800000</v>
      </c>
      <c r="CN73">
        <v>55.03</v>
      </c>
      <c r="CP73">
        <v>1782242100000</v>
      </c>
      <c r="CQ73">
        <v>67.88</v>
      </c>
      <c r="CR73" s="6"/>
      <c r="CS73">
        <v>1784061000000</v>
      </c>
      <c r="CT73">
        <v>80.97</v>
      </c>
      <c r="CV73">
        <v>1784060100000</v>
      </c>
      <c r="CW73">
        <v>61.9</v>
      </c>
      <c r="CY73">
        <v>1784066400000</v>
      </c>
      <c r="CZ73">
        <v>68.87</v>
      </c>
      <c r="DB73">
        <v>1784057400000</v>
      </c>
      <c r="DC73">
        <v>61.25</v>
      </c>
      <c r="DE73">
        <v>1784056500000</v>
      </c>
      <c r="DF73">
        <v>87.4</v>
      </c>
      <c r="DH73">
        <v>1784056500000</v>
      </c>
      <c r="DI73">
        <v>56.25</v>
      </c>
      <c r="DK73">
        <v>1784056500000</v>
      </c>
      <c r="DL73">
        <v>57.46</v>
      </c>
      <c r="DN73">
        <v>1784056500000</v>
      </c>
      <c r="DO73">
        <v>82.52</v>
      </c>
      <c r="DP73" s="6"/>
      <c r="DQ73">
        <v>1784145600000</v>
      </c>
      <c r="DR73">
        <v>64.22</v>
      </c>
      <c r="DT73">
        <v>1784146500000</v>
      </c>
      <c r="DU73">
        <v>65.14</v>
      </c>
      <c r="DW73">
        <v>1784152800000</v>
      </c>
      <c r="DX73">
        <v>104.32</v>
      </c>
      <c r="DZ73">
        <v>1784142900000</v>
      </c>
      <c r="EA73">
        <v>66.77</v>
      </c>
      <c r="EC73">
        <v>1784143800000</v>
      </c>
      <c r="ED73">
        <v>169.15</v>
      </c>
      <c r="EF73">
        <v>1784142900000</v>
      </c>
      <c r="EG73">
        <v>79.14</v>
      </c>
      <c r="EI73">
        <v>1784144700000</v>
      </c>
      <c r="EJ73">
        <v>42.9</v>
      </c>
      <c r="EL73">
        <v>1784142900000</v>
      </c>
      <c r="EM73">
        <v>95.33</v>
      </c>
      <c r="EN73" s="6"/>
    </row>
    <row r="74" spans="1:144">
      <c r="A74">
        <v>1778015700000</v>
      </c>
      <c r="B74">
        <v>105.08</v>
      </c>
      <c r="D74">
        <v>1778011200000</v>
      </c>
      <c r="E74">
        <v>73.8</v>
      </c>
      <c r="G74">
        <v>1778018400000</v>
      </c>
      <c r="H74">
        <v>70.63</v>
      </c>
      <c r="J74">
        <v>1778010300000</v>
      </c>
      <c r="K74">
        <v>75.349999999999994</v>
      </c>
      <c r="M74">
        <v>1778009400000</v>
      </c>
      <c r="N74">
        <v>95.8</v>
      </c>
      <c r="P74">
        <v>1778009400000</v>
      </c>
      <c r="Q74">
        <v>67.599999999999994</v>
      </c>
      <c r="S74">
        <v>1778013900000</v>
      </c>
      <c r="T74">
        <v>90.02</v>
      </c>
      <c r="V74">
        <v>1778010300000</v>
      </c>
      <c r="W74">
        <v>98.13</v>
      </c>
      <c r="X74" s="6"/>
      <c r="Y74">
        <v>1778100300000</v>
      </c>
      <c r="Z74">
        <v>79.900000000000006</v>
      </c>
      <c r="AB74">
        <v>1778095800000</v>
      </c>
      <c r="AC74">
        <v>63.43</v>
      </c>
      <c r="AE74">
        <v>1778107500000</v>
      </c>
      <c r="AF74">
        <v>107.88</v>
      </c>
      <c r="AH74">
        <v>1778097600000</v>
      </c>
      <c r="AI74">
        <v>62.97</v>
      </c>
      <c r="AK74">
        <v>1778095800000</v>
      </c>
      <c r="AL74">
        <v>95.43</v>
      </c>
      <c r="AN74">
        <v>1778095800000</v>
      </c>
      <c r="AO74">
        <v>82.17</v>
      </c>
      <c r="AQ74">
        <v>1778099400000</v>
      </c>
      <c r="AR74">
        <v>79.94</v>
      </c>
      <c r="AT74">
        <v>1778096700000</v>
      </c>
      <c r="AU74">
        <v>77.97</v>
      </c>
      <c r="AV74" s="6"/>
      <c r="AW74">
        <v>1779141600000</v>
      </c>
      <c r="AX74">
        <v>100.74</v>
      </c>
      <c r="AZ74">
        <v>1779135300000</v>
      </c>
      <c r="BA74">
        <v>66.37</v>
      </c>
      <c r="BC74">
        <v>1779146100000</v>
      </c>
      <c r="BD74">
        <v>81.2</v>
      </c>
      <c r="BF74">
        <v>1779136200000</v>
      </c>
      <c r="BG74">
        <v>67.47</v>
      </c>
      <c r="BI74">
        <v>1779135300000</v>
      </c>
      <c r="BJ74">
        <v>94.92</v>
      </c>
      <c r="BL74">
        <v>1779133500000</v>
      </c>
      <c r="BM74">
        <v>58.32</v>
      </c>
      <c r="BO74">
        <v>1779137100000</v>
      </c>
      <c r="BP74">
        <v>78.819999999999993</v>
      </c>
      <c r="BR74">
        <v>1779133500000</v>
      </c>
      <c r="BS74">
        <v>82.8</v>
      </c>
      <c r="BT74" s="6"/>
      <c r="BU74">
        <v>1782249300000</v>
      </c>
      <c r="BV74">
        <v>71.599999999999994</v>
      </c>
      <c r="BX74">
        <v>1782244800000</v>
      </c>
      <c r="BY74">
        <v>71.52</v>
      </c>
      <c r="CA74">
        <v>1782251100000</v>
      </c>
      <c r="CB74">
        <v>36.58</v>
      </c>
      <c r="CD74">
        <v>1782246600000</v>
      </c>
      <c r="CE74">
        <v>29.93</v>
      </c>
      <c r="CG74">
        <v>1782243900000</v>
      </c>
      <c r="CH74">
        <v>84.35</v>
      </c>
      <c r="CJ74">
        <v>1782243900000</v>
      </c>
      <c r="CK74">
        <v>85.6</v>
      </c>
      <c r="CM74">
        <v>1782245700000</v>
      </c>
      <c r="CN74">
        <v>63.07</v>
      </c>
      <c r="CP74">
        <v>1782243000000</v>
      </c>
      <c r="CQ74">
        <v>80.349999999999994</v>
      </c>
      <c r="CR74" s="6"/>
      <c r="CS74">
        <v>1784061900000</v>
      </c>
      <c r="CT74">
        <v>98.3</v>
      </c>
      <c r="CV74">
        <v>1784061000000</v>
      </c>
      <c r="CW74">
        <v>66.099999999999994</v>
      </c>
      <c r="CY74">
        <v>1784067300000</v>
      </c>
      <c r="CZ74">
        <v>106.47</v>
      </c>
      <c r="DB74">
        <v>1784058300000</v>
      </c>
      <c r="DC74">
        <v>65.34</v>
      </c>
      <c r="DE74">
        <v>1784057400000</v>
      </c>
      <c r="DF74">
        <v>102.77</v>
      </c>
      <c r="DH74">
        <v>1784057400000</v>
      </c>
      <c r="DI74">
        <v>74.040000000000006</v>
      </c>
      <c r="DK74">
        <v>1784057400000</v>
      </c>
      <c r="DL74">
        <v>99.78</v>
      </c>
      <c r="DN74">
        <v>1784057400000</v>
      </c>
      <c r="DO74">
        <v>80.03</v>
      </c>
      <c r="DP74" s="6"/>
      <c r="DQ74">
        <v>1784146500000</v>
      </c>
      <c r="DR74">
        <v>88.44</v>
      </c>
      <c r="DT74">
        <v>1784147400000</v>
      </c>
      <c r="DU74">
        <v>65.23</v>
      </c>
      <c r="DW74">
        <v>1784153700000</v>
      </c>
      <c r="DX74">
        <v>118.03</v>
      </c>
      <c r="DZ74">
        <v>1784143800000</v>
      </c>
      <c r="EA74">
        <v>90.9</v>
      </c>
      <c r="EC74">
        <v>1784144700000</v>
      </c>
      <c r="ED74">
        <v>95.78</v>
      </c>
      <c r="EF74">
        <v>1784143800000</v>
      </c>
      <c r="EG74">
        <v>86.45</v>
      </c>
      <c r="EI74">
        <v>1784145600000</v>
      </c>
      <c r="EJ74">
        <v>75.66</v>
      </c>
      <c r="EL74">
        <v>1784143800000</v>
      </c>
      <c r="EM74">
        <v>71.760000000000005</v>
      </c>
      <c r="EN74" s="6"/>
    </row>
    <row r="75" spans="1:144">
      <c r="A75">
        <v>1778016600000</v>
      </c>
      <c r="B75">
        <v>75.02</v>
      </c>
      <c r="D75">
        <v>1778012100000</v>
      </c>
      <c r="E75">
        <v>70.900000000000006</v>
      </c>
      <c r="G75">
        <v>1778019300000</v>
      </c>
      <c r="H75">
        <v>153.6</v>
      </c>
      <c r="J75">
        <v>1778011200000</v>
      </c>
      <c r="K75">
        <v>81.03</v>
      </c>
      <c r="M75">
        <v>1778010300000</v>
      </c>
      <c r="N75">
        <v>103.8</v>
      </c>
      <c r="P75">
        <v>1778010300000</v>
      </c>
      <c r="Q75">
        <v>83.3</v>
      </c>
      <c r="S75">
        <v>1778014800000</v>
      </c>
      <c r="T75">
        <v>85.95</v>
      </c>
      <c r="V75">
        <v>1778011200000</v>
      </c>
      <c r="W75">
        <v>98.72</v>
      </c>
      <c r="X75" s="6"/>
      <c r="Y75">
        <v>1778101200000</v>
      </c>
      <c r="Z75">
        <v>100.98</v>
      </c>
      <c r="AB75">
        <v>1778096700000</v>
      </c>
      <c r="AC75">
        <v>71.23</v>
      </c>
      <c r="AE75">
        <v>1778108400000</v>
      </c>
      <c r="AF75">
        <v>55.3</v>
      </c>
      <c r="AH75">
        <v>1778098500000</v>
      </c>
      <c r="AI75">
        <v>76.569999999999993</v>
      </c>
      <c r="AK75">
        <v>1778096700000</v>
      </c>
      <c r="AL75">
        <v>99.7</v>
      </c>
      <c r="AN75">
        <v>1778096700000</v>
      </c>
      <c r="AO75">
        <v>67.48</v>
      </c>
      <c r="AQ75">
        <v>1778100300000</v>
      </c>
      <c r="AR75">
        <v>76.319999999999993</v>
      </c>
      <c r="AT75">
        <v>1778097600000</v>
      </c>
      <c r="AU75">
        <v>78.540000000000006</v>
      </c>
      <c r="AV75" s="6"/>
      <c r="AW75">
        <v>1779142500000</v>
      </c>
      <c r="AX75">
        <v>110.83</v>
      </c>
      <c r="AZ75">
        <v>1779136200000</v>
      </c>
      <c r="BA75">
        <v>78.02</v>
      </c>
      <c r="BC75">
        <v>1779147000000</v>
      </c>
      <c r="BD75">
        <v>77.400000000000006</v>
      </c>
      <c r="BF75">
        <v>1779137100000</v>
      </c>
      <c r="BG75">
        <v>76.040000000000006</v>
      </c>
      <c r="BI75">
        <v>1779136200000</v>
      </c>
      <c r="BJ75">
        <v>94.75</v>
      </c>
      <c r="BL75">
        <v>1779134400000</v>
      </c>
      <c r="BM75">
        <v>91.1</v>
      </c>
      <c r="BO75">
        <v>1779138000000</v>
      </c>
      <c r="BP75">
        <v>69.8</v>
      </c>
      <c r="BR75">
        <v>1779134400000</v>
      </c>
      <c r="BS75">
        <v>79.040000000000006</v>
      </c>
      <c r="BT75" s="6"/>
      <c r="BU75">
        <v>1782250200000</v>
      </c>
      <c r="BV75">
        <v>103.2</v>
      </c>
      <c r="BX75">
        <v>1782245700000</v>
      </c>
      <c r="BY75">
        <v>77.28</v>
      </c>
      <c r="CA75">
        <v>1782252000000</v>
      </c>
      <c r="CB75">
        <v>52.95</v>
      </c>
      <c r="CD75">
        <v>1782247500000</v>
      </c>
      <c r="CE75">
        <v>68.08</v>
      </c>
      <c r="CG75">
        <v>1782244800000</v>
      </c>
      <c r="CH75">
        <v>89.47</v>
      </c>
      <c r="CJ75">
        <v>1782244800000</v>
      </c>
      <c r="CK75">
        <v>88.22</v>
      </c>
      <c r="CM75">
        <v>1782246600000</v>
      </c>
      <c r="CN75">
        <v>71.2</v>
      </c>
      <c r="CP75">
        <v>1782243900000</v>
      </c>
      <c r="CQ75">
        <v>111.66</v>
      </c>
      <c r="CR75" s="6"/>
      <c r="CS75">
        <v>1784062800000</v>
      </c>
      <c r="CT75">
        <v>104.68</v>
      </c>
      <c r="CV75">
        <v>1784061900000</v>
      </c>
      <c r="CW75">
        <v>80.5</v>
      </c>
      <c r="CY75">
        <v>1784068200000</v>
      </c>
      <c r="CZ75">
        <v>96</v>
      </c>
      <c r="DB75">
        <v>1784059200000</v>
      </c>
      <c r="DC75">
        <v>71.72</v>
      </c>
      <c r="DE75">
        <v>1784058300000</v>
      </c>
      <c r="DF75">
        <v>85.03</v>
      </c>
      <c r="DH75">
        <v>1784058300000</v>
      </c>
      <c r="DI75">
        <v>84.63</v>
      </c>
      <c r="DK75">
        <v>1784058300000</v>
      </c>
      <c r="DL75">
        <v>99.72</v>
      </c>
      <c r="DN75">
        <v>1784058300000</v>
      </c>
      <c r="DO75">
        <v>85.38</v>
      </c>
      <c r="DP75" s="6"/>
      <c r="DQ75">
        <v>1784147400000</v>
      </c>
      <c r="DR75">
        <v>78.64</v>
      </c>
      <c r="DT75">
        <v>1784148300000</v>
      </c>
      <c r="DU75">
        <v>77.2</v>
      </c>
      <c r="DW75">
        <v>1784154600000</v>
      </c>
      <c r="DX75">
        <v>135.4</v>
      </c>
      <c r="DZ75">
        <v>1784144700000</v>
      </c>
      <c r="EA75">
        <v>75.3</v>
      </c>
      <c r="EC75">
        <v>1784145600000</v>
      </c>
      <c r="ED75">
        <v>92.42</v>
      </c>
      <c r="EF75">
        <v>1784144700000</v>
      </c>
      <c r="EG75">
        <v>71.2</v>
      </c>
      <c r="EI75">
        <v>1784146500000</v>
      </c>
      <c r="EJ75">
        <v>79.06</v>
      </c>
      <c r="EL75">
        <v>1784144700000</v>
      </c>
      <c r="EM75">
        <v>81.14</v>
      </c>
      <c r="EN75" s="6"/>
    </row>
    <row r="76" spans="1:144">
      <c r="A76">
        <v>1778017500000</v>
      </c>
      <c r="B76">
        <v>95.2</v>
      </c>
      <c r="D76">
        <v>1778013000000</v>
      </c>
      <c r="E76">
        <v>75.03</v>
      </c>
      <c r="G76">
        <v>1778020200000</v>
      </c>
      <c r="H76">
        <v>72.94</v>
      </c>
      <c r="J76">
        <v>1778012100000</v>
      </c>
      <c r="K76">
        <v>54.57</v>
      </c>
      <c r="M76">
        <v>1778011200000</v>
      </c>
      <c r="N76">
        <v>92.9</v>
      </c>
      <c r="P76">
        <v>1778011200000</v>
      </c>
      <c r="Q76">
        <v>87.43</v>
      </c>
      <c r="S76">
        <v>1778015700000</v>
      </c>
      <c r="T76">
        <v>70.13</v>
      </c>
      <c r="V76">
        <v>1778012100000</v>
      </c>
      <c r="W76">
        <v>77.569999999999993</v>
      </c>
      <c r="X76" s="6"/>
      <c r="Y76">
        <v>1778102100000</v>
      </c>
      <c r="Z76">
        <v>81.72</v>
      </c>
      <c r="AB76">
        <v>1778097600000</v>
      </c>
      <c r="AC76">
        <v>78.22</v>
      </c>
      <c r="AE76">
        <v>1778109300000</v>
      </c>
      <c r="AF76">
        <v>95.2</v>
      </c>
      <c r="AH76">
        <v>1778099400000</v>
      </c>
      <c r="AI76">
        <v>79.02</v>
      </c>
      <c r="AK76">
        <v>1778097600000</v>
      </c>
      <c r="AL76">
        <v>92</v>
      </c>
      <c r="AN76">
        <v>1778097600000</v>
      </c>
      <c r="AO76">
        <v>82.37</v>
      </c>
      <c r="AQ76">
        <v>1778101200000</v>
      </c>
      <c r="AR76">
        <v>90.89</v>
      </c>
      <c r="AT76">
        <v>1778098500000</v>
      </c>
      <c r="AU76">
        <v>89.91</v>
      </c>
      <c r="AV76" s="6"/>
      <c r="AW76">
        <v>1779143400000</v>
      </c>
      <c r="AX76">
        <v>98.14</v>
      </c>
      <c r="AZ76">
        <v>1779137100000</v>
      </c>
      <c r="BA76">
        <v>66.5</v>
      </c>
      <c r="BC76">
        <v>1779147900000</v>
      </c>
      <c r="BD76">
        <v>54.35</v>
      </c>
      <c r="BF76">
        <v>1779138000000</v>
      </c>
      <c r="BG76">
        <v>82.83</v>
      </c>
      <c r="BI76">
        <v>1779137100000</v>
      </c>
      <c r="BJ76">
        <v>93.28</v>
      </c>
      <c r="BL76">
        <v>1779135300000</v>
      </c>
      <c r="BM76">
        <v>74.42</v>
      </c>
      <c r="BO76">
        <v>1779138900000</v>
      </c>
      <c r="BP76">
        <v>84.6</v>
      </c>
      <c r="BR76">
        <v>1779135300000</v>
      </c>
      <c r="BS76">
        <v>85.32</v>
      </c>
      <c r="BT76" s="6"/>
      <c r="BU76">
        <v>1782251100000</v>
      </c>
      <c r="BV76">
        <v>83</v>
      </c>
      <c r="BX76">
        <v>1782246600000</v>
      </c>
      <c r="BY76">
        <v>50.05</v>
      </c>
      <c r="CA76">
        <v>1782253800000</v>
      </c>
      <c r="CB76">
        <v>60.2</v>
      </c>
      <c r="CD76">
        <v>1782248400000</v>
      </c>
      <c r="CE76">
        <v>97.08</v>
      </c>
      <c r="CG76">
        <v>1782245700000</v>
      </c>
      <c r="CH76">
        <v>92.1</v>
      </c>
      <c r="CJ76">
        <v>1782245700000</v>
      </c>
      <c r="CK76">
        <v>85.73</v>
      </c>
      <c r="CM76">
        <v>1782247500000</v>
      </c>
      <c r="CN76">
        <v>90.72</v>
      </c>
      <c r="CP76">
        <v>1782244800000</v>
      </c>
      <c r="CQ76">
        <v>72.12</v>
      </c>
      <c r="CR76" s="6"/>
      <c r="CS76">
        <v>1784063700000</v>
      </c>
      <c r="CT76">
        <v>80.150000000000006</v>
      </c>
      <c r="CV76">
        <v>1784062800000</v>
      </c>
      <c r="CW76">
        <v>68.7</v>
      </c>
      <c r="CY76">
        <v>1784069100000</v>
      </c>
      <c r="CZ76">
        <v>109</v>
      </c>
      <c r="DB76">
        <v>1784060100000</v>
      </c>
      <c r="DC76">
        <v>57.75</v>
      </c>
      <c r="DE76">
        <v>1784059200000</v>
      </c>
      <c r="DF76">
        <v>97.04</v>
      </c>
      <c r="DH76">
        <v>1784059200000</v>
      </c>
      <c r="DI76">
        <v>82</v>
      </c>
      <c r="DK76">
        <v>1784059200000</v>
      </c>
      <c r="DL76">
        <v>52.22</v>
      </c>
      <c r="DN76">
        <v>1784059200000</v>
      </c>
      <c r="DO76">
        <v>87.17</v>
      </c>
      <c r="DP76" s="6"/>
      <c r="DQ76">
        <v>1784148300000</v>
      </c>
      <c r="DR76">
        <v>70.83</v>
      </c>
      <c r="DT76">
        <v>1784149200000</v>
      </c>
      <c r="DU76">
        <v>68.099999999999994</v>
      </c>
      <c r="DW76">
        <v>1784155500000</v>
      </c>
      <c r="DX76">
        <v>80.400000000000006</v>
      </c>
      <c r="DZ76">
        <v>1784145600000</v>
      </c>
      <c r="EA76">
        <v>62.68</v>
      </c>
      <c r="EC76">
        <v>1784146500000</v>
      </c>
      <c r="ED76">
        <v>76.83</v>
      </c>
      <c r="EF76">
        <v>1784145600000</v>
      </c>
      <c r="EG76">
        <v>83.22</v>
      </c>
      <c r="EI76">
        <v>1784147400000</v>
      </c>
      <c r="EJ76">
        <v>99.62</v>
      </c>
      <c r="EL76">
        <v>1784145600000</v>
      </c>
      <c r="EM76">
        <v>87.7</v>
      </c>
      <c r="EN76" s="6"/>
    </row>
    <row r="77" spans="1:144">
      <c r="A77">
        <v>1778018400000</v>
      </c>
      <c r="B77">
        <v>107.76</v>
      </c>
      <c r="D77">
        <v>1778013900000</v>
      </c>
      <c r="E77">
        <v>65.3</v>
      </c>
      <c r="G77">
        <v>1778021100000</v>
      </c>
      <c r="H77">
        <v>98.14</v>
      </c>
      <c r="J77">
        <v>1778013000000</v>
      </c>
      <c r="K77">
        <v>58.82</v>
      </c>
      <c r="M77">
        <v>1778012100000</v>
      </c>
      <c r="N77">
        <v>98.37</v>
      </c>
      <c r="P77">
        <v>1778012100000</v>
      </c>
      <c r="Q77">
        <v>82.36</v>
      </c>
      <c r="S77">
        <v>1778016600000</v>
      </c>
      <c r="T77">
        <v>131.46</v>
      </c>
      <c r="V77">
        <v>1778013000000</v>
      </c>
      <c r="W77">
        <v>82.35</v>
      </c>
      <c r="X77" s="6"/>
      <c r="Y77">
        <v>1778103000000</v>
      </c>
      <c r="Z77">
        <v>95.96</v>
      </c>
      <c r="AB77">
        <v>1778098500000</v>
      </c>
      <c r="AC77">
        <v>59</v>
      </c>
      <c r="AE77">
        <v>1778110200000</v>
      </c>
      <c r="AF77">
        <v>81.87</v>
      </c>
      <c r="AH77">
        <v>1778100300000</v>
      </c>
      <c r="AI77">
        <v>78.95</v>
      </c>
      <c r="AK77">
        <v>1778098500000</v>
      </c>
      <c r="AL77">
        <v>96.68</v>
      </c>
      <c r="AN77">
        <v>1778098500000</v>
      </c>
      <c r="AO77">
        <v>89.43</v>
      </c>
      <c r="AQ77">
        <v>1778102100000</v>
      </c>
      <c r="AR77">
        <v>100</v>
      </c>
      <c r="AT77">
        <v>1778099400000</v>
      </c>
      <c r="AU77">
        <v>85.41</v>
      </c>
      <c r="AV77" s="6"/>
      <c r="AW77">
        <v>1779144300000</v>
      </c>
      <c r="AX77">
        <v>106.7</v>
      </c>
      <c r="AZ77">
        <v>1779138000000</v>
      </c>
      <c r="BA77">
        <v>78.400000000000006</v>
      </c>
      <c r="BC77">
        <v>1779148800000</v>
      </c>
      <c r="BD77">
        <v>92.74</v>
      </c>
      <c r="BF77">
        <v>1779138900000</v>
      </c>
      <c r="BG77">
        <v>61.54</v>
      </c>
      <c r="BI77">
        <v>1779138000000</v>
      </c>
      <c r="BJ77">
        <v>100.8</v>
      </c>
      <c r="BL77">
        <v>1779136200000</v>
      </c>
      <c r="BM77">
        <v>88.03</v>
      </c>
      <c r="BO77">
        <v>1779139800000</v>
      </c>
      <c r="BP77">
        <v>155.65</v>
      </c>
      <c r="BR77">
        <v>1779136200000</v>
      </c>
      <c r="BS77">
        <v>83.75</v>
      </c>
      <c r="BT77" s="6"/>
      <c r="BU77">
        <v>1782252000000</v>
      </c>
      <c r="BV77">
        <v>86.15</v>
      </c>
      <c r="BX77">
        <v>1782247500000</v>
      </c>
      <c r="BY77">
        <v>79.5</v>
      </c>
      <c r="CA77">
        <v>1782254700000</v>
      </c>
      <c r="CB77">
        <v>50.9</v>
      </c>
      <c r="CD77">
        <v>1782249300000</v>
      </c>
      <c r="CE77">
        <v>65.17</v>
      </c>
      <c r="CG77">
        <v>1782246600000</v>
      </c>
      <c r="CH77">
        <v>99.03</v>
      </c>
      <c r="CJ77">
        <v>1782246600000</v>
      </c>
      <c r="CK77">
        <v>87.05</v>
      </c>
      <c r="CM77">
        <v>1782248400000</v>
      </c>
      <c r="CN77">
        <v>123.8</v>
      </c>
      <c r="CP77">
        <v>1782245700000</v>
      </c>
      <c r="CQ77">
        <v>87.78</v>
      </c>
      <c r="CR77" s="6"/>
      <c r="CS77">
        <v>1784064600000</v>
      </c>
      <c r="CT77">
        <v>121.9</v>
      </c>
      <c r="CV77">
        <v>1784063700000</v>
      </c>
      <c r="CW77">
        <v>82.58</v>
      </c>
      <c r="CY77">
        <v>1784070000000</v>
      </c>
      <c r="CZ77">
        <v>63.94</v>
      </c>
      <c r="DB77">
        <v>1784061000000</v>
      </c>
      <c r="DC77">
        <v>47.4</v>
      </c>
      <c r="DE77">
        <v>1784060100000</v>
      </c>
      <c r="DF77">
        <v>95.9</v>
      </c>
      <c r="DH77">
        <v>1784060100000</v>
      </c>
      <c r="DI77">
        <v>87.1</v>
      </c>
      <c r="DK77">
        <v>1784060100000</v>
      </c>
      <c r="DL77">
        <v>85.46</v>
      </c>
      <c r="DN77">
        <v>1784060100000</v>
      </c>
      <c r="DO77">
        <v>78.319999999999993</v>
      </c>
      <c r="DP77" s="6"/>
      <c r="DQ77">
        <v>1784149200000</v>
      </c>
      <c r="DR77">
        <v>92.46</v>
      </c>
      <c r="DT77">
        <v>1784150100000</v>
      </c>
      <c r="DU77">
        <v>84.47</v>
      </c>
      <c r="DW77">
        <v>1784156400000</v>
      </c>
      <c r="DX77">
        <v>75.84</v>
      </c>
      <c r="DZ77">
        <v>1784146500000</v>
      </c>
      <c r="EA77">
        <v>51.38</v>
      </c>
      <c r="EC77">
        <v>1784147400000</v>
      </c>
      <c r="ED77">
        <v>103.9</v>
      </c>
      <c r="EF77">
        <v>1784146500000</v>
      </c>
      <c r="EG77">
        <v>85.8</v>
      </c>
      <c r="EI77">
        <v>1784148300000</v>
      </c>
      <c r="EJ77">
        <v>68.16</v>
      </c>
      <c r="EL77">
        <v>1784146500000</v>
      </c>
      <c r="EM77">
        <v>81.099999999999994</v>
      </c>
      <c r="EN77" s="6"/>
    </row>
    <row r="78" spans="1:144">
      <c r="A78">
        <v>1778019300000</v>
      </c>
      <c r="B78">
        <v>106.72</v>
      </c>
      <c r="D78">
        <v>1778014800000</v>
      </c>
      <c r="E78">
        <v>78.55</v>
      </c>
      <c r="G78">
        <v>1778022000000</v>
      </c>
      <c r="H78">
        <v>74.47</v>
      </c>
      <c r="J78">
        <v>1778013900000</v>
      </c>
      <c r="K78">
        <v>81.099999999999994</v>
      </c>
      <c r="M78">
        <v>1778013000000</v>
      </c>
      <c r="N78">
        <v>99.97</v>
      </c>
      <c r="P78">
        <v>1778013000000</v>
      </c>
      <c r="Q78">
        <v>85.1</v>
      </c>
      <c r="S78">
        <v>1778017500000</v>
      </c>
      <c r="T78">
        <v>69.040000000000006</v>
      </c>
      <c r="V78">
        <v>1778013900000</v>
      </c>
      <c r="W78">
        <v>73.45</v>
      </c>
      <c r="X78" s="6"/>
      <c r="Y78">
        <v>1778103900000</v>
      </c>
      <c r="Z78">
        <v>113.86</v>
      </c>
      <c r="AB78">
        <v>1778099400000</v>
      </c>
      <c r="AC78">
        <v>68.8</v>
      </c>
      <c r="AE78">
        <v>1778111100000</v>
      </c>
      <c r="AF78">
        <v>111.32</v>
      </c>
      <c r="AH78">
        <v>1778101200000</v>
      </c>
      <c r="AI78">
        <v>75.97</v>
      </c>
      <c r="AK78">
        <v>1778099400000</v>
      </c>
      <c r="AL78">
        <v>99.48</v>
      </c>
      <c r="AN78">
        <v>1778099400000</v>
      </c>
      <c r="AO78">
        <v>0.7</v>
      </c>
      <c r="AQ78">
        <v>1778103000000</v>
      </c>
      <c r="AR78">
        <v>124.58</v>
      </c>
      <c r="AT78">
        <v>1778100300000</v>
      </c>
      <c r="AU78">
        <v>85.88</v>
      </c>
      <c r="AV78" s="6"/>
      <c r="AW78">
        <v>1779145200000</v>
      </c>
      <c r="AX78">
        <v>100.3</v>
      </c>
      <c r="AZ78">
        <v>1779138900000</v>
      </c>
      <c r="BA78">
        <v>83.57</v>
      </c>
      <c r="BC78">
        <v>1779149700000</v>
      </c>
      <c r="BD78">
        <v>54.14</v>
      </c>
      <c r="BF78">
        <v>1779139800000</v>
      </c>
      <c r="BG78">
        <v>115.1</v>
      </c>
      <c r="BI78">
        <v>1779138900000</v>
      </c>
      <c r="BJ78">
        <v>124.13</v>
      </c>
      <c r="BL78">
        <v>1779137100000</v>
      </c>
      <c r="BM78">
        <v>70.8</v>
      </c>
      <c r="BO78">
        <v>1779140700000</v>
      </c>
      <c r="BP78">
        <v>137.07</v>
      </c>
      <c r="BR78">
        <v>1779137100000</v>
      </c>
      <c r="BS78">
        <v>76.22</v>
      </c>
      <c r="BT78" s="6"/>
      <c r="BU78">
        <v>1782252900000</v>
      </c>
      <c r="BV78">
        <v>90.48</v>
      </c>
      <c r="BX78">
        <v>1782248400000</v>
      </c>
      <c r="BY78">
        <v>81</v>
      </c>
      <c r="CA78">
        <v>1782255600000</v>
      </c>
      <c r="CB78">
        <v>106.92</v>
      </c>
      <c r="CD78">
        <v>1782250200000</v>
      </c>
      <c r="CE78">
        <v>63.1</v>
      </c>
      <c r="CG78">
        <v>1782247500000</v>
      </c>
      <c r="CH78">
        <v>92.53</v>
      </c>
      <c r="CJ78">
        <v>1782247500000</v>
      </c>
      <c r="CK78">
        <v>76.099999999999994</v>
      </c>
      <c r="CM78">
        <v>1782249300000</v>
      </c>
      <c r="CN78">
        <v>70.22</v>
      </c>
      <c r="CP78">
        <v>1782246600000</v>
      </c>
      <c r="CQ78">
        <v>65</v>
      </c>
      <c r="CR78" s="6"/>
      <c r="CS78">
        <v>1784065500000</v>
      </c>
      <c r="CT78">
        <v>108.78</v>
      </c>
      <c r="CV78">
        <v>1784064600000</v>
      </c>
      <c r="CW78">
        <v>84.2</v>
      </c>
      <c r="CY78">
        <v>1784070900000</v>
      </c>
      <c r="CZ78">
        <v>84.2</v>
      </c>
      <c r="DB78">
        <v>1784061900000</v>
      </c>
      <c r="DC78">
        <v>70.33</v>
      </c>
      <c r="DE78">
        <v>1784061000000</v>
      </c>
      <c r="DF78">
        <v>96.3</v>
      </c>
      <c r="DH78">
        <v>1784061000000</v>
      </c>
      <c r="DI78">
        <v>87.97</v>
      </c>
      <c r="DK78">
        <v>1784061000000</v>
      </c>
      <c r="DL78">
        <v>75.36</v>
      </c>
      <c r="DN78">
        <v>1784061000000</v>
      </c>
      <c r="DO78">
        <v>81.22</v>
      </c>
      <c r="DP78" s="6"/>
      <c r="DQ78">
        <v>1784150100000</v>
      </c>
      <c r="DR78">
        <v>95.48</v>
      </c>
      <c r="DT78">
        <v>1784151000000</v>
      </c>
      <c r="DU78">
        <v>89.35</v>
      </c>
      <c r="DW78">
        <v>1784157300000</v>
      </c>
      <c r="DX78">
        <v>121.15</v>
      </c>
      <c r="DZ78">
        <v>1784147400000</v>
      </c>
      <c r="EA78">
        <v>59.62</v>
      </c>
      <c r="EC78">
        <v>1784148300000</v>
      </c>
      <c r="ED78">
        <v>97.43</v>
      </c>
      <c r="EF78">
        <v>1784147400000</v>
      </c>
      <c r="EG78">
        <v>88.97</v>
      </c>
      <c r="EI78">
        <v>1784149200000</v>
      </c>
      <c r="EJ78">
        <v>85.63</v>
      </c>
      <c r="EL78">
        <v>1784147400000</v>
      </c>
      <c r="EM78">
        <v>83.27</v>
      </c>
      <c r="EN78" s="6"/>
    </row>
    <row r="79" spans="1:144">
      <c r="A79">
        <v>1778020200000</v>
      </c>
      <c r="B79">
        <v>107.78</v>
      </c>
      <c r="D79">
        <v>1778015700000</v>
      </c>
      <c r="E79">
        <v>91.9</v>
      </c>
      <c r="G79">
        <v>1778022900000</v>
      </c>
      <c r="H79">
        <v>80.650000000000006</v>
      </c>
      <c r="J79">
        <v>1778014800000</v>
      </c>
      <c r="K79">
        <v>77.98</v>
      </c>
      <c r="M79">
        <v>1778013900000</v>
      </c>
      <c r="N79">
        <v>103.8</v>
      </c>
      <c r="P79">
        <v>1778013900000</v>
      </c>
      <c r="Q79">
        <v>88.97</v>
      </c>
      <c r="S79">
        <v>1778018400000</v>
      </c>
      <c r="T79">
        <v>113.53</v>
      </c>
      <c r="V79">
        <v>1778014800000</v>
      </c>
      <c r="W79">
        <v>78.38</v>
      </c>
      <c r="X79" s="6"/>
      <c r="Y79">
        <v>1778104800000</v>
      </c>
      <c r="Z79">
        <v>117.08</v>
      </c>
      <c r="AB79">
        <v>1778100300000</v>
      </c>
      <c r="AC79">
        <v>70.599999999999994</v>
      </c>
      <c r="AE79">
        <v>1778112000000</v>
      </c>
      <c r="AF79">
        <v>60.14</v>
      </c>
      <c r="AH79">
        <v>1778102100000</v>
      </c>
      <c r="AI79">
        <v>94.25</v>
      </c>
      <c r="AK79">
        <v>1778100300000</v>
      </c>
      <c r="AL79">
        <v>96.22</v>
      </c>
      <c r="AN79">
        <v>1778100300000</v>
      </c>
      <c r="AO79">
        <v>3.3</v>
      </c>
      <c r="AQ79">
        <v>1778103900000</v>
      </c>
      <c r="AR79">
        <v>94.75</v>
      </c>
      <c r="AT79">
        <v>1778101200000</v>
      </c>
      <c r="AU79">
        <v>85.67</v>
      </c>
      <c r="AV79" s="6"/>
      <c r="AW79">
        <v>1779146100000</v>
      </c>
      <c r="AX79">
        <v>87.2</v>
      </c>
      <c r="AZ79">
        <v>1779139800000</v>
      </c>
      <c r="BA79">
        <v>98.2</v>
      </c>
      <c r="BC79">
        <v>1779150600000</v>
      </c>
      <c r="BD79">
        <v>91.47</v>
      </c>
      <c r="BF79">
        <v>1779140700000</v>
      </c>
      <c r="BG79">
        <v>83.3</v>
      </c>
      <c r="BI79">
        <v>1779139800000</v>
      </c>
      <c r="BJ79">
        <v>111.2</v>
      </c>
      <c r="BL79">
        <v>1779138000000</v>
      </c>
      <c r="BM79">
        <v>79.2</v>
      </c>
      <c r="BO79">
        <v>1779141600000</v>
      </c>
      <c r="BP79">
        <v>127.5</v>
      </c>
      <c r="BR79">
        <v>1779138000000</v>
      </c>
      <c r="BS79">
        <v>78.08</v>
      </c>
      <c r="BT79" s="6"/>
      <c r="BU79">
        <v>1782253800000</v>
      </c>
      <c r="BV79">
        <v>100.08</v>
      </c>
      <c r="BX79">
        <v>1782249300000</v>
      </c>
      <c r="BY79">
        <v>92.1</v>
      </c>
      <c r="CA79">
        <v>1782256500000</v>
      </c>
      <c r="CB79">
        <v>106.42</v>
      </c>
      <c r="CD79">
        <v>1782251100000</v>
      </c>
      <c r="CE79">
        <v>80.430000000000007</v>
      </c>
      <c r="CG79">
        <v>1782248400000</v>
      </c>
      <c r="CH79">
        <v>97.2</v>
      </c>
      <c r="CJ79">
        <v>1782248400000</v>
      </c>
      <c r="CK79">
        <v>89.05</v>
      </c>
      <c r="CM79">
        <v>1782250200000</v>
      </c>
      <c r="CN79">
        <v>109.35</v>
      </c>
      <c r="CP79">
        <v>1782247500000</v>
      </c>
      <c r="CQ79">
        <v>88.5</v>
      </c>
      <c r="CR79" s="6"/>
      <c r="CS79">
        <v>1784066400000</v>
      </c>
      <c r="CT79">
        <v>104.94</v>
      </c>
      <c r="CV79">
        <v>1784065500000</v>
      </c>
      <c r="CW79">
        <v>89.73</v>
      </c>
      <c r="CY79">
        <v>1784071800000</v>
      </c>
      <c r="CZ79">
        <v>118.55</v>
      </c>
      <c r="DB79">
        <v>1784062800000</v>
      </c>
      <c r="DC79">
        <v>79.400000000000006</v>
      </c>
      <c r="DE79">
        <v>1784061900000</v>
      </c>
      <c r="DF79">
        <v>95.7</v>
      </c>
      <c r="DH79">
        <v>1784061900000</v>
      </c>
      <c r="DI79">
        <v>77.599999999999994</v>
      </c>
      <c r="DK79">
        <v>1784061900000</v>
      </c>
      <c r="DL79">
        <v>86.78</v>
      </c>
      <c r="DN79">
        <v>1784061900000</v>
      </c>
      <c r="DO79">
        <v>51.23</v>
      </c>
      <c r="DP79" s="6"/>
      <c r="DQ79">
        <v>1784151000000</v>
      </c>
      <c r="DR79">
        <v>120.2</v>
      </c>
      <c r="DT79">
        <v>1784151900000</v>
      </c>
      <c r="DU79">
        <v>84.73</v>
      </c>
      <c r="DW79">
        <v>1784158200000</v>
      </c>
      <c r="DX79">
        <v>103.06</v>
      </c>
      <c r="DZ79">
        <v>1784148300000</v>
      </c>
      <c r="EA79">
        <v>66.52</v>
      </c>
      <c r="EC79">
        <v>1784149200000</v>
      </c>
      <c r="ED79">
        <v>88.7</v>
      </c>
      <c r="EF79">
        <v>1784148300000</v>
      </c>
      <c r="EG79">
        <v>87.2</v>
      </c>
      <c r="EI79">
        <v>1784150100000</v>
      </c>
      <c r="EJ79">
        <v>61.65</v>
      </c>
      <c r="EL79">
        <v>1784148300000</v>
      </c>
      <c r="EM79">
        <v>85.32</v>
      </c>
      <c r="EN79" s="6"/>
    </row>
    <row r="80" spans="1:144">
      <c r="A80">
        <v>1778021100000</v>
      </c>
      <c r="B80">
        <v>109.22</v>
      </c>
      <c r="D80">
        <v>1778017500000</v>
      </c>
      <c r="E80">
        <v>65.900000000000006</v>
      </c>
      <c r="G80">
        <v>1778023800000</v>
      </c>
      <c r="H80">
        <v>68.77</v>
      </c>
      <c r="J80">
        <v>1778015700000</v>
      </c>
      <c r="K80">
        <v>72.94</v>
      </c>
      <c r="M80">
        <v>1778014800000</v>
      </c>
      <c r="N80">
        <v>97.83</v>
      </c>
      <c r="P80">
        <v>1778014800000</v>
      </c>
      <c r="Q80">
        <v>88.67</v>
      </c>
      <c r="S80">
        <v>1778019300000</v>
      </c>
      <c r="T80">
        <v>129.4</v>
      </c>
      <c r="V80">
        <v>1778015700000</v>
      </c>
      <c r="W80">
        <v>64.63</v>
      </c>
      <c r="X80" s="6"/>
      <c r="Y80">
        <v>1778105700000</v>
      </c>
      <c r="Z80">
        <v>115.64</v>
      </c>
      <c r="AB80">
        <v>1778101200000</v>
      </c>
      <c r="AC80">
        <v>75.37</v>
      </c>
      <c r="AE80">
        <v>1778112900000</v>
      </c>
      <c r="AF80">
        <v>67.72</v>
      </c>
      <c r="AH80">
        <v>1778103000000</v>
      </c>
      <c r="AI80">
        <v>86.35</v>
      </c>
      <c r="AK80">
        <v>1778101200000</v>
      </c>
      <c r="AL80">
        <v>98.77</v>
      </c>
      <c r="AN80">
        <v>1778101200000</v>
      </c>
      <c r="AO80">
        <v>89.07</v>
      </c>
      <c r="AQ80">
        <v>1778104800000</v>
      </c>
      <c r="AR80">
        <v>94.76</v>
      </c>
      <c r="AT80">
        <v>1778102100000</v>
      </c>
      <c r="AU80">
        <v>92.52</v>
      </c>
      <c r="AV80" s="6"/>
      <c r="AW80">
        <v>1779147000000</v>
      </c>
      <c r="AX80">
        <v>90.66</v>
      </c>
      <c r="AZ80">
        <v>1779141600000</v>
      </c>
      <c r="BA80">
        <v>89.4</v>
      </c>
      <c r="BC80">
        <v>1779151500000</v>
      </c>
      <c r="BD80">
        <v>65.38</v>
      </c>
      <c r="BF80">
        <v>1779141600000</v>
      </c>
      <c r="BG80">
        <v>93.04</v>
      </c>
      <c r="BI80">
        <v>1779140700000</v>
      </c>
      <c r="BJ80">
        <v>114.53</v>
      </c>
      <c r="BL80">
        <v>1779138900000</v>
      </c>
      <c r="BM80">
        <v>81.849999999999994</v>
      </c>
      <c r="BO80">
        <v>1779142500000</v>
      </c>
      <c r="BP80">
        <v>62.9</v>
      </c>
      <c r="BR80">
        <v>1779138900000</v>
      </c>
      <c r="BS80">
        <v>98.53</v>
      </c>
      <c r="BT80" s="6"/>
      <c r="BU80">
        <v>1782254700000</v>
      </c>
      <c r="BV80">
        <v>112.6</v>
      </c>
      <c r="BX80">
        <v>1782250200000</v>
      </c>
      <c r="BY80">
        <v>87.97</v>
      </c>
      <c r="CA80">
        <v>1782257400000</v>
      </c>
      <c r="CB80">
        <v>99.02</v>
      </c>
      <c r="CD80">
        <v>1782252000000</v>
      </c>
      <c r="CE80">
        <v>84.17</v>
      </c>
      <c r="CG80">
        <v>1782250200000</v>
      </c>
      <c r="CH80">
        <v>110.7</v>
      </c>
      <c r="CJ80">
        <v>1782249300000</v>
      </c>
      <c r="CK80">
        <v>65.94</v>
      </c>
      <c r="CM80">
        <v>1782251100000</v>
      </c>
      <c r="CN80">
        <v>100.02</v>
      </c>
      <c r="CP80">
        <v>1782248400000</v>
      </c>
      <c r="CQ80">
        <v>85.75</v>
      </c>
      <c r="CR80" s="6"/>
      <c r="CS80">
        <v>1784067300000</v>
      </c>
      <c r="CT80">
        <v>81</v>
      </c>
      <c r="CV80">
        <v>1784066400000</v>
      </c>
      <c r="CW80">
        <v>87.8</v>
      </c>
      <c r="CY80">
        <v>1784072700000</v>
      </c>
      <c r="CZ80">
        <v>106.93</v>
      </c>
      <c r="DB80">
        <v>1784063700000</v>
      </c>
      <c r="DC80">
        <v>53.95</v>
      </c>
      <c r="DE80">
        <v>1784062800000</v>
      </c>
      <c r="DF80">
        <v>91.07</v>
      </c>
      <c r="DH80">
        <v>1784063700000</v>
      </c>
      <c r="DI80">
        <v>86.1</v>
      </c>
      <c r="DK80">
        <v>1784062800000</v>
      </c>
      <c r="DL80">
        <v>97.13</v>
      </c>
      <c r="DN80">
        <v>1784062800000</v>
      </c>
      <c r="DO80">
        <v>81.430000000000007</v>
      </c>
      <c r="DP80" s="6"/>
      <c r="DQ80">
        <v>1784151900000</v>
      </c>
      <c r="DR80">
        <v>102.06</v>
      </c>
      <c r="DT80">
        <v>1784152800000</v>
      </c>
      <c r="DU80">
        <v>82.4</v>
      </c>
      <c r="DW80">
        <v>1784159100000</v>
      </c>
      <c r="DX80">
        <v>87.3</v>
      </c>
      <c r="DZ80">
        <v>1784149200000</v>
      </c>
      <c r="EA80">
        <v>70.97</v>
      </c>
      <c r="EC80">
        <v>1784150100000</v>
      </c>
      <c r="ED80">
        <v>119.42</v>
      </c>
      <c r="EF80">
        <v>1784149200000</v>
      </c>
      <c r="EG80">
        <v>75.150000000000006</v>
      </c>
      <c r="EI80">
        <v>1784151000000</v>
      </c>
      <c r="EJ80">
        <v>100.28</v>
      </c>
      <c r="EL80">
        <v>1784149200000</v>
      </c>
      <c r="EM80">
        <v>92.48</v>
      </c>
      <c r="EN80" s="6"/>
    </row>
    <row r="81" spans="1:144">
      <c r="A81">
        <v>1778022000000</v>
      </c>
      <c r="B81">
        <v>91.56</v>
      </c>
      <c r="D81">
        <v>1778018400000</v>
      </c>
      <c r="E81">
        <v>93.5</v>
      </c>
      <c r="G81">
        <v>1778024700000</v>
      </c>
      <c r="H81">
        <v>107.22</v>
      </c>
      <c r="J81">
        <v>1778016600000</v>
      </c>
      <c r="K81">
        <v>89.94</v>
      </c>
      <c r="M81">
        <v>1778015700000</v>
      </c>
      <c r="N81">
        <v>85.5</v>
      </c>
      <c r="P81">
        <v>1778015700000</v>
      </c>
      <c r="Q81">
        <v>67</v>
      </c>
      <c r="S81">
        <v>1778020200000</v>
      </c>
      <c r="T81">
        <v>123.78</v>
      </c>
      <c r="V81">
        <v>1778016600000</v>
      </c>
      <c r="W81">
        <v>89.5</v>
      </c>
      <c r="X81" s="6"/>
      <c r="Y81">
        <v>1778106600000</v>
      </c>
      <c r="Z81">
        <v>103.44</v>
      </c>
      <c r="AB81">
        <v>1778102100000</v>
      </c>
      <c r="AC81">
        <v>90.85</v>
      </c>
      <c r="AE81">
        <v>1778113800000</v>
      </c>
      <c r="AF81">
        <v>107.18</v>
      </c>
      <c r="AH81">
        <v>1778103900000</v>
      </c>
      <c r="AI81">
        <v>69.92</v>
      </c>
      <c r="AK81">
        <v>1778102100000</v>
      </c>
      <c r="AL81">
        <v>110.5</v>
      </c>
      <c r="AN81">
        <v>1778102100000</v>
      </c>
      <c r="AO81">
        <v>85.55</v>
      </c>
      <c r="AQ81">
        <v>1778105700000</v>
      </c>
      <c r="AR81">
        <v>102.25</v>
      </c>
      <c r="AT81">
        <v>1778103000000</v>
      </c>
      <c r="AU81">
        <v>97.58</v>
      </c>
      <c r="AV81" s="6"/>
      <c r="AW81">
        <v>1779147900000</v>
      </c>
      <c r="AX81">
        <v>111.5</v>
      </c>
      <c r="AZ81">
        <v>1779142500000</v>
      </c>
      <c r="BA81">
        <v>90.8</v>
      </c>
      <c r="BC81">
        <v>1779152400000</v>
      </c>
      <c r="BD81">
        <v>107.85</v>
      </c>
      <c r="BF81">
        <v>1779142500000</v>
      </c>
      <c r="BG81">
        <v>98.2</v>
      </c>
      <c r="BI81">
        <v>1779141600000</v>
      </c>
      <c r="BJ81">
        <v>112.9</v>
      </c>
      <c r="BL81">
        <v>1779139800000</v>
      </c>
      <c r="BM81">
        <v>82.75</v>
      </c>
      <c r="BO81">
        <v>1779143400000</v>
      </c>
      <c r="BP81">
        <v>72.150000000000006</v>
      </c>
      <c r="BR81">
        <v>1779139800000</v>
      </c>
      <c r="BS81">
        <v>96.63</v>
      </c>
      <c r="BT81" s="6"/>
      <c r="BU81">
        <v>1782255600000</v>
      </c>
      <c r="BV81">
        <v>94.2</v>
      </c>
      <c r="BX81">
        <v>1782251100000</v>
      </c>
      <c r="BY81">
        <v>92.35</v>
      </c>
      <c r="CA81">
        <v>1782258300000</v>
      </c>
      <c r="CB81">
        <v>95.78</v>
      </c>
      <c r="CD81">
        <v>1782252900000</v>
      </c>
      <c r="CE81">
        <v>89.12</v>
      </c>
      <c r="CG81">
        <v>1782251100000</v>
      </c>
      <c r="CH81">
        <v>151.19999999999999</v>
      </c>
      <c r="CJ81">
        <v>1782250200000</v>
      </c>
      <c r="CK81">
        <v>85.95</v>
      </c>
      <c r="CM81">
        <v>1782252000000</v>
      </c>
      <c r="CN81">
        <v>98.78</v>
      </c>
      <c r="CP81">
        <v>1782249300000</v>
      </c>
      <c r="CQ81">
        <v>71</v>
      </c>
      <c r="CR81" s="6"/>
      <c r="CS81">
        <v>1784068200000</v>
      </c>
      <c r="CT81">
        <v>113</v>
      </c>
      <c r="CV81">
        <v>1784067300000</v>
      </c>
      <c r="CW81">
        <v>84.05</v>
      </c>
      <c r="CY81">
        <v>1784073600000</v>
      </c>
      <c r="CZ81">
        <v>96.85</v>
      </c>
      <c r="DB81">
        <v>1784064600000</v>
      </c>
      <c r="DC81">
        <v>71.599999999999994</v>
      </c>
      <c r="DE81">
        <v>1784063700000</v>
      </c>
      <c r="DF81">
        <v>110.75</v>
      </c>
      <c r="DH81">
        <v>1784064600000</v>
      </c>
      <c r="DI81">
        <v>86.4</v>
      </c>
      <c r="DK81">
        <v>1784063700000</v>
      </c>
      <c r="DL81">
        <v>107.63</v>
      </c>
      <c r="DN81">
        <v>1784063700000</v>
      </c>
      <c r="DO81">
        <v>95.73</v>
      </c>
      <c r="DP81" s="6"/>
      <c r="DQ81">
        <v>1784152800000</v>
      </c>
      <c r="DR81">
        <v>93.48</v>
      </c>
      <c r="DT81">
        <v>1784153700000</v>
      </c>
      <c r="DU81">
        <v>83.7</v>
      </c>
      <c r="DW81">
        <v>1784160000000</v>
      </c>
      <c r="DX81">
        <v>75.2</v>
      </c>
      <c r="DZ81">
        <v>1784150100000</v>
      </c>
      <c r="EA81">
        <v>71.540000000000006</v>
      </c>
      <c r="EC81">
        <v>1784151000000</v>
      </c>
      <c r="ED81">
        <v>114.85</v>
      </c>
      <c r="EF81">
        <v>1784150100000</v>
      </c>
      <c r="EG81">
        <v>85.35</v>
      </c>
      <c r="EI81">
        <v>1784151900000</v>
      </c>
      <c r="EJ81">
        <v>84.64</v>
      </c>
      <c r="EL81">
        <v>1784150100000</v>
      </c>
      <c r="EM81">
        <v>98.9</v>
      </c>
      <c r="EN81" s="6"/>
    </row>
    <row r="82" spans="1:144">
      <c r="A82">
        <v>1778022900000</v>
      </c>
      <c r="B82">
        <v>96.2</v>
      </c>
      <c r="D82">
        <v>1778019300000</v>
      </c>
      <c r="E82">
        <v>55</v>
      </c>
      <c r="G82">
        <v>1778025600000</v>
      </c>
      <c r="H82">
        <v>69.23</v>
      </c>
      <c r="J82">
        <v>1778017500000</v>
      </c>
      <c r="K82">
        <v>71.23</v>
      </c>
      <c r="M82">
        <v>1778016600000</v>
      </c>
      <c r="N82">
        <v>114.08</v>
      </c>
      <c r="P82">
        <v>1778016600000</v>
      </c>
      <c r="Q82">
        <v>93.2</v>
      </c>
      <c r="S82">
        <v>1778021100000</v>
      </c>
      <c r="T82">
        <v>79.349999999999994</v>
      </c>
      <c r="V82">
        <v>1778017500000</v>
      </c>
      <c r="W82">
        <v>128.9</v>
      </c>
      <c r="X82" s="6"/>
      <c r="Y82">
        <v>1778107500000</v>
      </c>
      <c r="Z82">
        <v>112.87</v>
      </c>
      <c r="AB82">
        <v>1778103000000</v>
      </c>
      <c r="AC82">
        <v>88.7</v>
      </c>
      <c r="AE82">
        <v>1778114700000</v>
      </c>
      <c r="AF82">
        <v>119.6</v>
      </c>
      <c r="AH82">
        <v>1778104800000</v>
      </c>
      <c r="AI82">
        <v>95.45</v>
      </c>
      <c r="AK82">
        <v>1778103000000</v>
      </c>
      <c r="AL82">
        <v>113.2</v>
      </c>
      <c r="AN82">
        <v>1778103000000</v>
      </c>
      <c r="AO82">
        <v>94.97</v>
      </c>
      <c r="AQ82">
        <v>1778106600000</v>
      </c>
      <c r="AR82">
        <v>95.6</v>
      </c>
      <c r="AT82">
        <v>1778103900000</v>
      </c>
      <c r="AU82">
        <v>95.58</v>
      </c>
      <c r="AV82" s="6"/>
      <c r="AW82">
        <v>1779148800000</v>
      </c>
      <c r="AX82">
        <v>103.7</v>
      </c>
      <c r="AZ82">
        <v>1779143400000</v>
      </c>
      <c r="BA82">
        <v>90.5</v>
      </c>
      <c r="BC82">
        <v>1779153300000</v>
      </c>
      <c r="BD82">
        <v>63.08</v>
      </c>
      <c r="BF82">
        <v>1779143400000</v>
      </c>
      <c r="BG82">
        <v>73.400000000000006</v>
      </c>
      <c r="BI82">
        <v>1779142500000</v>
      </c>
      <c r="BJ82">
        <v>114.84</v>
      </c>
      <c r="BL82">
        <v>1779140700000</v>
      </c>
      <c r="BM82">
        <v>88.47</v>
      </c>
      <c r="BO82">
        <v>1779144300000</v>
      </c>
      <c r="BP82">
        <v>22.13</v>
      </c>
      <c r="BR82">
        <v>1779140700000</v>
      </c>
      <c r="BS82">
        <v>98.5</v>
      </c>
      <c r="BT82" s="6"/>
      <c r="BU82">
        <v>1782256500000</v>
      </c>
      <c r="BV82">
        <v>99.75</v>
      </c>
      <c r="BX82">
        <v>1782252000000</v>
      </c>
      <c r="BY82">
        <v>91.05</v>
      </c>
      <c r="CA82">
        <v>1782259200000</v>
      </c>
      <c r="CB82">
        <v>114.83</v>
      </c>
      <c r="CD82">
        <v>1782253800000</v>
      </c>
      <c r="CE82">
        <v>83.6</v>
      </c>
      <c r="CG82">
        <v>1782252000000</v>
      </c>
      <c r="CH82">
        <v>113.07</v>
      </c>
      <c r="CJ82">
        <v>1782251100000</v>
      </c>
      <c r="CK82">
        <v>93.57</v>
      </c>
      <c r="CM82">
        <v>1782252900000</v>
      </c>
      <c r="CN82">
        <v>114.47</v>
      </c>
      <c r="CP82">
        <v>1782250200000</v>
      </c>
      <c r="CQ82">
        <v>95.27</v>
      </c>
      <c r="CR82" s="6"/>
      <c r="CS82">
        <v>1784069100000</v>
      </c>
      <c r="CT82">
        <v>103.2</v>
      </c>
      <c r="CV82">
        <v>1784068200000</v>
      </c>
      <c r="CW82">
        <v>81.77</v>
      </c>
      <c r="CY82">
        <v>1784074500000</v>
      </c>
      <c r="CZ82">
        <v>107.66</v>
      </c>
      <c r="DB82">
        <v>1784065500000</v>
      </c>
      <c r="DC82">
        <v>91.14</v>
      </c>
      <c r="DE82">
        <v>1784064600000</v>
      </c>
      <c r="DF82">
        <v>104.53</v>
      </c>
      <c r="DH82">
        <v>1784065500000</v>
      </c>
      <c r="DI82">
        <v>82.5</v>
      </c>
      <c r="DK82">
        <v>1784064600000</v>
      </c>
      <c r="DL82">
        <v>111.3</v>
      </c>
      <c r="DN82">
        <v>1784064600000</v>
      </c>
      <c r="DO82">
        <v>93</v>
      </c>
      <c r="DP82" s="6"/>
      <c r="DQ82">
        <v>1784153700000</v>
      </c>
      <c r="DR82">
        <v>104.75</v>
      </c>
      <c r="DT82">
        <v>1784154600000</v>
      </c>
      <c r="DU82">
        <v>87</v>
      </c>
      <c r="DW82">
        <v>1784160900000</v>
      </c>
      <c r="DX82">
        <v>88.5</v>
      </c>
      <c r="DZ82">
        <v>1784151000000</v>
      </c>
      <c r="EA82">
        <v>74.72</v>
      </c>
      <c r="EC82">
        <v>1784151900000</v>
      </c>
      <c r="ED82">
        <v>189.45</v>
      </c>
      <c r="EF82">
        <v>1784151000000</v>
      </c>
      <c r="EG82">
        <v>89.17</v>
      </c>
      <c r="EI82">
        <v>1784152800000</v>
      </c>
      <c r="EJ82">
        <v>81.27</v>
      </c>
      <c r="EL82">
        <v>1784151000000</v>
      </c>
      <c r="EM82">
        <v>86.56</v>
      </c>
      <c r="EN82" s="6"/>
    </row>
    <row r="83" spans="1:144">
      <c r="A83">
        <v>1778023800000</v>
      </c>
      <c r="B83">
        <v>94.17</v>
      </c>
      <c r="D83">
        <v>1778020200000</v>
      </c>
      <c r="E83">
        <v>92.45</v>
      </c>
      <c r="G83">
        <v>1778026500000</v>
      </c>
      <c r="H83">
        <v>95.85</v>
      </c>
      <c r="J83">
        <v>1778018400000</v>
      </c>
      <c r="K83">
        <v>93.05</v>
      </c>
      <c r="M83">
        <v>1778017500000</v>
      </c>
      <c r="N83">
        <v>114.38</v>
      </c>
      <c r="P83">
        <v>1778017500000</v>
      </c>
      <c r="Q83">
        <v>92.65</v>
      </c>
      <c r="S83">
        <v>1778022000000</v>
      </c>
      <c r="T83">
        <v>131.38</v>
      </c>
      <c r="V83">
        <v>1778018400000</v>
      </c>
      <c r="W83">
        <v>96.7</v>
      </c>
      <c r="X83" s="6"/>
      <c r="Y83">
        <v>1778108400000</v>
      </c>
      <c r="Z83">
        <v>114.8</v>
      </c>
      <c r="AB83">
        <v>1778103900000</v>
      </c>
      <c r="AC83">
        <v>89.8</v>
      </c>
      <c r="AE83">
        <v>1778115600000</v>
      </c>
      <c r="AF83">
        <v>118.1</v>
      </c>
      <c r="AH83">
        <v>1778105700000</v>
      </c>
      <c r="AI83">
        <v>91.3</v>
      </c>
      <c r="AK83">
        <v>1778103900000</v>
      </c>
      <c r="AL83">
        <v>112.17</v>
      </c>
      <c r="AN83">
        <v>1778103900000</v>
      </c>
      <c r="AO83">
        <v>89</v>
      </c>
      <c r="AQ83">
        <v>1778107500000</v>
      </c>
      <c r="AR83">
        <v>90</v>
      </c>
      <c r="AT83">
        <v>1778104800000</v>
      </c>
      <c r="AU83">
        <v>83.55</v>
      </c>
      <c r="AV83" s="6"/>
      <c r="AW83">
        <v>1779149700000</v>
      </c>
      <c r="AX83">
        <v>121.02</v>
      </c>
      <c r="AZ83">
        <v>1779144300000</v>
      </c>
      <c r="BA83">
        <v>89.17</v>
      </c>
      <c r="BC83">
        <v>1779154200000</v>
      </c>
      <c r="BD83">
        <v>83.25</v>
      </c>
      <c r="BF83">
        <v>1779144300000</v>
      </c>
      <c r="BG83">
        <v>61.05</v>
      </c>
      <c r="BI83">
        <v>1779143400000</v>
      </c>
      <c r="BJ83">
        <v>96.33</v>
      </c>
      <c r="BL83">
        <v>1779141600000</v>
      </c>
      <c r="BM83">
        <v>92.2</v>
      </c>
      <c r="BO83">
        <v>1779145200000</v>
      </c>
      <c r="BP83">
        <v>99.25</v>
      </c>
      <c r="BR83">
        <v>1779141600000</v>
      </c>
      <c r="BS83">
        <v>90.28</v>
      </c>
      <c r="BT83" s="6"/>
      <c r="BU83">
        <v>1782257400000</v>
      </c>
      <c r="BV83">
        <v>92.22</v>
      </c>
      <c r="BX83">
        <v>1782252900000</v>
      </c>
      <c r="BY83">
        <v>90.33</v>
      </c>
      <c r="CA83">
        <v>1782260100000</v>
      </c>
      <c r="CB83">
        <v>70.569999999999993</v>
      </c>
      <c r="CD83">
        <v>1782254700000</v>
      </c>
      <c r="CE83">
        <v>64.83</v>
      </c>
      <c r="CG83">
        <v>1782252900000</v>
      </c>
      <c r="CH83">
        <v>117.25</v>
      </c>
      <c r="CJ83">
        <v>1782252000000</v>
      </c>
      <c r="CK83">
        <v>95.23</v>
      </c>
      <c r="CM83">
        <v>1782253800000</v>
      </c>
      <c r="CN83">
        <v>127.5</v>
      </c>
      <c r="CP83">
        <v>1782252000000</v>
      </c>
      <c r="CQ83">
        <v>95.25</v>
      </c>
      <c r="CR83" s="6"/>
      <c r="CS83">
        <v>1784070000000</v>
      </c>
      <c r="CT83">
        <v>110.3</v>
      </c>
      <c r="CV83">
        <v>1784069100000</v>
      </c>
      <c r="CW83">
        <v>95.05</v>
      </c>
      <c r="CY83">
        <v>1784075400000</v>
      </c>
      <c r="CZ83">
        <v>75.83</v>
      </c>
      <c r="DB83">
        <v>1784066400000</v>
      </c>
      <c r="DC83">
        <v>62.96</v>
      </c>
      <c r="DE83">
        <v>1784065500000</v>
      </c>
      <c r="DF83">
        <v>111.07</v>
      </c>
      <c r="DH83">
        <v>1784066400000</v>
      </c>
      <c r="DI83">
        <v>95.1</v>
      </c>
      <c r="DK83">
        <v>1784065500000</v>
      </c>
      <c r="DL83">
        <v>107.28</v>
      </c>
      <c r="DN83">
        <v>1784065500000</v>
      </c>
      <c r="DO83">
        <v>89.77</v>
      </c>
      <c r="DP83" s="6"/>
      <c r="DQ83">
        <v>1784154600000</v>
      </c>
      <c r="DR83">
        <v>98.62</v>
      </c>
      <c r="DT83">
        <v>1784156400000</v>
      </c>
      <c r="DU83">
        <v>92.03</v>
      </c>
      <c r="DW83">
        <v>1784161800000</v>
      </c>
      <c r="DX83">
        <v>102.15</v>
      </c>
      <c r="DZ83">
        <v>1784151900000</v>
      </c>
      <c r="EA83">
        <v>95.82</v>
      </c>
      <c r="EC83">
        <v>1784152800000</v>
      </c>
      <c r="ED83">
        <v>108.5</v>
      </c>
      <c r="EF83">
        <v>1784151900000</v>
      </c>
      <c r="EG83">
        <v>94.4</v>
      </c>
      <c r="EI83">
        <v>1784153700000</v>
      </c>
      <c r="EJ83">
        <v>57.76</v>
      </c>
      <c r="EL83">
        <v>1784151900000</v>
      </c>
      <c r="EM83">
        <v>101.83</v>
      </c>
      <c r="EN83" s="6"/>
    </row>
    <row r="84" spans="1:144">
      <c r="A84">
        <v>1778024700000</v>
      </c>
      <c r="B84">
        <v>129.55000000000001</v>
      </c>
      <c r="D84">
        <v>1778021100000</v>
      </c>
      <c r="E84">
        <v>91.23</v>
      </c>
      <c r="G84">
        <v>1778027400000</v>
      </c>
      <c r="H84">
        <v>108.72</v>
      </c>
      <c r="J84">
        <v>1778019300000</v>
      </c>
      <c r="K84">
        <v>97.15</v>
      </c>
      <c r="M84">
        <v>1778018400000</v>
      </c>
      <c r="N84">
        <v>113.7</v>
      </c>
      <c r="P84">
        <v>1778018400000</v>
      </c>
      <c r="Q84">
        <v>91</v>
      </c>
      <c r="S84">
        <v>1778022900000</v>
      </c>
      <c r="T84">
        <v>72.5</v>
      </c>
      <c r="V84">
        <v>1778019300000</v>
      </c>
      <c r="W84">
        <v>94.05</v>
      </c>
      <c r="X84" s="6"/>
      <c r="Y84">
        <v>1778109300000</v>
      </c>
      <c r="Z84">
        <v>100.4</v>
      </c>
      <c r="AB84">
        <v>1778104800000</v>
      </c>
      <c r="AC84">
        <v>92.43</v>
      </c>
      <c r="AE84">
        <v>1778116500000</v>
      </c>
      <c r="AF84">
        <v>70.44</v>
      </c>
      <c r="AH84">
        <v>1778106600000</v>
      </c>
      <c r="AI84">
        <v>80.150000000000006</v>
      </c>
      <c r="AK84">
        <v>1778104800000</v>
      </c>
      <c r="AL84">
        <v>164.67</v>
      </c>
      <c r="AN84">
        <v>1778104800000</v>
      </c>
      <c r="AO84">
        <v>90.65</v>
      </c>
      <c r="AQ84">
        <v>1778108400000</v>
      </c>
      <c r="AR84">
        <v>101.03</v>
      </c>
      <c r="AT84">
        <v>1778105700000</v>
      </c>
      <c r="AU84">
        <v>78.63</v>
      </c>
      <c r="AV84" s="6"/>
      <c r="AW84">
        <v>1779150600000</v>
      </c>
      <c r="AX84">
        <v>96.43</v>
      </c>
      <c r="AZ84">
        <v>1779145200000</v>
      </c>
      <c r="BA84">
        <v>86.7</v>
      </c>
      <c r="BC84">
        <v>1779155100000</v>
      </c>
      <c r="BD84">
        <v>59.66</v>
      </c>
      <c r="BF84">
        <v>1779145200000</v>
      </c>
      <c r="BG84">
        <v>80.72</v>
      </c>
      <c r="BI84">
        <v>1779144300000</v>
      </c>
      <c r="BJ84">
        <v>162.72999999999999</v>
      </c>
      <c r="BL84">
        <v>1779142500000</v>
      </c>
      <c r="BM84">
        <v>89.17</v>
      </c>
      <c r="BO84">
        <v>1779146100000</v>
      </c>
      <c r="BP84">
        <v>121.3</v>
      </c>
      <c r="BR84">
        <v>1779142500000</v>
      </c>
      <c r="BS84">
        <v>98.46</v>
      </c>
      <c r="BT84" s="6"/>
      <c r="BU84">
        <v>1782258300000</v>
      </c>
      <c r="BV84">
        <v>96.22</v>
      </c>
      <c r="BX84">
        <v>1782253800000</v>
      </c>
      <c r="BY84">
        <v>97.8</v>
      </c>
      <c r="CA84">
        <v>1782261000000</v>
      </c>
      <c r="CB84">
        <v>92.06</v>
      </c>
      <c r="CD84">
        <v>1782255600000</v>
      </c>
      <c r="CE84">
        <v>89.15</v>
      </c>
      <c r="CG84">
        <v>1782253800000</v>
      </c>
      <c r="CH84">
        <v>117.4</v>
      </c>
      <c r="CJ84">
        <v>1782252900000</v>
      </c>
      <c r="CK84">
        <v>96.18</v>
      </c>
      <c r="CM84">
        <v>1782254700000</v>
      </c>
      <c r="CN84">
        <v>78.900000000000006</v>
      </c>
      <c r="CP84">
        <v>1782252900000</v>
      </c>
      <c r="CQ84">
        <v>87.97</v>
      </c>
      <c r="CR84" s="6"/>
      <c r="CS84">
        <v>1784070900000</v>
      </c>
      <c r="CT84">
        <v>97.67</v>
      </c>
      <c r="CV84">
        <v>1784070000000</v>
      </c>
      <c r="CW84">
        <v>86.03</v>
      </c>
      <c r="CY84">
        <v>1784076300000</v>
      </c>
      <c r="CZ84">
        <v>100.1</v>
      </c>
      <c r="DB84">
        <v>1784067300000</v>
      </c>
      <c r="DC84">
        <v>81.099999999999994</v>
      </c>
      <c r="DE84">
        <v>1784066400000</v>
      </c>
      <c r="DF84">
        <v>163.22999999999999</v>
      </c>
      <c r="DH84">
        <v>1784067300000</v>
      </c>
      <c r="DI84">
        <v>93.07</v>
      </c>
      <c r="DK84">
        <v>1784066400000</v>
      </c>
      <c r="DL84">
        <v>96.62</v>
      </c>
      <c r="DN84">
        <v>1784066400000</v>
      </c>
      <c r="DO84">
        <v>97.4</v>
      </c>
      <c r="DP84" s="6"/>
      <c r="DQ84">
        <v>1784155500000</v>
      </c>
      <c r="DR84">
        <v>113.44</v>
      </c>
      <c r="DT84">
        <v>1784157300000</v>
      </c>
      <c r="DU84">
        <v>91.95</v>
      </c>
      <c r="DW84">
        <v>1784162700000</v>
      </c>
      <c r="DX84">
        <v>101.1</v>
      </c>
      <c r="DZ84">
        <v>1784152800000</v>
      </c>
      <c r="EA84">
        <v>84.85</v>
      </c>
      <c r="EC84">
        <v>1784153700000</v>
      </c>
      <c r="ED84">
        <v>111.1</v>
      </c>
      <c r="EF84">
        <v>1784152800000</v>
      </c>
      <c r="EG84">
        <v>89.03</v>
      </c>
      <c r="EI84">
        <v>1784154600000</v>
      </c>
      <c r="EJ84">
        <v>97.28</v>
      </c>
      <c r="EL84">
        <v>1784152800000</v>
      </c>
      <c r="EM84">
        <v>103.07</v>
      </c>
      <c r="EN84" s="6"/>
    </row>
    <row r="85" spans="1:144">
      <c r="A85">
        <v>1778025600000</v>
      </c>
      <c r="B85">
        <v>81.48</v>
      </c>
      <c r="D85">
        <v>1778022000000</v>
      </c>
      <c r="E85">
        <v>91.27</v>
      </c>
      <c r="G85">
        <v>1778028300000</v>
      </c>
      <c r="H85">
        <v>66.72</v>
      </c>
      <c r="J85">
        <v>1778020200000</v>
      </c>
      <c r="K85">
        <v>103.2</v>
      </c>
      <c r="M85">
        <v>1778019300000</v>
      </c>
      <c r="N85">
        <v>113.9</v>
      </c>
      <c r="P85">
        <v>1778019300000</v>
      </c>
      <c r="Q85">
        <v>94.3</v>
      </c>
      <c r="S85">
        <v>1778023800000</v>
      </c>
      <c r="T85">
        <v>69.72</v>
      </c>
      <c r="V85">
        <v>1778021100000</v>
      </c>
      <c r="W85">
        <v>81.45</v>
      </c>
      <c r="X85" s="6"/>
      <c r="Y85">
        <v>1778110200000</v>
      </c>
      <c r="Z85">
        <v>102.12</v>
      </c>
      <c r="AB85">
        <v>1778105700000</v>
      </c>
      <c r="AC85">
        <v>89.75</v>
      </c>
      <c r="AE85">
        <v>1778117400000</v>
      </c>
      <c r="AF85">
        <v>110.6</v>
      </c>
      <c r="AH85">
        <v>1778107500000</v>
      </c>
      <c r="AI85">
        <v>80.77</v>
      </c>
      <c r="AK85">
        <v>1778105700000</v>
      </c>
      <c r="AL85">
        <v>105.9</v>
      </c>
      <c r="AN85">
        <v>1778105700000</v>
      </c>
      <c r="AO85">
        <v>90.45</v>
      </c>
      <c r="AQ85">
        <v>1778109300000</v>
      </c>
      <c r="AR85">
        <v>117.88</v>
      </c>
      <c r="AT85">
        <v>1778106600000</v>
      </c>
      <c r="AU85">
        <v>85.03</v>
      </c>
      <c r="AV85" s="6"/>
      <c r="AW85">
        <v>1779151500000</v>
      </c>
      <c r="AX85">
        <v>109.42</v>
      </c>
      <c r="AZ85">
        <v>1779147000000</v>
      </c>
      <c r="BA85">
        <v>88.9</v>
      </c>
      <c r="BC85">
        <v>1779156000000</v>
      </c>
      <c r="BD85">
        <v>53.9</v>
      </c>
      <c r="BF85">
        <v>1779146100000</v>
      </c>
      <c r="BG85">
        <v>82.38</v>
      </c>
      <c r="BI85">
        <v>1779145200000</v>
      </c>
      <c r="BJ85">
        <v>84.22</v>
      </c>
      <c r="BL85">
        <v>1779143400000</v>
      </c>
      <c r="BM85">
        <v>92.88</v>
      </c>
      <c r="BO85">
        <v>1779147000000</v>
      </c>
      <c r="BP85">
        <v>104.05</v>
      </c>
      <c r="BR85">
        <v>1779143400000</v>
      </c>
      <c r="BS85">
        <v>101.1</v>
      </c>
      <c r="BT85" s="6"/>
      <c r="BU85">
        <v>1782259200000</v>
      </c>
      <c r="BV85">
        <v>107.3</v>
      </c>
      <c r="BX85">
        <v>1782254700000</v>
      </c>
      <c r="BY85">
        <v>96.4</v>
      </c>
      <c r="CA85">
        <v>1782261900000</v>
      </c>
      <c r="CB85">
        <v>61.3</v>
      </c>
      <c r="CD85">
        <v>1782256500000</v>
      </c>
      <c r="CE85">
        <v>67.52</v>
      </c>
      <c r="CG85">
        <v>1782254700000</v>
      </c>
      <c r="CH85">
        <v>109.63</v>
      </c>
      <c r="CJ85">
        <v>1782253800000</v>
      </c>
      <c r="CK85">
        <v>97.53</v>
      </c>
      <c r="CM85">
        <v>1782255600000</v>
      </c>
      <c r="CN85">
        <v>52.8</v>
      </c>
      <c r="CP85">
        <v>1782253800000</v>
      </c>
      <c r="CQ85">
        <v>99.17</v>
      </c>
      <c r="CR85" s="6"/>
      <c r="CS85">
        <v>1784071800000</v>
      </c>
      <c r="CT85">
        <v>102.72</v>
      </c>
      <c r="CV85">
        <v>1784070900000</v>
      </c>
      <c r="CW85">
        <v>96.5</v>
      </c>
      <c r="CY85">
        <v>1784077200000</v>
      </c>
      <c r="CZ85">
        <v>93.63</v>
      </c>
      <c r="DB85">
        <v>1784068200000</v>
      </c>
      <c r="DC85">
        <v>81.48</v>
      </c>
      <c r="DE85">
        <v>1784067300000</v>
      </c>
      <c r="DF85">
        <v>115.3</v>
      </c>
      <c r="DH85">
        <v>1784068200000</v>
      </c>
      <c r="DI85">
        <v>97.9</v>
      </c>
      <c r="DK85">
        <v>1784067300000</v>
      </c>
      <c r="DL85">
        <v>110.94</v>
      </c>
      <c r="DN85">
        <v>1784067300000</v>
      </c>
      <c r="DO85">
        <v>104.63</v>
      </c>
      <c r="DP85" s="6"/>
      <c r="DQ85">
        <v>1784156400000</v>
      </c>
      <c r="DR85">
        <v>100.85</v>
      </c>
      <c r="DT85">
        <v>1784158200000</v>
      </c>
      <c r="DU85">
        <v>90.65</v>
      </c>
      <c r="DW85">
        <v>1784163600000</v>
      </c>
      <c r="DX85">
        <v>73.42</v>
      </c>
      <c r="DZ85">
        <v>1784153700000</v>
      </c>
      <c r="EA85">
        <v>92.9</v>
      </c>
      <c r="EC85">
        <v>1784154600000</v>
      </c>
      <c r="ED85">
        <v>112.27</v>
      </c>
      <c r="EF85">
        <v>1784153700000</v>
      </c>
      <c r="EG85">
        <v>95.75</v>
      </c>
      <c r="EI85">
        <v>1784155500000</v>
      </c>
      <c r="EJ85">
        <v>76.959999999999994</v>
      </c>
      <c r="EL85">
        <v>1784153700000</v>
      </c>
      <c r="EM85">
        <v>103.98</v>
      </c>
      <c r="EN85" s="6"/>
    </row>
    <row r="86" spans="1:144">
      <c r="A86">
        <v>1778026500000</v>
      </c>
      <c r="B86">
        <v>104.68</v>
      </c>
      <c r="D86">
        <v>1778022900000</v>
      </c>
      <c r="E86">
        <v>98.2</v>
      </c>
      <c r="G86">
        <v>1778029200000</v>
      </c>
      <c r="H86">
        <v>88</v>
      </c>
      <c r="J86">
        <v>1778021100000</v>
      </c>
      <c r="K86">
        <v>84.96</v>
      </c>
      <c r="M86">
        <v>1778020200000</v>
      </c>
      <c r="N86">
        <v>112.93</v>
      </c>
      <c r="P86">
        <v>1778020200000</v>
      </c>
      <c r="Q86">
        <v>89.78</v>
      </c>
      <c r="S86">
        <v>1778024700000</v>
      </c>
      <c r="T86">
        <v>138.08000000000001</v>
      </c>
      <c r="V86">
        <v>1778022000000</v>
      </c>
      <c r="W86">
        <v>87.45</v>
      </c>
      <c r="X86" s="6"/>
      <c r="Y86">
        <v>1778111100000</v>
      </c>
      <c r="Z86">
        <v>96.77</v>
      </c>
      <c r="AB86">
        <v>1778106600000</v>
      </c>
      <c r="AC86">
        <v>87.63</v>
      </c>
      <c r="AE86">
        <v>1778118300000</v>
      </c>
      <c r="AF86">
        <v>85.16</v>
      </c>
      <c r="AH86">
        <v>1778108400000</v>
      </c>
      <c r="AI86">
        <v>102.82</v>
      </c>
      <c r="AK86">
        <v>1778106600000</v>
      </c>
      <c r="AL86">
        <v>94.5</v>
      </c>
      <c r="AN86">
        <v>1778106600000</v>
      </c>
      <c r="AO86">
        <v>90.3</v>
      </c>
      <c r="AQ86">
        <v>1778110200000</v>
      </c>
      <c r="AR86">
        <v>105.94</v>
      </c>
      <c r="AT86">
        <v>1778107500000</v>
      </c>
      <c r="AU86">
        <v>147.30000000000001</v>
      </c>
      <c r="AV86" s="6"/>
      <c r="AW86">
        <v>1779152400000</v>
      </c>
      <c r="AX86">
        <v>116.12</v>
      </c>
      <c r="AZ86">
        <v>1779148800000</v>
      </c>
      <c r="BA86">
        <v>95</v>
      </c>
      <c r="BC86">
        <v>1779156900000</v>
      </c>
      <c r="BD86">
        <v>43.72</v>
      </c>
      <c r="BF86">
        <v>1779147000000</v>
      </c>
      <c r="BG86">
        <v>87.08</v>
      </c>
      <c r="BI86">
        <v>1779146100000</v>
      </c>
      <c r="BJ86">
        <v>108.9</v>
      </c>
      <c r="BL86">
        <v>1779144300000</v>
      </c>
      <c r="BM86">
        <v>93.7</v>
      </c>
      <c r="BO86">
        <v>1779147900000</v>
      </c>
      <c r="BP86">
        <v>124.97</v>
      </c>
      <c r="BR86">
        <v>1779144300000</v>
      </c>
      <c r="BS86">
        <v>96.93</v>
      </c>
      <c r="BT86" s="6"/>
      <c r="BU86">
        <v>1782260100000</v>
      </c>
      <c r="BV86">
        <v>101.23</v>
      </c>
      <c r="BX86">
        <v>1782255600000</v>
      </c>
      <c r="BY86">
        <v>91.28</v>
      </c>
      <c r="CA86">
        <v>1782262800000</v>
      </c>
      <c r="CB86">
        <v>100.3</v>
      </c>
      <c r="CD86">
        <v>1782257400000</v>
      </c>
      <c r="CE86">
        <v>77.930000000000007</v>
      </c>
      <c r="CG86">
        <v>1782255600000</v>
      </c>
      <c r="CH86">
        <v>111.8</v>
      </c>
      <c r="CJ86">
        <v>1782254700000</v>
      </c>
      <c r="CK86">
        <v>96.3</v>
      </c>
      <c r="CM86">
        <v>1782256500000</v>
      </c>
      <c r="CN86">
        <v>104.68</v>
      </c>
      <c r="CP86">
        <v>1782254700000</v>
      </c>
      <c r="CQ86">
        <v>89.8</v>
      </c>
      <c r="CR86" s="6"/>
      <c r="CS86">
        <v>1784072700000</v>
      </c>
      <c r="CT86">
        <v>96.8</v>
      </c>
      <c r="CV86">
        <v>1784071800000</v>
      </c>
      <c r="CW86">
        <v>93.45</v>
      </c>
      <c r="CY86">
        <v>1784078100000</v>
      </c>
      <c r="CZ86">
        <v>73.08</v>
      </c>
      <c r="DB86">
        <v>1784069100000</v>
      </c>
      <c r="DC86">
        <v>65.8</v>
      </c>
      <c r="DE86">
        <v>1784068200000</v>
      </c>
      <c r="DF86">
        <v>106.8</v>
      </c>
      <c r="DH86">
        <v>1784069100000</v>
      </c>
      <c r="DI86">
        <v>96.8</v>
      </c>
      <c r="DK86">
        <v>1784068200000</v>
      </c>
      <c r="DL86">
        <v>108.88</v>
      </c>
      <c r="DN86">
        <v>1784068200000</v>
      </c>
      <c r="DO86">
        <v>109.3</v>
      </c>
      <c r="DP86" s="6"/>
      <c r="DQ86">
        <v>1784157300000</v>
      </c>
      <c r="DR86">
        <v>96.93</v>
      </c>
      <c r="DT86">
        <v>1784159100000</v>
      </c>
      <c r="DU86">
        <v>91.88</v>
      </c>
      <c r="DW86">
        <v>1784164500000</v>
      </c>
      <c r="DX86">
        <v>192.9</v>
      </c>
      <c r="DZ86">
        <v>1784154600000</v>
      </c>
      <c r="EA86">
        <v>71.7</v>
      </c>
      <c r="EC86">
        <v>1784155500000</v>
      </c>
      <c r="ED86">
        <v>108.67</v>
      </c>
      <c r="EF86">
        <v>1784154600000</v>
      </c>
      <c r="EG86">
        <v>85.13</v>
      </c>
      <c r="EI86">
        <v>1784156400000</v>
      </c>
      <c r="EJ86">
        <v>128.72999999999999</v>
      </c>
      <c r="EL86">
        <v>1784154600000</v>
      </c>
      <c r="EM86">
        <v>103.5</v>
      </c>
      <c r="EN86" s="6"/>
    </row>
    <row r="87" spans="1:144">
      <c r="A87">
        <v>1778027400000</v>
      </c>
      <c r="B87">
        <v>109.45</v>
      </c>
      <c r="D87">
        <v>1778024700000</v>
      </c>
      <c r="E87">
        <v>98.6</v>
      </c>
      <c r="G87">
        <v>1778030100000</v>
      </c>
      <c r="H87">
        <v>81.599999999999994</v>
      </c>
      <c r="J87">
        <v>1778022000000</v>
      </c>
      <c r="K87">
        <v>83.58</v>
      </c>
      <c r="M87">
        <v>1778021100000</v>
      </c>
      <c r="N87">
        <v>105.68</v>
      </c>
      <c r="P87">
        <v>1778021100000</v>
      </c>
      <c r="Q87">
        <v>96.93</v>
      </c>
      <c r="S87">
        <v>1778025600000</v>
      </c>
      <c r="T87">
        <v>87.92</v>
      </c>
      <c r="V87">
        <v>1778023800000</v>
      </c>
      <c r="W87">
        <v>94.25</v>
      </c>
      <c r="X87" s="6"/>
      <c r="Y87">
        <v>1778112000000</v>
      </c>
      <c r="Z87">
        <v>94.4</v>
      </c>
      <c r="AB87">
        <v>1778107500000</v>
      </c>
      <c r="AC87">
        <v>97</v>
      </c>
      <c r="AE87">
        <v>1778119200000</v>
      </c>
      <c r="AF87">
        <v>23.88</v>
      </c>
      <c r="AH87">
        <v>1778109300000</v>
      </c>
      <c r="AI87">
        <v>98.14</v>
      </c>
      <c r="AK87">
        <v>1778107500000</v>
      </c>
      <c r="AL87">
        <v>99.8</v>
      </c>
      <c r="AN87">
        <v>1778107500000</v>
      </c>
      <c r="AO87">
        <v>86.15</v>
      </c>
      <c r="AQ87">
        <v>1778111100000</v>
      </c>
      <c r="AR87">
        <v>106.3</v>
      </c>
      <c r="AT87">
        <v>1778108400000</v>
      </c>
      <c r="AU87">
        <v>101.2</v>
      </c>
      <c r="AV87" s="6"/>
      <c r="AW87">
        <v>1779153300000</v>
      </c>
      <c r="AX87">
        <v>114.4</v>
      </c>
      <c r="AZ87">
        <v>1779149700000</v>
      </c>
      <c r="BA87">
        <v>83.95</v>
      </c>
      <c r="BC87">
        <v>1779157800000</v>
      </c>
      <c r="BD87">
        <v>75.680000000000007</v>
      </c>
      <c r="BF87">
        <v>1779147900000</v>
      </c>
      <c r="BG87">
        <v>94.12</v>
      </c>
      <c r="BI87">
        <v>1779147000000</v>
      </c>
      <c r="BJ87">
        <v>101.65</v>
      </c>
      <c r="BL87">
        <v>1779145200000</v>
      </c>
      <c r="BM87">
        <v>76.569999999999993</v>
      </c>
      <c r="BO87">
        <v>1779148800000</v>
      </c>
      <c r="BP87">
        <v>116.92</v>
      </c>
      <c r="BR87">
        <v>1779145200000</v>
      </c>
      <c r="BS87">
        <v>82.5</v>
      </c>
      <c r="BT87" s="6"/>
      <c r="BU87">
        <v>1782261000000</v>
      </c>
      <c r="BV87">
        <v>102.66</v>
      </c>
      <c r="BX87">
        <v>1782256500000</v>
      </c>
      <c r="BY87">
        <v>92.27</v>
      </c>
      <c r="CA87">
        <v>1782263700000</v>
      </c>
      <c r="CB87">
        <v>108.1</v>
      </c>
      <c r="CD87">
        <v>1782258300000</v>
      </c>
      <c r="CE87">
        <v>62.62</v>
      </c>
      <c r="CG87">
        <v>1782256500000</v>
      </c>
      <c r="CH87">
        <v>112.18</v>
      </c>
      <c r="CJ87">
        <v>1782255600000</v>
      </c>
      <c r="CK87">
        <v>97.8</v>
      </c>
      <c r="CM87">
        <v>1782257400000</v>
      </c>
      <c r="CN87">
        <v>102.62</v>
      </c>
      <c r="CP87">
        <v>1782255600000</v>
      </c>
      <c r="CQ87">
        <v>94.3</v>
      </c>
      <c r="CR87" s="6"/>
      <c r="CS87">
        <v>1784073600000</v>
      </c>
      <c r="CT87">
        <v>102.87</v>
      </c>
      <c r="CV87">
        <v>1784073600000</v>
      </c>
      <c r="CW87">
        <v>94.2</v>
      </c>
      <c r="CY87">
        <v>1784079000000</v>
      </c>
      <c r="CZ87">
        <v>49.7</v>
      </c>
      <c r="DB87">
        <v>1784070000000</v>
      </c>
      <c r="DC87">
        <v>95.52</v>
      </c>
      <c r="DE87">
        <v>1784069100000</v>
      </c>
      <c r="DF87">
        <v>109.53</v>
      </c>
      <c r="DH87">
        <v>1784070000000</v>
      </c>
      <c r="DI87">
        <v>96.6</v>
      </c>
      <c r="DK87">
        <v>1784069100000</v>
      </c>
      <c r="DL87">
        <v>98.7</v>
      </c>
      <c r="DN87">
        <v>1784069100000</v>
      </c>
      <c r="DO87">
        <v>90.95</v>
      </c>
      <c r="DP87" s="6"/>
      <c r="DQ87">
        <v>1784158200000</v>
      </c>
      <c r="DR87">
        <v>99.73</v>
      </c>
      <c r="DT87">
        <v>1784160000000</v>
      </c>
      <c r="DU87">
        <v>81.099999999999994</v>
      </c>
      <c r="DW87">
        <v>1784165400000</v>
      </c>
      <c r="DX87">
        <v>87.6</v>
      </c>
      <c r="DZ87">
        <v>1784155500000</v>
      </c>
      <c r="EA87">
        <v>92.6</v>
      </c>
      <c r="EC87">
        <v>1784156400000</v>
      </c>
      <c r="ED87">
        <v>114.12</v>
      </c>
      <c r="EF87">
        <v>1784155500000</v>
      </c>
      <c r="EG87">
        <v>94.17</v>
      </c>
      <c r="EI87">
        <v>1784157300000</v>
      </c>
      <c r="EJ87">
        <v>72.819999999999993</v>
      </c>
      <c r="EL87">
        <v>1784155500000</v>
      </c>
      <c r="EM87">
        <v>95.4</v>
      </c>
      <c r="EN87" s="6"/>
    </row>
    <row r="88" spans="1:144">
      <c r="A88">
        <v>1778028300000</v>
      </c>
      <c r="B88">
        <v>82.03</v>
      </c>
      <c r="D88">
        <v>1778025600000</v>
      </c>
      <c r="E88">
        <v>93.07</v>
      </c>
      <c r="G88">
        <v>1778031000000</v>
      </c>
      <c r="H88">
        <v>76.78</v>
      </c>
      <c r="J88">
        <v>1778022900000</v>
      </c>
      <c r="K88">
        <v>93.53</v>
      </c>
      <c r="M88">
        <v>1778022000000</v>
      </c>
      <c r="N88">
        <v>98.5</v>
      </c>
      <c r="P88">
        <v>1778022000000</v>
      </c>
      <c r="Q88">
        <v>97.9</v>
      </c>
      <c r="S88">
        <v>1778026500000</v>
      </c>
      <c r="T88">
        <v>39.369999999999997</v>
      </c>
      <c r="V88">
        <v>1778024700000</v>
      </c>
      <c r="W88">
        <v>106.2</v>
      </c>
      <c r="X88" s="6"/>
      <c r="Y88">
        <v>1778112900000</v>
      </c>
      <c r="Z88">
        <v>102.75</v>
      </c>
      <c r="AB88">
        <v>1778108400000</v>
      </c>
      <c r="AC88">
        <v>93.9</v>
      </c>
      <c r="AE88">
        <v>1778120100000</v>
      </c>
      <c r="AF88">
        <v>66.040000000000006</v>
      </c>
      <c r="AH88">
        <v>1778110200000</v>
      </c>
      <c r="AI88">
        <v>97.28</v>
      </c>
      <c r="AK88">
        <v>1778108400000</v>
      </c>
      <c r="AL88">
        <v>111.95</v>
      </c>
      <c r="AN88">
        <v>1778108400000</v>
      </c>
      <c r="AO88">
        <v>52.8</v>
      </c>
      <c r="AQ88">
        <v>1778112000000</v>
      </c>
      <c r="AR88">
        <v>119.08</v>
      </c>
      <c r="AT88">
        <v>1778109300000</v>
      </c>
      <c r="AU88">
        <v>95.93</v>
      </c>
      <c r="AV88" s="6"/>
      <c r="AW88">
        <v>1779154200000</v>
      </c>
      <c r="AX88">
        <v>88.96</v>
      </c>
      <c r="AZ88">
        <v>1779150600000</v>
      </c>
      <c r="BA88">
        <v>88.4</v>
      </c>
      <c r="BC88">
        <v>1779158700000</v>
      </c>
      <c r="BD88">
        <v>60.47</v>
      </c>
      <c r="BF88">
        <v>1779148800000</v>
      </c>
      <c r="BG88">
        <v>97.06</v>
      </c>
      <c r="BI88">
        <v>1779147900000</v>
      </c>
      <c r="BJ88">
        <v>107.9</v>
      </c>
      <c r="BL88">
        <v>1779146100000</v>
      </c>
      <c r="BM88">
        <v>97.87</v>
      </c>
      <c r="BO88">
        <v>1779149700000</v>
      </c>
      <c r="BP88">
        <v>116.56</v>
      </c>
      <c r="BR88">
        <v>1779146100000</v>
      </c>
      <c r="BS88">
        <v>97.2</v>
      </c>
      <c r="BT88" s="6"/>
      <c r="BU88">
        <v>1782261900000</v>
      </c>
      <c r="BV88">
        <v>95.71</v>
      </c>
      <c r="BX88">
        <v>1782258300000</v>
      </c>
      <c r="BY88">
        <v>74.099999999999994</v>
      </c>
      <c r="CA88">
        <v>1782264600000</v>
      </c>
      <c r="CB88">
        <v>72.47</v>
      </c>
      <c r="CD88">
        <v>1782259200000</v>
      </c>
      <c r="CE88">
        <v>90.28</v>
      </c>
      <c r="CG88">
        <v>1782257400000</v>
      </c>
      <c r="CH88">
        <v>114.68</v>
      </c>
      <c r="CJ88">
        <v>1782256500000</v>
      </c>
      <c r="CK88">
        <v>95.2</v>
      </c>
      <c r="CM88">
        <v>1782258300000</v>
      </c>
      <c r="CN88">
        <v>94.25</v>
      </c>
      <c r="CP88">
        <v>1782256500000</v>
      </c>
      <c r="CQ88">
        <v>58.7</v>
      </c>
      <c r="CR88" s="6"/>
      <c r="CS88">
        <v>1784074500000</v>
      </c>
      <c r="CT88">
        <v>108.87</v>
      </c>
      <c r="CV88">
        <v>1784074500000</v>
      </c>
      <c r="CW88">
        <v>90.27</v>
      </c>
      <c r="CY88">
        <v>1784079900000</v>
      </c>
      <c r="CZ88">
        <v>80.5</v>
      </c>
      <c r="DB88">
        <v>1784070900000</v>
      </c>
      <c r="DC88">
        <v>88.3</v>
      </c>
      <c r="DE88">
        <v>1784070000000</v>
      </c>
      <c r="DF88">
        <v>105.75</v>
      </c>
      <c r="DH88">
        <v>1784070900000</v>
      </c>
      <c r="DI88">
        <v>94.77</v>
      </c>
      <c r="DK88">
        <v>1784070000000</v>
      </c>
      <c r="DL88">
        <v>64.400000000000006</v>
      </c>
      <c r="DN88">
        <v>1784070000000</v>
      </c>
      <c r="DO88">
        <v>92.3</v>
      </c>
      <c r="DP88" s="6"/>
      <c r="DQ88">
        <v>1784159100000</v>
      </c>
      <c r="DR88">
        <v>115.02</v>
      </c>
      <c r="DT88">
        <v>1784160900000</v>
      </c>
      <c r="DU88">
        <v>74.3</v>
      </c>
      <c r="DW88">
        <v>1784166300000</v>
      </c>
      <c r="DX88">
        <v>77.36</v>
      </c>
      <c r="DZ88">
        <v>1784156400000</v>
      </c>
      <c r="EA88">
        <v>93.24</v>
      </c>
      <c r="EC88">
        <v>1784157300000</v>
      </c>
      <c r="ED88">
        <v>106.13</v>
      </c>
      <c r="EF88">
        <v>1784156400000</v>
      </c>
      <c r="EG88">
        <v>98.7</v>
      </c>
      <c r="EI88">
        <v>1784158200000</v>
      </c>
      <c r="EJ88">
        <v>131.30000000000001</v>
      </c>
      <c r="EL88">
        <v>1784156400000</v>
      </c>
      <c r="EM88">
        <v>55.35</v>
      </c>
      <c r="EN88" s="6"/>
    </row>
    <row r="89" spans="1:144">
      <c r="A89">
        <v>1778029200000</v>
      </c>
      <c r="B89">
        <v>93.25</v>
      </c>
      <c r="D89">
        <v>1778026500000</v>
      </c>
      <c r="E89">
        <v>89.85</v>
      </c>
      <c r="G89">
        <v>1778031900000</v>
      </c>
      <c r="H89">
        <v>72.37</v>
      </c>
      <c r="J89">
        <v>1778023800000</v>
      </c>
      <c r="K89">
        <v>87.28</v>
      </c>
      <c r="M89">
        <v>1778022900000</v>
      </c>
      <c r="N89">
        <v>112.2</v>
      </c>
      <c r="P89">
        <v>1778023800000</v>
      </c>
      <c r="Q89">
        <v>99</v>
      </c>
      <c r="S89">
        <v>1778027400000</v>
      </c>
      <c r="T89">
        <v>124.85</v>
      </c>
      <c r="V89">
        <v>1778025600000</v>
      </c>
      <c r="W89">
        <v>86.15</v>
      </c>
      <c r="X89" s="6"/>
      <c r="Y89">
        <v>1778113800000</v>
      </c>
      <c r="Z89">
        <v>87.77</v>
      </c>
      <c r="AB89">
        <v>1778109300000</v>
      </c>
      <c r="AC89">
        <v>90.78</v>
      </c>
      <c r="AE89">
        <v>1778121000000</v>
      </c>
      <c r="AF89">
        <v>55.12</v>
      </c>
      <c r="AH89">
        <v>1778111100000</v>
      </c>
      <c r="AI89">
        <v>100.3</v>
      </c>
      <c r="AK89">
        <v>1778109300000</v>
      </c>
      <c r="AL89">
        <v>115.23</v>
      </c>
      <c r="AN89">
        <v>1778109300000</v>
      </c>
      <c r="AO89">
        <v>97.97</v>
      </c>
      <c r="AQ89">
        <v>1778112900000</v>
      </c>
      <c r="AR89">
        <v>123.58</v>
      </c>
      <c r="AT89">
        <v>1778111100000</v>
      </c>
      <c r="AU89">
        <v>90.95</v>
      </c>
      <c r="AV89" s="6"/>
      <c r="AW89">
        <v>1779155100000</v>
      </c>
      <c r="AX89">
        <v>101.94</v>
      </c>
      <c r="AZ89">
        <v>1779151500000</v>
      </c>
      <c r="BA89">
        <v>84.65</v>
      </c>
      <c r="BC89">
        <v>1779159600000</v>
      </c>
      <c r="BD89">
        <v>63.6</v>
      </c>
      <c r="BF89">
        <v>1779149700000</v>
      </c>
      <c r="BG89">
        <v>97</v>
      </c>
      <c r="BI89">
        <v>1779148800000</v>
      </c>
      <c r="BJ89">
        <v>113.47</v>
      </c>
      <c r="BL89">
        <v>1779147000000</v>
      </c>
      <c r="BM89">
        <v>98.85</v>
      </c>
      <c r="BO89">
        <v>1779150600000</v>
      </c>
      <c r="BP89">
        <v>85.97</v>
      </c>
      <c r="BR89">
        <v>1779147900000</v>
      </c>
      <c r="BS89">
        <v>91.9</v>
      </c>
      <c r="BT89" s="6"/>
      <c r="BU89">
        <v>1782262800000</v>
      </c>
      <c r="BV89">
        <v>119.25</v>
      </c>
      <c r="BX89">
        <v>1782259200000</v>
      </c>
      <c r="BY89">
        <v>93.2</v>
      </c>
      <c r="CA89">
        <v>1782265500000</v>
      </c>
      <c r="CB89">
        <v>61.65</v>
      </c>
      <c r="CD89">
        <v>1782260100000</v>
      </c>
      <c r="CE89">
        <v>75.2</v>
      </c>
      <c r="CG89">
        <v>1782258300000</v>
      </c>
      <c r="CH89">
        <v>111.2</v>
      </c>
      <c r="CJ89">
        <v>1782257400000</v>
      </c>
      <c r="CK89">
        <v>96.55</v>
      </c>
      <c r="CM89">
        <v>1782259200000</v>
      </c>
      <c r="CN89">
        <v>100.45</v>
      </c>
      <c r="CP89">
        <v>1782259200000</v>
      </c>
      <c r="CQ89">
        <v>100.23</v>
      </c>
      <c r="CR89" s="6"/>
      <c r="CS89">
        <v>1784075400000</v>
      </c>
      <c r="CT89">
        <v>111.05</v>
      </c>
      <c r="CV89">
        <v>1784076300000</v>
      </c>
      <c r="CW89">
        <v>91.1</v>
      </c>
      <c r="CY89">
        <v>1784080800000</v>
      </c>
      <c r="CZ89">
        <v>81.180000000000007</v>
      </c>
      <c r="DB89">
        <v>1784071800000</v>
      </c>
      <c r="DC89">
        <v>96.33</v>
      </c>
      <c r="DE89">
        <v>1784070900000</v>
      </c>
      <c r="DF89">
        <v>117.2</v>
      </c>
      <c r="DH89">
        <v>1784071800000</v>
      </c>
      <c r="DI89">
        <v>96.83</v>
      </c>
      <c r="DK89">
        <v>1784070900000</v>
      </c>
      <c r="DL89">
        <v>88.92</v>
      </c>
      <c r="DN89">
        <v>1784073600000</v>
      </c>
      <c r="DO89">
        <v>97.8</v>
      </c>
      <c r="DP89" s="6"/>
      <c r="DQ89">
        <v>1784160000000</v>
      </c>
      <c r="DR89">
        <v>111.22</v>
      </c>
      <c r="DT89">
        <v>1784161800000</v>
      </c>
      <c r="DU89">
        <v>97.6</v>
      </c>
      <c r="DW89">
        <v>1784167200000</v>
      </c>
      <c r="DX89">
        <v>46.3</v>
      </c>
      <c r="DZ89">
        <v>1784157300000</v>
      </c>
      <c r="EA89">
        <v>98.08</v>
      </c>
      <c r="EC89">
        <v>1784158200000</v>
      </c>
      <c r="ED89">
        <v>111.43</v>
      </c>
      <c r="EF89">
        <v>1784157300000</v>
      </c>
      <c r="EG89">
        <v>95.4</v>
      </c>
      <c r="EI89">
        <v>1784159100000</v>
      </c>
      <c r="EJ89">
        <v>43.35</v>
      </c>
      <c r="EL89">
        <v>1784158200000</v>
      </c>
      <c r="EM89">
        <v>99.63</v>
      </c>
      <c r="EN89" s="6"/>
    </row>
    <row r="90" spans="1:144">
      <c r="A90">
        <v>1778030100000</v>
      </c>
      <c r="B90">
        <v>122.27</v>
      </c>
      <c r="D90">
        <v>1778027400000</v>
      </c>
      <c r="E90">
        <v>72.25</v>
      </c>
      <c r="G90">
        <v>1778032800000</v>
      </c>
      <c r="H90">
        <v>65.64</v>
      </c>
      <c r="J90">
        <v>1778024700000</v>
      </c>
      <c r="K90">
        <v>97.93</v>
      </c>
      <c r="M90">
        <v>1778023800000</v>
      </c>
      <c r="N90">
        <v>114.27</v>
      </c>
      <c r="P90">
        <v>1778024700000</v>
      </c>
      <c r="Q90">
        <v>91.7</v>
      </c>
      <c r="S90">
        <v>1778028300000</v>
      </c>
      <c r="T90">
        <v>115.2</v>
      </c>
      <c r="V90">
        <v>1778026500000</v>
      </c>
      <c r="W90">
        <v>95.5</v>
      </c>
      <c r="X90" s="6"/>
      <c r="Y90">
        <v>1778114700000</v>
      </c>
      <c r="Z90">
        <v>115.05</v>
      </c>
      <c r="AB90">
        <v>1778110200000</v>
      </c>
      <c r="AC90">
        <v>93.9</v>
      </c>
      <c r="AE90">
        <v>1778121900000</v>
      </c>
      <c r="AF90">
        <v>75.73</v>
      </c>
      <c r="AH90">
        <v>1778112000000</v>
      </c>
      <c r="AI90">
        <v>102.36</v>
      </c>
      <c r="AK90">
        <v>1778110200000</v>
      </c>
      <c r="AL90">
        <v>113</v>
      </c>
      <c r="AN90">
        <v>1778110200000</v>
      </c>
      <c r="AO90">
        <v>94.75</v>
      </c>
      <c r="AQ90">
        <v>1778113800000</v>
      </c>
      <c r="AR90">
        <v>122.83</v>
      </c>
      <c r="AT90">
        <v>1778112000000</v>
      </c>
      <c r="AU90">
        <v>96.78</v>
      </c>
      <c r="AV90" s="6"/>
      <c r="AW90">
        <v>1779156000000</v>
      </c>
      <c r="AX90">
        <v>105.52</v>
      </c>
      <c r="AZ90">
        <v>1779152400000</v>
      </c>
      <c r="BA90">
        <v>88.7</v>
      </c>
      <c r="BC90">
        <v>1779160500000</v>
      </c>
      <c r="BD90">
        <v>92.35</v>
      </c>
      <c r="BF90">
        <v>1779150600000</v>
      </c>
      <c r="BG90">
        <v>100.1</v>
      </c>
      <c r="BI90">
        <v>1779149700000</v>
      </c>
      <c r="BJ90">
        <v>142.13999999999999</v>
      </c>
      <c r="BL90">
        <v>1779147900000</v>
      </c>
      <c r="BM90">
        <v>78.75</v>
      </c>
      <c r="BO90">
        <v>1779151500000</v>
      </c>
      <c r="BP90">
        <v>106.02</v>
      </c>
      <c r="BR90">
        <v>1779148800000</v>
      </c>
      <c r="BS90">
        <v>94.88</v>
      </c>
      <c r="BT90" s="6"/>
      <c r="BU90">
        <v>1782263700000</v>
      </c>
      <c r="BV90">
        <v>155</v>
      </c>
      <c r="BX90">
        <v>1782260100000</v>
      </c>
      <c r="BY90">
        <v>92.9</v>
      </c>
      <c r="CA90">
        <v>1782266400000</v>
      </c>
      <c r="CB90">
        <v>62.43</v>
      </c>
      <c r="CD90">
        <v>1782261000000</v>
      </c>
      <c r="CE90">
        <v>69.92</v>
      </c>
      <c r="CG90">
        <v>1782259200000</v>
      </c>
      <c r="CH90">
        <v>109.23</v>
      </c>
      <c r="CJ90">
        <v>1782258300000</v>
      </c>
      <c r="CK90">
        <v>97.33</v>
      </c>
      <c r="CM90">
        <v>1782260100000</v>
      </c>
      <c r="CN90">
        <v>128.13</v>
      </c>
      <c r="CP90">
        <v>1782260100000</v>
      </c>
      <c r="CQ90">
        <v>96</v>
      </c>
      <c r="CR90" s="6"/>
      <c r="CS90">
        <v>1784076300000</v>
      </c>
      <c r="CT90">
        <v>106.22</v>
      </c>
      <c r="CV90">
        <v>1784077200000</v>
      </c>
      <c r="CW90">
        <v>79.33</v>
      </c>
      <c r="CY90">
        <v>1784081700000</v>
      </c>
      <c r="CZ90">
        <v>78.22</v>
      </c>
      <c r="DB90">
        <v>1784072700000</v>
      </c>
      <c r="DC90">
        <v>93.9</v>
      </c>
      <c r="DE90">
        <v>1784071800000</v>
      </c>
      <c r="DF90">
        <v>116.8</v>
      </c>
      <c r="DH90">
        <v>1784072700000</v>
      </c>
      <c r="DI90">
        <v>98</v>
      </c>
      <c r="DK90">
        <v>1784071800000</v>
      </c>
      <c r="DL90">
        <v>101.55</v>
      </c>
      <c r="DN90">
        <v>1784074500000</v>
      </c>
      <c r="DO90">
        <v>97.63</v>
      </c>
      <c r="DP90" s="6"/>
      <c r="DQ90">
        <v>1784160900000</v>
      </c>
      <c r="DR90">
        <v>99.25</v>
      </c>
      <c r="DT90">
        <v>1784162700000</v>
      </c>
      <c r="DU90">
        <v>83.83</v>
      </c>
      <c r="DW90">
        <v>1784168100000</v>
      </c>
      <c r="DX90">
        <v>63.67</v>
      </c>
      <c r="DZ90">
        <v>1784158200000</v>
      </c>
      <c r="EA90">
        <v>83.46</v>
      </c>
      <c r="EC90">
        <v>1784159100000</v>
      </c>
      <c r="ED90">
        <v>60.45</v>
      </c>
      <c r="EF90">
        <v>1784158200000</v>
      </c>
      <c r="EG90">
        <v>97.28</v>
      </c>
      <c r="EI90">
        <v>1784160000000</v>
      </c>
      <c r="EJ90">
        <v>49.24</v>
      </c>
      <c r="EL90">
        <v>1784159100000</v>
      </c>
      <c r="EM90">
        <v>102.35</v>
      </c>
      <c r="EN90" s="6"/>
    </row>
    <row r="91" spans="1:144">
      <c r="A91">
        <v>1778031000000</v>
      </c>
      <c r="B91">
        <v>102.7</v>
      </c>
      <c r="D91">
        <v>1778028300000</v>
      </c>
      <c r="E91">
        <v>78.7</v>
      </c>
      <c r="G91">
        <v>1778033700000</v>
      </c>
      <c r="H91">
        <v>70.72</v>
      </c>
      <c r="J91">
        <v>1778025600000</v>
      </c>
      <c r="K91">
        <v>92.06</v>
      </c>
      <c r="M91">
        <v>1778024700000</v>
      </c>
      <c r="N91">
        <v>134.25</v>
      </c>
      <c r="P91">
        <v>1778025600000</v>
      </c>
      <c r="Q91">
        <v>97.33</v>
      </c>
      <c r="S91">
        <v>1778029200000</v>
      </c>
      <c r="T91">
        <v>121.83</v>
      </c>
      <c r="V91">
        <v>1778027400000</v>
      </c>
      <c r="W91">
        <v>102.75</v>
      </c>
      <c r="X91" s="6"/>
      <c r="Y91">
        <v>1778115600000</v>
      </c>
      <c r="Z91">
        <v>97.73</v>
      </c>
      <c r="AB91">
        <v>1778111100000</v>
      </c>
      <c r="AC91">
        <v>93</v>
      </c>
      <c r="AE91">
        <v>1778122800000</v>
      </c>
      <c r="AF91">
        <v>54.48</v>
      </c>
      <c r="AH91">
        <v>1778112900000</v>
      </c>
      <c r="AI91">
        <v>86.55</v>
      </c>
      <c r="AK91">
        <v>1778111100000</v>
      </c>
      <c r="AL91">
        <v>111.8</v>
      </c>
      <c r="AN91">
        <v>1778111100000</v>
      </c>
      <c r="AO91">
        <v>95.47</v>
      </c>
      <c r="AQ91">
        <v>1778114700000</v>
      </c>
      <c r="AR91">
        <v>123.32</v>
      </c>
      <c r="AT91">
        <v>1778112900000</v>
      </c>
      <c r="AU91">
        <v>98.37</v>
      </c>
      <c r="AV91" s="6"/>
      <c r="AW91">
        <v>1779156900000</v>
      </c>
      <c r="AX91">
        <v>91.97</v>
      </c>
      <c r="AZ91">
        <v>1779153300000</v>
      </c>
      <c r="BA91">
        <v>86.25</v>
      </c>
      <c r="BC91">
        <v>1779161400000</v>
      </c>
      <c r="BD91">
        <v>68.3</v>
      </c>
      <c r="BF91">
        <v>1779151500000</v>
      </c>
      <c r="BG91">
        <v>78</v>
      </c>
      <c r="BI91">
        <v>1779150600000</v>
      </c>
      <c r="BJ91">
        <v>113.7</v>
      </c>
      <c r="BL91">
        <v>1779148800000</v>
      </c>
      <c r="BM91">
        <v>96.27</v>
      </c>
      <c r="BO91">
        <v>1779152400000</v>
      </c>
      <c r="BP91">
        <v>114.48</v>
      </c>
      <c r="BR91">
        <v>1779149700000</v>
      </c>
      <c r="BS91">
        <v>102.2</v>
      </c>
      <c r="BT91" s="6"/>
      <c r="BU91">
        <v>1782264600000</v>
      </c>
      <c r="BV91">
        <v>90.8</v>
      </c>
      <c r="BX91">
        <v>1782261000000</v>
      </c>
      <c r="BY91">
        <v>87.06</v>
      </c>
      <c r="CA91">
        <v>1782267300000</v>
      </c>
      <c r="CB91">
        <v>28.5</v>
      </c>
      <c r="CD91">
        <v>1782261900000</v>
      </c>
      <c r="CE91">
        <v>81.48</v>
      </c>
      <c r="CG91">
        <v>1782260100000</v>
      </c>
      <c r="CH91">
        <v>140.02000000000001</v>
      </c>
      <c r="CJ91">
        <v>1782259200000</v>
      </c>
      <c r="CK91">
        <v>93.07</v>
      </c>
      <c r="CM91">
        <v>1782261000000</v>
      </c>
      <c r="CN91">
        <v>61.13</v>
      </c>
      <c r="CP91">
        <v>1782261000000</v>
      </c>
      <c r="CQ91">
        <v>101.2</v>
      </c>
      <c r="CR91" s="6"/>
      <c r="CS91">
        <v>1784077200000</v>
      </c>
      <c r="CT91">
        <v>110.38</v>
      </c>
      <c r="CV91">
        <v>1784078100000</v>
      </c>
      <c r="CW91">
        <v>69.95</v>
      </c>
      <c r="CY91">
        <v>1784082600000</v>
      </c>
      <c r="CZ91">
        <v>59.88</v>
      </c>
      <c r="DB91">
        <v>1784073600000</v>
      </c>
      <c r="DC91">
        <v>92.48</v>
      </c>
      <c r="DE91">
        <v>1784072700000</v>
      </c>
      <c r="DF91">
        <v>112.2</v>
      </c>
      <c r="DH91">
        <v>1784073600000</v>
      </c>
      <c r="DI91">
        <v>94.87</v>
      </c>
      <c r="DK91">
        <v>1784072700000</v>
      </c>
      <c r="DL91">
        <v>74.17</v>
      </c>
      <c r="DN91">
        <v>1784075400000</v>
      </c>
      <c r="DO91">
        <v>92.95</v>
      </c>
      <c r="DP91" s="6"/>
      <c r="DQ91">
        <v>1784161800000</v>
      </c>
      <c r="DR91">
        <v>104.63</v>
      </c>
      <c r="DT91">
        <v>1784163600000</v>
      </c>
      <c r="DU91">
        <v>91.7</v>
      </c>
      <c r="DW91">
        <v>1784169000000</v>
      </c>
      <c r="DX91">
        <v>96.61</v>
      </c>
      <c r="DZ91">
        <v>1784159100000</v>
      </c>
      <c r="EA91">
        <v>96.7</v>
      </c>
      <c r="EC91">
        <v>1784160000000</v>
      </c>
      <c r="ED91">
        <v>87.83</v>
      </c>
      <c r="EF91">
        <v>1784159100000</v>
      </c>
      <c r="EG91">
        <v>91.17</v>
      </c>
      <c r="EI91">
        <v>1784160900000</v>
      </c>
      <c r="EJ91">
        <v>92.75</v>
      </c>
      <c r="EL91">
        <v>1784160000000</v>
      </c>
      <c r="EM91">
        <v>95.93</v>
      </c>
      <c r="EN91" s="6"/>
    </row>
    <row r="92" spans="1:144">
      <c r="A92">
        <v>1778031900000</v>
      </c>
      <c r="B92">
        <v>81.5</v>
      </c>
      <c r="D92">
        <v>1778029200000</v>
      </c>
      <c r="E92">
        <v>77</v>
      </c>
      <c r="G92">
        <v>1778034600000</v>
      </c>
      <c r="H92">
        <v>55.32</v>
      </c>
      <c r="J92">
        <v>1778026500000</v>
      </c>
      <c r="K92">
        <v>92.92</v>
      </c>
      <c r="M92">
        <v>1778025600000</v>
      </c>
      <c r="N92">
        <v>104.4</v>
      </c>
      <c r="P92">
        <v>1778026500000</v>
      </c>
      <c r="Q92">
        <v>89.85</v>
      </c>
      <c r="S92">
        <v>1778030100000</v>
      </c>
      <c r="T92">
        <v>92.4</v>
      </c>
      <c r="V92">
        <v>1778028300000</v>
      </c>
      <c r="W92">
        <v>101.52</v>
      </c>
      <c r="X92" s="6"/>
      <c r="Y92">
        <v>1778116500000</v>
      </c>
      <c r="Z92">
        <v>93.03</v>
      </c>
      <c r="AB92">
        <v>1778112000000</v>
      </c>
      <c r="AC92">
        <v>93.42</v>
      </c>
      <c r="AE92">
        <v>1778123700000</v>
      </c>
      <c r="AF92">
        <v>75.08</v>
      </c>
      <c r="AH92">
        <v>1778113800000</v>
      </c>
      <c r="AI92">
        <v>89.58</v>
      </c>
      <c r="AK92">
        <v>1778112000000</v>
      </c>
      <c r="AL92">
        <v>109.3</v>
      </c>
      <c r="AN92">
        <v>1778112000000</v>
      </c>
      <c r="AO92">
        <v>100.95</v>
      </c>
      <c r="AQ92">
        <v>1778115600000</v>
      </c>
      <c r="AR92">
        <v>99.87</v>
      </c>
      <c r="AT92">
        <v>1778113800000</v>
      </c>
      <c r="AU92">
        <v>97.36</v>
      </c>
      <c r="AV92" s="6"/>
      <c r="AW92">
        <v>1779157800000</v>
      </c>
      <c r="AX92">
        <v>79.86</v>
      </c>
      <c r="AZ92">
        <v>1779154200000</v>
      </c>
      <c r="BA92">
        <v>73.7</v>
      </c>
      <c r="BC92">
        <v>1779162300000</v>
      </c>
      <c r="BD92">
        <v>58.95</v>
      </c>
      <c r="BF92">
        <v>1779152400000</v>
      </c>
      <c r="BG92">
        <v>92.9</v>
      </c>
      <c r="BI92">
        <v>1779151500000</v>
      </c>
      <c r="BJ92">
        <v>110.47</v>
      </c>
      <c r="BL92">
        <v>1779149700000</v>
      </c>
      <c r="BM92">
        <v>93</v>
      </c>
      <c r="BO92">
        <v>1779153300000</v>
      </c>
      <c r="BP92">
        <v>102.13</v>
      </c>
      <c r="BR92">
        <v>1779151500000</v>
      </c>
      <c r="BS92">
        <v>100.02</v>
      </c>
      <c r="BT92" s="6"/>
      <c r="BU92">
        <v>1782265500000</v>
      </c>
      <c r="BV92">
        <v>97.23</v>
      </c>
      <c r="BX92">
        <v>1782261900000</v>
      </c>
      <c r="BY92">
        <v>86.95</v>
      </c>
      <c r="CA92">
        <v>1782268200000</v>
      </c>
      <c r="CB92">
        <v>53.12</v>
      </c>
      <c r="CD92">
        <v>1782262800000</v>
      </c>
      <c r="CE92">
        <v>91.73</v>
      </c>
      <c r="CG92">
        <v>1782261000000</v>
      </c>
      <c r="CH92">
        <v>111.9</v>
      </c>
      <c r="CJ92">
        <v>1782260100000</v>
      </c>
      <c r="CK92">
        <v>95.1</v>
      </c>
      <c r="CM92">
        <v>1782261900000</v>
      </c>
      <c r="CN92">
        <v>87.92</v>
      </c>
      <c r="CP92">
        <v>1782261900000</v>
      </c>
      <c r="CQ92">
        <v>112.1</v>
      </c>
      <c r="CR92" s="6"/>
      <c r="CS92">
        <v>1784078100000</v>
      </c>
      <c r="CT92">
        <v>100.6</v>
      </c>
      <c r="CV92">
        <v>1784079000000</v>
      </c>
      <c r="CW92">
        <v>61.65</v>
      </c>
      <c r="CY92">
        <v>1784083500000</v>
      </c>
      <c r="CZ92">
        <v>66.400000000000006</v>
      </c>
      <c r="DB92">
        <v>1784074500000</v>
      </c>
      <c r="DC92">
        <v>96.63</v>
      </c>
      <c r="DE92">
        <v>1784073600000</v>
      </c>
      <c r="DF92">
        <v>110.67</v>
      </c>
      <c r="DH92">
        <v>1784074500000</v>
      </c>
      <c r="DI92">
        <v>98.37</v>
      </c>
      <c r="DK92">
        <v>1784073600000</v>
      </c>
      <c r="DL92">
        <v>74.97</v>
      </c>
      <c r="DN92">
        <v>1784076300000</v>
      </c>
      <c r="DO92">
        <v>85.53</v>
      </c>
      <c r="DP92" s="6"/>
      <c r="DQ92">
        <v>1784162700000</v>
      </c>
      <c r="DR92">
        <v>116.05</v>
      </c>
      <c r="DT92">
        <v>1784164500000</v>
      </c>
      <c r="DU92">
        <v>57.9</v>
      </c>
      <c r="DW92">
        <v>1784169900000</v>
      </c>
      <c r="DX92">
        <v>65.849999999999994</v>
      </c>
      <c r="DZ92">
        <v>1784160000000</v>
      </c>
      <c r="EA92">
        <v>100.88</v>
      </c>
      <c r="EC92">
        <v>1784160900000</v>
      </c>
      <c r="ED92">
        <v>109.78</v>
      </c>
      <c r="EF92">
        <v>1784160000000</v>
      </c>
      <c r="EG92">
        <v>106.93</v>
      </c>
      <c r="EI92">
        <v>1784161800000</v>
      </c>
      <c r="EJ92">
        <v>112.15</v>
      </c>
      <c r="EL92">
        <v>1784160900000</v>
      </c>
      <c r="EM92">
        <v>103.8</v>
      </c>
      <c r="EN92" s="6"/>
    </row>
    <row r="93" spans="1:144">
      <c r="A93">
        <v>1778032800000</v>
      </c>
      <c r="B93">
        <v>64.599999999999994</v>
      </c>
      <c r="D93">
        <v>1778030100000</v>
      </c>
      <c r="E93">
        <v>79.400000000000006</v>
      </c>
      <c r="G93">
        <v>1778035500000</v>
      </c>
      <c r="H93">
        <v>90.65</v>
      </c>
      <c r="J93">
        <v>1778027400000</v>
      </c>
      <c r="K93">
        <v>94.65</v>
      </c>
      <c r="M93">
        <v>1778026500000</v>
      </c>
      <c r="N93">
        <v>110.38</v>
      </c>
      <c r="P93">
        <v>1778027400000</v>
      </c>
      <c r="Q93">
        <v>96.5</v>
      </c>
      <c r="S93">
        <v>1778031000000</v>
      </c>
      <c r="T93">
        <v>70.959999999999994</v>
      </c>
      <c r="V93">
        <v>1778029200000</v>
      </c>
      <c r="W93">
        <v>102.95</v>
      </c>
      <c r="X93" s="6"/>
      <c r="Y93">
        <v>1778117400000</v>
      </c>
      <c r="Z93">
        <v>80.38</v>
      </c>
      <c r="AB93">
        <v>1778112900000</v>
      </c>
      <c r="AC93">
        <v>88.3</v>
      </c>
      <c r="AE93">
        <v>1778124600000</v>
      </c>
      <c r="AF93">
        <v>56.65</v>
      </c>
      <c r="AH93">
        <v>1778114700000</v>
      </c>
      <c r="AI93">
        <v>81.16</v>
      </c>
      <c r="AK93">
        <v>1778112900000</v>
      </c>
      <c r="AL93">
        <v>112.72</v>
      </c>
      <c r="AN93">
        <v>1778112900000</v>
      </c>
      <c r="AO93">
        <v>96.05</v>
      </c>
      <c r="AQ93">
        <v>1778116500000</v>
      </c>
      <c r="AR93">
        <v>92.14</v>
      </c>
      <c r="AT93">
        <v>1778114700000</v>
      </c>
      <c r="AU93">
        <v>93.86</v>
      </c>
      <c r="AV93" s="6"/>
      <c r="AW93">
        <v>1779158700000</v>
      </c>
      <c r="AX93">
        <v>75.92</v>
      </c>
      <c r="AZ93">
        <v>1779155100000</v>
      </c>
      <c r="BA93">
        <v>60.25</v>
      </c>
      <c r="BC93">
        <v>1779163200000</v>
      </c>
      <c r="BD93">
        <v>35.159999999999997</v>
      </c>
      <c r="BF93">
        <v>1779153300000</v>
      </c>
      <c r="BG93">
        <v>65.92</v>
      </c>
      <c r="BI93">
        <v>1779152400000</v>
      </c>
      <c r="BJ93">
        <v>107.8</v>
      </c>
      <c r="BL93">
        <v>1779150600000</v>
      </c>
      <c r="BM93">
        <v>92.8</v>
      </c>
      <c r="BO93">
        <v>1779154200000</v>
      </c>
      <c r="BP93">
        <v>78.53</v>
      </c>
      <c r="BR93">
        <v>1779152400000</v>
      </c>
      <c r="BS93">
        <v>94.47</v>
      </c>
      <c r="BT93" s="6"/>
      <c r="BU93">
        <v>1782266400000</v>
      </c>
      <c r="BV93">
        <v>73.05</v>
      </c>
      <c r="BX93">
        <v>1782262800000</v>
      </c>
      <c r="BY93">
        <v>83.3</v>
      </c>
      <c r="CA93">
        <v>1782269100000</v>
      </c>
      <c r="CB93">
        <v>70.17</v>
      </c>
      <c r="CD93">
        <v>1782263700000</v>
      </c>
      <c r="CE93">
        <v>60.04</v>
      </c>
      <c r="CG93">
        <v>1782261900000</v>
      </c>
      <c r="CH93">
        <v>108.5</v>
      </c>
      <c r="CJ93">
        <v>1782261000000</v>
      </c>
      <c r="CK93">
        <v>93.43</v>
      </c>
      <c r="CM93">
        <v>1782262800000</v>
      </c>
      <c r="CN93">
        <v>110.33</v>
      </c>
      <c r="CP93">
        <v>1782262800000</v>
      </c>
      <c r="CQ93">
        <v>106.62</v>
      </c>
      <c r="CR93" s="6"/>
      <c r="CS93">
        <v>1784079000000</v>
      </c>
      <c r="CT93">
        <v>87.62</v>
      </c>
      <c r="CV93">
        <v>1784079900000</v>
      </c>
      <c r="CW93">
        <v>50.9</v>
      </c>
      <c r="CY93">
        <v>1784084400000</v>
      </c>
      <c r="CZ93">
        <v>59.58</v>
      </c>
      <c r="DB93">
        <v>1784075400000</v>
      </c>
      <c r="DC93">
        <v>84.06</v>
      </c>
      <c r="DE93">
        <v>1784074500000</v>
      </c>
      <c r="DF93">
        <v>116</v>
      </c>
      <c r="DH93">
        <v>1784075400000</v>
      </c>
      <c r="DI93">
        <v>88.2</v>
      </c>
      <c r="DK93">
        <v>1784074500000</v>
      </c>
      <c r="DL93">
        <v>64</v>
      </c>
      <c r="DN93">
        <v>1784077200000</v>
      </c>
      <c r="DO93">
        <v>112.05</v>
      </c>
      <c r="DP93" s="6"/>
      <c r="DQ93">
        <v>1784163600000</v>
      </c>
      <c r="DR93">
        <v>110.53</v>
      </c>
      <c r="DT93">
        <v>1784165400000</v>
      </c>
      <c r="DU93">
        <v>70.38</v>
      </c>
      <c r="DW93">
        <v>1784170800000</v>
      </c>
      <c r="DX93">
        <v>81.37</v>
      </c>
      <c r="DZ93">
        <v>1784160900000</v>
      </c>
      <c r="EA93">
        <v>68.430000000000007</v>
      </c>
      <c r="EC93">
        <v>1784161800000</v>
      </c>
      <c r="ED93">
        <v>116</v>
      </c>
      <c r="EF93">
        <v>1784160900000</v>
      </c>
      <c r="EG93">
        <v>97.93</v>
      </c>
      <c r="EI93">
        <v>1784162700000</v>
      </c>
      <c r="EJ93">
        <v>154.68</v>
      </c>
      <c r="EL93">
        <v>1784161800000</v>
      </c>
      <c r="EM93">
        <v>106.1</v>
      </c>
      <c r="EN93" s="6"/>
    </row>
    <row r="94" spans="1:144">
      <c r="A94">
        <v>1778033700000</v>
      </c>
      <c r="B94">
        <v>95.77</v>
      </c>
      <c r="D94">
        <v>1778031000000</v>
      </c>
      <c r="E94">
        <v>69.95</v>
      </c>
      <c r="G94">
        <v>1778036400000</v>
      </c>
      <c r="H94">
        <v>73.03</v>
      </c>
      <c r="J94">
        <v>1778028300000</v>
      </c>
      <c r="K94">
        <v>89</v>
      </c>
      <c r="M94">
        <v>1778027400000</v>
      </c>
      <c r="N94">
        <v>107.1</v>
      </c>
      <c r="P94">
        <v>1778028300000</v>
      </c>
      <c r="Q94">
        <v>78.88</v>
      </c>
      <c r="S94">
        <v>1778031900000</v>
      </c>
      <c r="T94">
        <v>82.88</v>
      </c>
      <c r="V94">
        <v>1778030100000</v>
      </c>
      <c r="W94">
        <v>72.02</v>
      </c>
      <c r="X94" s="6"/>
      <c r="Y94">
        <v>1778118300000</v>
      </c>
      <c r="Z94">
        <v>102.22</v>
      </c>
      <c r="AB94">
        <v>1778113800000</v>
      </c>
      <c r="AC94">
        <v>79.3</v>
      </c>
      <c r="AE94">
        <v>1778125500000</v>
      </c>
      <c r="AF94">
        <v>86.32</v>
      </c>
      <c r="AH94">
        <v>1778115600000</v>
      </c>
      <c r="AI94">
        <v>100.52</v>
      </c>
      <c r="AK94">
        <v>1778113800000</v>
      </c>
      <c r="AL94">
        <v>112.4</v>
      </c>
      <c r="AN94">
        <v>1778113800000</v>
      </c>
      <c r="AO94">
        <v>90.95</v>
      </c>
      <c r="AQ94">
        <v>1778117400000</v>
      </c>
      <c r="AR94">
        <v>90.23</v>
      </c>
      <c r="AT94">
        <v>1778115600000</v>
      </c>
      <c r="AU94">
        <v>90.3</v>
      </c>
      <c r="AV94" s="6"/>
      <c r="AW94">
        <v>1779159600000</v>
      </c>
      <c r="AX94">
        <v>100.8</v>
      </c>
      <c r="AZ94">
        <v>1779156000000</v>
      </c>
      <c r="BA94">
        <v>62.86</v>
      </c>
      <c r="BC94">
        <v>1779164100000</v>
      </c>
      <c r="BD94">
        <v>42.38</v>
      </c>
      <c r="BF94">
        <v>1779154200000</v>
      </c>
      <c r="BG94">
        <v>70.87</v>
      </c>
      <c r="BI94">
        <v>1779153300000</v>
      </c>
      <c r="BJ94">
        <v>75.2</v>
      </c>
      <c r="BL94">
        <v>1779151500000</v>
      </c>
      <c r="BM94">
        <v>94.73</v>
      </c>
      <c r="BO94">
        <v>1779155100000</v>
      </c>
      <c r="BP94">
        <v>69.64</v>
      </c>
      <c r="BR94">
        <v>1779153300000</v>
      </c>
      <c r="BS94">
        <v>87.12</v>
      </c>
      <c r="BT94" s="6"/>
      <c r="BU94">
        <v>1782267300000</v>
      </c>
      <c r="BV94">
        <v>69.5</v>
      </c>
      <c r="BX94">
        <v>1782263700000</v>
      </c>
      <c r="BY94">
        <v>73.12</v>
      </c>
      <c r="CA94">
        <v>1782270000000</v>
      </c>
      <c r="CB94">
        <v>45.67</v>
      </c>
      <c r="CD94">
        <v>1782264600000</v>
      </c>
      <c r="CE94">
        <v>55.28</v>
      </c>
      <c r="CG94">
        <v>1782262800000</v>
      </c>
      <c r="CH94">
        <v>106.95</v>
      </c>
      <c r="CJ94">
        <v>1782261900000</v>
      </c>
      <c r="CK94">
        <v>88.03</v>
      </c>
      <c r="CM94">
        <v>1782263700000</v>
      </c>
      <c r="CN94">
        <v>69.28</v>
      </c>
      <c r="CP94">
        <v>1782263700000</v>
      </c>
      <c r="CQ94">
        <v>70</v>
      </c>
      <c r="CR94" s="6"/>
      <c r="CS94">
        <v>1784079900000</v>
      </c>
      <c r="CT94">
        <v>109</v>
      </c>
      <c r="CV94">
        <v>1784080800000</v>
      </c>
      <c r="CW94">
        <v>58.58</v>
      </c>
      <c r="CY94">
        <v>1784085300000</v>
      </c>
      <c r="CZ94">
        <v>40.72</v>
      </c>
      <c r="DB94">
        <v>1784076300000</v>
      </c>
      <c r="DC94">
        <v>81.7</v>
      </c>
      <c r="DE94">
        <v>1784075400000</v>
      </c>
      <c r="DF94">
        <v>113.27</v>
      </c>
      <c r="DH94">
        <v>1784076300000</v>
      </c>
      <c r="DI94">
        <v>95.5</v>
      </c>
      <c r="DK94">
        <v>1784075400000</v>
      </c>
      <c r="DL94">
        <v>73.75</v>
      </c>
      <c r="DN94">
        <v>1784078100000</v>
      </c>
      <c r="DO94">
        <v>79.16</v>
      </c>
      <c r="DP94" s="6"/>
      <c r="DQ94">
        <v>1784164500000</v>
      </c>
      <c r="DR94">
        <v>121.63</v>
      </c>
      <c r="DT94">
        <v>1784166300000</v>
      </c>
      <c r="DU94">
        <v>75.3</v>
      </c>
      <c r="DW94">
        <v>1784171700000</v>
      </c>
      <c r="DX94">
        <v>84.88</v>
      </c>
      <c r="DZ94">
        <v>1784161800000</v>
      </c>
      <c r="EA94">
        <v>75.38</v>
      </c>
      <c r="EC94">
        <v>1784162700000</v>
      </c>
      <c r="ED94">
        <v>92.43</v>
      </c>
      <c r="EF94">
        <v>1784161800000</v>
      </c>
      <c r="EG94">
        <v>89.35</v>
      </c>
      <c r="EI94">
        <v>1784163600000</v>
      </c>
      <c r="EJ94">
        <v>61.12</v>
      </c>
      <c r="EL94">
        <v>1784162700000</v>
      </c>
      <c r="EM94">
        <v>87.98</v>
      </c>
      <c r="EN94" s="6"/>
    </row>
    <row r="95" spans="1:144">
      <c r="A95">
        <v>1778034600000</v>
      </c>
      <c r="B95">
        <v>81.31</v>
      </c>
      <c r="D95">
        <v>1778031900000</v>
      </c>
      <c r="E95">
        <v>52.47</v>
      </c>
      <c r="G95">
        <v>1778037300000</v>
      </c>
      <c r="H95">
        <v>56.7</v>
      </c>
      <c r="J95">
        <v>1778029200000</v>
      </c>
      <c r="K95">
        <v>99.22</v>
      </c>
      <c r="M95">
        <v>1778028300000</v>
      </c>
      <c r="N95">
        <v>102.23</v>
      </c>
      <c r="P95">
        <v>1778029200000</v>
      </c>
      <c r="Q95">
        <v>91.15</v>
      </c>
      <c r="S95">
        <v>1778032800000</v>
      </c>
      <c r="T95">
        <v>95.22</v>
      </c>
      <c r="V95">
        <v>1778031000000</v>
      </c>
      <c r="W95">
        <v>58.43</v>
      </c>
      <c r="X95" s="6"/>
      <c r="Y95">
        <v>1778119200000</v>
      </c>
      <c r="Z95">
        <v>82.98</v>
      </c>
      <c r="AB95">
        <v>1778114700000</v>
      </c>
      <c r="AC95">
        <v>92.88</v>
      </c>
      <c r="AE95">
        <v>1778126400000</v>
      </c>
      <c r="AF95">
        <v>62.5</v>
      </c>
      <c r="AH95">
        <v>1778116500000</v>
      </c>
      <c r="AI95">
        <v>79.73</v>
      </c>
      <c r="AK95">
        <v>1778114700000</v>
      </c>
      <c r="AL95">
        <v>112.83</v>
      </c>
      <c r="AN95">
        <v>1778114700000</v>
      </c>
      <c r="AO95">
        <v>95.9</v>
      </c>
      <c r="AQ95">
        <v>1778118300000</v>
      </c>
      <c r="AR95">
        <v>54.34</v>
      </c>
      <c r="AT95">
        <v>1778116500000</v>
      </c>
      <c r="AU95">
        <v>85.52</v>
      </c>
      <c r="AV95" s="6"/>
      <c r="AW95">
        <v>1779160500000</v>
      </c>
      <c r="AX95">
        <v>87.94</v>
      </c>
      <c r="AZ95">
        <v>1779156900000</v>
      </c>
      <c r="BA95">
        <v>64.87</v>
      </c>
      <c r="BC95">
        <v>1779165000000</v>
      </c>
      <c r="BD95">
        <v>44.16</v>
      </c>
      <c r="BF95">
        <v>1779155100000</v>
      </c>
      <c r="BG95">
        <v>48.63</v>
      </c>
      <c r="BI95">
        <v>1779154200000</v>
      </c>
      <c r="BJ95">
        <v>82.5</v>
      </c>
      <c r="BL95">
        <v>1779152400000</v>
      </c>
      <c r="BM95">
        <v>89.97</v>
      </c>
      <c r="BO95">
        <v>1779156000000</v>
      </c>
      <c r="BP95">
        <v>86.19</v>
      </c>
      <c r="BR95">
        <v>1779154200000</v>
      </c>
      <c r="BS95">
        <v>83.56</v>
      </c>
      <c r="BT95" s="6"/>
      <c r="BU95">
        <v>1782268200000</v>
      </c>
      <c r="BV95">
        <v>89.08</v>
      </c>
      <c r="BX95">
        <v>1782264600000</v>
      </c>
      <c r="BY95">
        <v>77.83</v>
      </c>
      <c r="CA95">
        <v>1782270900000</v>
      </c>
      <c r="CB95">
        <v>60.98</v>
      </c>
      <c r="CD95">
        <v>1782265500000</v>
      </c>
      <c r="CE95">
        <v>66.67</v>
      </c>
      <c r="CG95">
        <v>1782263700000</v>
      </c>
      <c r="CH95">
        <v>71.92</v>
      </c>
      <c r="CJ95">
        <v>1782262800000</v>
      </c>
      <c r="CK95">
        <v>29.3</v>
      </c>
      <c r="CM95">
        <v>1782264600000</v>
      </c>
      <c r="CN95">
        <v>86.66</v>
      </c>
      <c r="CP95">
        <v>1782264600000</v>
      </c>
      <c r="CQ95">
        <v>87.5</v>
      </c>
      <c r="CR95" s="6"/>
      <c r="CS95">
        <v>1784080800000</v>
      </c>
      <c r="CT95">
        <v>84.72</v>
      </c>
      <c r="CV95">
        <v>1784081700000</v>
      </c>
      <c r="CW95">
        <v>48.03</v>
      </c>
      <c r="CY95">
        <v>1784086200000</v>
      </c>
      <c r="CZ95">
        <v>68.52</v>
      </c>
      <c r="DB95">
        <v>1784077200000</v>
      </c>
      <c r="DC95">
        <v>72.92</v>
      </c>
      <c r="DE95">
        <v>1784076300000</v>
      </c>
      <c r="DF95">
        <v>105.22</v>
      </c>
      <c r="DH95">
        <v>1784077200000</v>
      </c>
      <c r="DI95">
        <v>78.099999999999994</v>
      </c>
      <c r="DK95">
        <v>1784076300000</v>
      </c>
      <c r="DL95">
        <v>87.36</v>
      </c>
      <c r="DN95">
        <v>1784079000000</v>
      </c>
      <c r="DO95">
        <v>85.1</v>
      </c>
      <c r="DP95" s="6"/>
      <c r="DQ95">
        <v>1784165400000</v>
      </c>
      <c r="DR95">
        <v>87.77</v>
      </c>
      <c r="DT95">
        <v>1784167200000</v>
      </c>
      <c r="DU95">
        <v>49.7</v>
      </c>
      <c r="DW95">
        <v>1784172600000</v>
      </c>
      <c r="DX95">
        <v>87.32</v>
      </c>
      <c r="DZ95">
        <v>1784162700000</v>
      </c>
      <c r="EA95">
        <v>94.65</v>
      </c>
      <c r="EC95">
        <v>1784163600000</v>
      </c>
      <c r="ED95">
        <v>111.5</v>
      </c>
      <c r="EF95">
        <v>1784162700000</v>
      </c>
      <c r="EG95">
        <v>83.27</v>
      </c>
      <c r="EI95">
        <v>1784164500000</v>
      </c>
      <c r="EJ95">
        <v>102.43</v>
      </c>
      <c r="EL95">
        <v>1784163600000</v>
      </c>
      <c r="EM95">
        <v>75.349999999999994</v>
      </c>
      <c r="EN95" s="6"/>
    </row>
    <row r="96" spans="1:144">
      <c r="A96">
        <v>1778035500000</v>
      </c>
      <c r="B96">
        <v>85.23</v>
      </c>
      <c r="D96">
        <v>1778032800000</v>
      </c>
      <c r="E96">
        <v>67.150000000000006</v>
      </c>
      <c r="G96">
        <v>1778038200000</v>
      </c>
      <c r="H96">
        <v>98.04</v>
      </c>
      <c r="J96">
        <v>1778030100000</v>
      </c>
      <c r="K96">
        <v>61.43</v>
      </c>
      <c r="M96">
        <v>1778029200000</v>
      </c>
      <c r="N96">
        <v>106.95</v>
      </c>
      <c r="P96">
        <v>1778030100000</v>
      </c>
      <c r="Q96">
        <v>93.1</v>
      </c>
      <c r="S96">
        <v>1778033700000</v>
      </c>
      <c r="T96">
        <v>69.2</v>
      </c>
      <c r="V96">
        <v>1778031900000</v>
      </c>
      <c r="W96">
        <v>84.7</v>
      </c>
      <c r="X96" s="6"/>
      <c r="Y96">
        <v>1778120100000</v>
      </c>
      <c r="Z96">
        <v>87.68</v>
      </c>
      <c r="AB96">
        <v>1778115600000</v>
      </c>
      <c r="AC96">
        <v>91.22</v>
      </c>
      <c r="AE96">
        <v>1778127300000</v>
      </c>
      <c r="AF96">
        <v>24.1</v>
      </c>
      <c r="AH96">
        <v>1778117400000</v>
      </c>
      <c r="AI96">
        <v>71.680000000000007</v>
      </c>
      <c r="AK96">
        <v>1778115600000</v>
      </c>
      <c r="AL96">
        <v>108.58</v>
      </c>
      <c r="AN96">
        <v>1778115600000</v>
      </c>
      <c r="AO96">
        <v>92.93</v>
      </c>
      <c r="AQ96">
        <v>1778119200000</v>
      </c>
      <c r="AR96">
        <v>68.52</v>
      </c>
      <c r="AT96">
        <v>1778117400000</v>
      </c>
      <c r="AU96">
        <v>78.77</v>
      </c>
      <c r="AV96" s="6"/>
      <c r="AW96">
        <v>1779161400000</v>
      </c>
      <c r="AX96">
        <v>100.5</v>
      </c>
      <c r="AZ96">
        <v>1779157800000</v>
      </c>
      <c r="BA96">
        <v>70.67</v>
      </c>
      <c r="BC96">
        <v>1779165900000</v>
      </c>
      <c r="BD96">
        <v>47.75</v>
      </c>
      <c r="BF96">
        <v>1779156000000</v>
      </c>
      <c r="BG96">
        <v>54.73</v>
      </c>
      <c r="BI96">
        <v>1779155100000</v>
      </c>
      <c r="BJ96">
        <v>80.7</v>
      </c>
      <c r="BL96">
        <v>1779153300000</v>
      </c>
      <c r="BM96">
        <v>88.97</v>
      </c>
      <c r="BO96">
        <v>1779156900000</v>
      </c>
      <c r="BP96">
        <v>87.7</v>
      </c>
      <c r="BR96">
        <v>1779155100000</v>
      </c>
      <c r="BS96">
        <v>78.62</v>
      </c>
      <c r="BT96" s="6"/>
      <c r="BU96">
        <v>1782269100000</v>
      </c>
      <c r="BV96">
        <v>83.82</v>
      </c>
      <c r="BX96">
        <v>1782265500000</v>
      </c>
      <c r="BY96">
        <v>71.22</v>
      </c>
      <c r="CA96">
        <v>1782271800000</v>
      </c>
      <c r="CB96">
        <v>46.7</v>
      </c>
      <c r="CD96">
        <v>1782266400000</v>
      </c>
      <c r="CE96">
        <v>51.72</v>
      </c>
      <c r="CG96">
        <v>1782264600000</v>
      </c>
      <c r="CH96">
        <v>88.42</v>
      </c>
      <c r="CJ96">
        <v>1782263700000</v>
      </c>
      <c r="CK96">
        <v>115.8</v>
      </c>
      <c r="CM96">
        <v>1782265500000</v>
      </c>
      <c r="CN96">
        <v>92.67</v>
      </c>
      <c r="CP96">
        <v>1782265500000</v>
      </c>
      <c r="CQ96">
        <v>85.77</v>
      </c>
      <c r="CR96" s="6"/>
      <c r="CS96">
        <v>1784081700000</v>
      </c>
      <c r="CT96">
        <v>79.930000000000007</v>
      </c>
      <c r="CV96">
        <v>1784082600000</v>
      </c>
      <c r="CW96">
        <v>51.9</v>
      </c>
      <c r="CY96">
        <v>1784087100000</v>
      </c>
      <c r="CZ96">
        <v>89.15</v>
      </c>
      <c r="DB96">
        <v>1784078100000</v>
      </c>
      <c r="DC96">
        <v>51</v>
      </c>
      <c r="DE96">
        <v>1784077200000</v>
      </c>
      <c r="DF96">
        <v>114.04</v>
      </c>
      <c r="DH96">
        <v>1784078100000</v>
      </c>
      <c r="DI96">
        <v>96.6</v>
      </c>
      <c r="DK96">
        <v>1784077200000</v>
      </c>
      <c r="DL96">
        <v>46.35</v>
      </c>
      <c r="DN96">
        <v>1784079900000</v>
      </c>
      <c r="DO96">
        <v>85.7</v>
      </c>
      <c r="DP96" s="6"/>
      <c r="DQ96">
        <v>1784166300000</v>
      </c>
      <c r="DR96">
        <v>101.82</v>
      </c>
      <c r="DT96">
        <v>1784168100000</v>
      </c>
      <c r="DU96">
        <v>73.77</v>
      </c>
      <c r="DW96">
        <v>1784173500000</v>
      </c>
      <c r="DX96">
        <v>80.58</v>
      </c>
      <c r="DZ96">
        <v>1784163600000</v>
      </c>
      <c r="EA96">
        <v>78.77</v>
      </c>
      <c r="EC96">
        <v>1784164500000</v>
      </c>
      <c r="ED96">
        <v>88.7</v>
      </c>
      <c r="EF96">
        <v>1784163600000</v>
      </c>
      <c r="EG96">
        <v>90</v>
      </c>
      <c r="EI96">
        <v>1784165400000</v>
      </c>
      <c r="EJ96">
        <v>61.08</v>
      </c>
      <c r="EL96">
        <v>1784164500000</v>
      </c>
      <c r="EM96">
        <v>66.2</v>
      </c>
      <c r="EN96" s="6"/>
    </row>
    <row r="97" spans="1:144">
      <c r="A97">
        <v>1778036400000</v>
      </c>
      <c r="B97">
        <v>67.72</v>
      </c>
      <c r="D97">
        <v>1778033700000</v>
      </c>
      <c r="E97">
        <v>75.44</v>
      </c>
      <c r="G97">
        <v>1778039100000</v>
      </c>
      <c r="H97">
        <v>67.459999999999994</v>
      </c>
      <c r="J97">
        <v>1778031000000</v>
      </c>
      <c r="K97">
        <v>55.22</v>
      </c>
      <c r="M97">
        <v>1778030100000</v>
      </c>
      <c r="N97">
        <v>97.98</v>
      </c>
      <c r="P97">
        <v>1778031000000</v>
      </c>
      <c r="Q97">
        <v>78.98</v>
      </c>
      <c r="S97">
        <v>1778034600000</v>
      </c>
      <c r="T97">
        <v>79.08</v>
      </c>
      <c r="V97">
        <v>1778032800000</v>
      </c>
      <c r="W97">
        <v>69.760000000000005</v>
      </c>
      <c r="X97" s="6"/>
      <c r="Y97">
        <v>1778121000000</v>
      </c>
      <c r="Z97">
        <v>100.64</v>
      </c>
      <c r="AB97">
        <v>1778116500000</v>
      </c>
      <c r="AC97">
        <v>74.849999999999994</v>
      </c>
      <c r="AE97">
        <v>1778128200000</v>
      </c>
      <c r="AF97">
        <v>80.73</v>
      </c>
      <c r="AH97">
        <v>1778118300000</v>
      </c>
      <c r="AI97">
        <v>33.630000000000003</v>
      </c>
      <c r="AK97">
        <v>1778116500000</v>
      </c>
      <c r="AL97">
        <v>94.85</v>
      </c>
      <c r="AN97">
        <v>1778116500000</v>
      </c>
      <c r="AO97">
        <v>90.1</v>
      </c>
      <c r="AQ97">
        <v>1778120100000</v>
      </c>
      <c r="AR97">
        <v>51.06</v>
      </c>
      <c r="AT97">
        <v>1778118300000</v>
      </c>
      <c r="AU97">
        <v>78.849999999999994</v>
      </c>
      <c r="AV97" s="6"/>
      <c r="AW97">
        <v>1779162300000</v>
      </c>
      <c r="AX97">
        <v>77.2</v>
      </c>
      <c r="AZ97">
        <v>1779158700000</v>
      </c>
      <c r="BA97">
        <v>67.180000000000007</v>
      </c>
      <c r="BC97">
        <v>1779166800000</v>
      </c>
      <c r="BD97">
        <v>26.9</v>
      </c>
      <c r="BF97">
        <v>1779156900000</v>
      </c>
      <c r="BG97">
        <v>46.22</v>
      </c>
      <c r="BI97">
        <v>1779156000000</v>
      </c>
      <c r="BJ97">
        <v>93.9</v>
      </c>
      <c r="BL97">
        <v>1779154200000</v>
      </c>
      <c r="BM97">
        <v>62.19</v>
      </c>
      <c r="BO97">
        <v>1779157800000</v>
      </c>
      <c r="BP97">
        <v>66.42</v>
      </c>
      <c r="BR97">
        <v>1779156000000</v>
      </c>
      <c r="BS97">
        <v>64.83</v>
      </c>
      <c r="BT97" s="6"/>
      <c r="BU97">
        <v>1782270000000</v>
      </c>
      <c r="BV97">
        <v>98.36</v>
      </c>
      <c r="BX97">
        <v>1782266400000</v>
      </c>
      <c r="BY97">
        <v>53.62</v>
      </c>
      <c r="CA97">
        <v>1782272700000</v>
      </c>
      <c r="CB97">
        <v>62.5</v>
      </c>
      <c r="CD97">
        <v>1782267300000</v>
      </c>
      <c r="CE97">
        <v>61.75</v>
      </c>
      <c r="CG97">
        <v>1782265500000</v>
      </c>
      <c r="CH97">
        <v>93.57</v>
      </c>
      <c r="CJ97">
        <v>1782264600000</v>
      </c>
      <c r="CK97">
        <v>82.34</v>
      </c>
      <c r="CM97">
        <v>1782266400000</v>
      </c>
      <c r="CN97">
        <v>80.84</v>
      </c>
      <c r="CP97">
        <v>1782266400000</v>
      </c>
      <c r="CQ97">
        <v>81.73</v>
      </c>
      <c r="CR97" s="6"/>
      <c r="CS97">
        <v>1784082600000</v>
      </c>
      <c r="CT97">
        <v>71.180000000000007</v>
      </c>
      <c r="CV97">
        <v>1784083500000</v>
      </c>
      <c r="CW97">
        <v>61.23</v>
      </c>
      <c r="CY97">
        <v>1784088000000</v>
      </c>
      <c r="CZ97">
        <v>75.45</v>
      </c>
      <c r="DB97">
        <v>1784079000000</v>
      </c>
      <c r="DC97">
        <v>77.150000000000006</v>
      </c>
      <c r="DE97">
        <v>1784078100000</v>
      </c>
      <c r="DF97">
        <v>86.1</v>
      </c>
      <c r="DH97">
        <v>1784079000000</v>
      </c>
      <c r="DI97">
        <v>82.07</v>
      </c>
      <c r="DK97">
        <v>1784078100000</v>
      </c>
      <c r="DL97">
        <v>75.03</v>
      </c>
      <c r="DN97">
        <v>1784080800000</v>
      </c>
      <c r="DO97">
        <v>81.47</v>
      </c>
      <c r="DP97" s="6"/>
      <c r="DQ97">
        <v>1784167200000</v>
      </c>
      <c r="DR97">
        <v>62.22</v>
      </c>
      <c r="DT97">
        <v>1784169000000</v>
      </c>
      <c r="DU97">
        <v>75.38</v>
      </c>
      <c r="DW97">
        <v>1784174400000</v>
      </c>
      <c r="DX97">
        <v>36.28</v>
      </c>
      <c r="DZ97">
        <v>1784164500000</v>
      </c>
      <c r="EA97">
        <v>48.1</v>
      </c>
      <c r="EC97">
        <v>1784165400000</v>
      </c>
      <c r="ED97">
        <v>95.41</v>
      </c>
      <c r="EF97">
        <v>1784164500000</v>
      </c>
      <c r="EG97">
        <v>101.63</v>
      </c>
      <c r="EI97">
        <v>1784166300000</v>
      </c>
      <c r="EJ97">
        <v>67.86</v>
      </c>
      <c r="EL97">
        <v>1784165400000</v>
      </c>
      <c r="EM97">
        <v>89.6</v>
      </c>
      <c r="EN97" s="6"/>
    </row>
    <row r="98" spans="1:144">
      <c r="A98">
        <v>1778037300000</v>
      </c>
      <c r="B98">
        <v>82.17</v>
      </c>
      <c r="D98">
        <v>1778034600000</v>
      </c>
      <c r="E98">
        <v>76.33</v>
      </c>
      <c r="G98">
        <v>1778040000000</v>
      </c>
      <c r="H98">
        <v>50.1</v>
      </c>
      <c r="J98">
        <v>1778031900000</v>
      </c>
      <c r="K98">
        <v>48.9</v>
      </c>
      <c r="M98">
        <v>1778031000000</v>
      </c>
      <c r="N98">
        <v>90.4</v>
      </c>
      <c r="P98">
        <v>1778031900000</v>
      </c>
      <c r="Q98">
        <v>82.65</v>
      </c>
      <c r="S98">
        <v>1778035500000</v>
      </c>
      <c r="T98">
        <v>74.13</v>
      </c>
      <c r="V98">
        <v>1778033700000</v>
      </c>
      <c r="W98">
        <v>78.8</v>
      </c>
      <c r="X98" s="6"/>
      <c r="Y98">
        <v>1778121900000</v>
      </c>
      <c r="Z98">
        <v>91.66</v>
      </c>
      <c r="AB98">
        <v>1778117400000</v>
      </c>
      <c r="AC98">
        <v>69.38</v>
      </c>
      <c r="AE98">
        <v>1778129100000</v>
      </c>
      <c r="AF98">
        <v>43.45</v>
      </c>
      <c r="AH98">
        <v>1778119200000</v>
      </c>
      <c r="AI98">
        <v>54.02</v>
      </c>
      <c r="AK98">
        <v>1778117400000</v>
      </c>
      <c r="AL98">
        <v>95.8</v>
      </c>
      <c r="AN98">
        <v>1778117400000</v>
      </c>
      <c r="AO98">
        <v>87.65</v>
      </c>
      <c r="AQ98">
        <v>1778121000000</v>
      </c>
      <c r="AR98">
        <v>111.88</v>
      </c>
      <c r="AT98">
        <v>1778119200000</v>
      </c>
      <c r="AU98">
        <v>75.33</v>
      </c>
      <c r="AV98" s="6"/>
      <c r="AW98">
        <v>1779163200000</v>
      </c>
      <c r="AX98">
        <v>98.22</v>
      </c>
      <c r="AZ98">
        <v>1779159600000</v>
      </c>
      <c r="BA98">
        <v>69.73</v>
      </c>
      <c r="BC98">
        <v>1779167700000</v>
      </c>
      <c r="BD98">
        <v>46.7</v>
      </c>
      <c r="BF98">
        <v>1779157800000</v>
      </c>
      <c r="BG98">
        <v>58.6</v>
      </c>
      <c r="BI98">
        <v>1779156900000</v>
      </c>
      <c r="BJ98">
        <v>137.53</v>
      </c>
      <c r="BL98">
        <v>1779155100000</v>
      </c>
      <c r="BM98">
        <v>62.35</v>
      </c>
      <c r="BO98">
        <v>1779158700000</v>
      </c>
      <c r="BP98">
        <v>75.88</v>
      </c>
      <c r="BR98">
        <v>1779156900000</v>
      </c>
      <c r="BS98">
        <v>86.18</v>
      </c>
      <c r="BT98" s="6"/>
      <c r="BU98">
        <v>1782270900000</v>
      </c>
      <c r="BV98">
        <v>73.3</v>
      </c>
      <c r="BX98">
        <v>1782267300000</v>
      </c>
      <c r="BY98">
        <v>61.4</v>
      </c>
      <c r="CA98">
        <v>1782273600000</v>
      </c>
      <c r="CB98">
        <v>77.150000000000006</v>
      </c>
      <c r="CD98">
        <v>1782268200000</v>
      </c>
      <c r="CE98">
        <v>60.19</v>
      </c>
      <c r="CG98">
        <v>1782266400000</v>
      </c>
      <c r="CH98">
        <v>92.05</v>
      </c>
      <c r="CJ98">
        <v>1782265500000</v>
      </c>
      <c r="CK98">
        <v>80.38</v>
      </c>
      <c r="CM98">
        <v>1782267300000</v>
      </c>
      <c r="CN98">
        <v>86.7</v>
      </c>
      <c r="CP98">
        <v>1782267300000</v>
      </c>
      <c r="CQ98">
        <v>88.25</v>
      </c>
      <c r="CR98" s="6"/>
      <c r="CS98">
        <v>1784083500000</v>
      </c>
      <c r="CT98">
        <v>100.98</v>
      </c>
      <c r="CV98">
        <v>1784084400000</v>
      </c>
      <c r="CW98">
        <v>45.3</v>
      </c>
      <c r="CY98">
        <v>1784088900000</v>
      </c>
      <c r="CZ98">
        <v>38.36</v>
      </c>
      <c r="DB98">
        <v>1784079900000</v>
      </c>
      <c r="DC98">
        <v>72.5</v>
      </c>
      <c r="DE98">
        <v>1784079000000</v>
      </c>
      <c r="DF98">
        <v>95.43</v>
      </c>
      <c r="DH98">
        <v>1784079900000</v>
      </c>
      <c r="DI98">
        <v>83.87</v>
      </c>
      <c r="DK98">
        <v>1784079000000</v>
      </c>
      <c r="DL98">
        <v>105</v>
      </c>
      <c r="DN98">
        <v>1784081700000</v>
      </c>
      <c r="DO98">
        <v>74.36</v>
      </c>
      <c r="DP98" s="6"/>
      <c r="DQ98">
        <v>1784168100000</v>
      </c>
      <c r="DR98">
        <v>90.18</v>
      </c>
      <c r="DT98">
        <v>1784169900000</v>
      </c>
      <c r="DU98">
        <v>79.8</v>
      </c>
      <c r="DW98">
        <v>1784175300000</v>
      </c>
      <c r="DX98">
        <v>47.72</v>
      </c>
      <c r="DZ98">
        <v>1784165400000</v>
      </c>
      <c r="EA98">
        <v>50.88</v>
      </c>
      <c r="EC98">
        <v>1784166300000</v>
      </c>
      <c r="ED98">
        <v>118.6</v>
      </c>
      <c r="EF98">
        <v>1784165400000</v>
      </c>
      <c r="EG98">
        <v>83.02</v>
      </c>
      <c r="EI98">
        <v>1784167200000</v>
      </c>
      <c r="EJ98">
        <v>37.770000000000003</v>
      </c>
      <c r="EL98">
        <v>1784166300000</v>
      </c>
      <c r="EM98">
        <v>70.849999999999994</v>
      </c>
      <c r="EN98" s="6"/>
    </row>
    <row r="99" spans="1:144">
      <c r="A99">
        <v>1778038200000</v>
      </c>
      <c r="B99">
        <v>91.77</v>
      </c>
      <c r="D99">
        <v>1778035500000</v>
      </c>
      <c r="E99">
        <v>68.25</v>
      </c>
      <c r="G99">
        <v>1778040900000</v>
      </c>
      <c r="H99">
        <v>36.1</v>
      </c>
      <c r="J99">
        <v>1778032800000</v>
      </c>
      <c r="K99">
        <v>70.930000000000007</v>
      </c>
      <c r="M99">
        <v>1778031900000</v>
      </c>
      <c r="N99">
        <v>101.71</v>
      </c>
      <c r="P99">
        <v>1778032800000</v>
      </c>
      <c r="Q99">
        <v>74.03</v>
      </c>
      <c r="S99">
        <v>1778036400000</v>
      </c>
      <c r="T99">
        <v>65.8</v>
      </c>
      <c r="V99">
        <v>1778034600000</v>
      </c>
      <c r="W99">
        <v>86.93</v>
      </c>
      <c r="X99" s="6"/>
      <c r="Y99">
        <v>1778122800000</v>
      </c>
      <c r="Z99">
        <v>87.63</v>
      </c>
      <c r="AB99">
        <v>1778118300000</v>
      </c>
      <c r="AC99">
        <v>71.400000000000006</v>
      </c>
      <c r="AE99">
        <v>1778130000000</v>
      </c>
      <c r="AF99">
        <v>61.7</v>
      </c>
      <c r="AH99">
        <v>1778120100000</v>
      </c>
      <c r="AI99">
        <v>41.18</v>
      </c>
      <c r="AK99">
        <v>1778118300000</v>
      </c>
      <c r="AL99">
        <v>84.36</v>
      </c>
      <c r="AN99">
        <v>1778118300000</v>
      </c>
      <c r="AO99">
        <v>83.54</v>
      </c>
      <c r="AQ99">
        <v>1778121900000</v>
      </c>
      <c r="AR99">
        <v>79.33</v>
      </c>
      <c r="AT99">
        <v>1778120100000</v>
      </c>
      <c r="AU99">
        <v>78.28</v>
      </c>
      <c r="AV99" s="6"/>
      <c r="AW99">
        <v>1779164100000</v>
      </c>
      <c r="AX99">
        <v>39.340000000000003</v>
      </c>
      <c r="AZ99">
        <v>1779160500000</v>
      </c>
      <c r="BA99">
        <v>51.06</v>
      </c>
      <c r="BC99">
        <v>1779168600000</v>
      </c>
      <c r="BD99">
        <v>17.75</v>
      </c>
      <c r="BF99">
        <v>1779158700000</v>
      </c>
      <c r="BG99">
        <v>61.42</v>
      </c>
      <c r="BI99">
        <v>1779157800000</v>
      </c>
      <c r="BJ99">
        <v>86.61</v>
      </c>
      <c r="BL99">
        <v>1779156000000</v>
      </c>
      <c r="BM99">
        <v>80.5</v>
      </c>
      <c r="BO99">
        <v>1779159600000</v>
      </c>
      <c r="BP99">
        <v>57.31</v>
      </c>
      <c r="BR99">
        <v>1779157800000</v>
      </c>
      <c r="BS99">
        <v>87.53</v>
      </c>
      <c r="BT99" s="6"/>
      <c r="BU99">
        <v>1782271800000</v>
      </c>
      <c r="BV99">
        <v>94.89</v>
      </c>
      <c r="BX99">
        <v>1782268200000</v>
      </c>
      <c r="BY99">
        <v>55.63</v>
      </c>
      <c r="CA99">
        <v>1782274500000</v>
      </c>
      <c r="CB99">
        <v>54.78</v>
      </c>
      <c r="CD99">
        <v>1782269100000</v>
      </c>
      <c r="CE99">
        <v>60.6</v>
      </c>
      <c r="CG99">
        <v>1782267300000</v>
      </c>
      <c r="CH99">
        <v>91.2</v>
      </c>
      <c r="CJ99">
        <v>1782266400000</v>
      </c>
      <c r="CK99">
        <v>85.35</v>
      </c>
      <c r="CM99">
        <v>1782268200000</v>
      </c>
      <c r="CN99">
        <v>89.97</v>
      </c>
      <c r="CP99">
        <v>1782268200000</v>
      </c>
      <c r="CQ99">
        <v>89.45</v>
      </c>
      <c r="CR99" s="6"/>
      <c r="CS99">
        <v>1784084400000</v>
      </c>
      <c r="CT99">
        <v>84.12</v>
      </c>
      <c r="CV99">
        <v>1784085300000</v>
      </c>
      <c r="CW99">
        <v>51.86</v>
      </c>
      <c r="CY99">
        <v>1784089800000</v>
      </c>
      <c r="CZ99">
        <v>34.56</v>
      </c>
      <c r="DB99">
        <v>1784080800000</v>
      </c>
      <c r="DC99">
        <v>72.02</v>
      </c>
      <c r="DE99">
        <v>1784079900000</v>
      </c>
      <c r="DF99">
        <v>84.05</v>
      </c>
      <c r="DH99">
        <v>1784080800000</v>
      </c>
      <c r="DI99">
        <v>73.02</v>
      </c>
      <c r="DK99">
        <v>1784079900000</v>
      </c>
      <c r="DL99">
        <v>45.9</v>
      </c>
      <c r="DN99">
        <v>1784082600000</v>
      </c>
      <c r="DO99">
        <v>95.27</v>
      </c>
      <c r="DP99" s="6"/>
      <c r="DQ99">
        <v>1784169000000</v>
      </c>
      <c r="DR99">
        <v>90.6</v>
      </c>
      <c r="DT99">
        <v>1784170800000</v>
      </c>
      <c r="DU99">
        <v>64.47</v>
      </c>
      <c r="DW99">
        <v>1784176200000</v>
      </c>
      <c r="DX99">
        <v>29.07</v>
      </c>
      <c r="DZ99">
        <v>1784166300000</v>
      </c>
      <c r="EA99">
        <v>62.02</v>
      </c>
      <c r="EC99">
        <v>1784167200000</v>
      </c>
      <c r="ED99">
        <v>87.22</v>
      </c>
      <c r="EF99">
        <v>1784166300000</v>
      </c>
      <c r="EG99">
        <v>79.13</v>
      </c>
      <c r="EI99">
        <v>1784168100000</v>
      </c>
      <c r="EJ99">
        <v>67.83</v>
      </c>
      <c r="EL99">
        <v>1784167200000</v>
      </c>
      <c r="EM99">
        <v>89.92</v>
      </c>
      <c r="EN99" s="6"/>
    </row>
    <row r="100" spans="1:144">
      <c r="A100">
        <v>1778039100000</v>
      </c>
      <c r="B100">
        <v>85.09</v>
      </c>
      <c r="D100">
        <v>1778036400000</v>
      </c>
      <c r="E100">
        <v>62.43</v>
      </c>
      <c r="G100">
        <v>1778041800000</v>
      </c>
      <c r="H100">
        <v>43.98</v>
      </c>
      <c r="J100">
        <v>1778033700000</v>
      </c>
      <c r="K100">
        <v>50.97</v>
      </c>
      <c r="M100">
        <v>1778032800000</v>
      </c>
      <c r="N100">
        <v>88.32</v>
      </c>
      <c r="P100">
        <v>1778033700000</v>
      </c>
      <c r="Q100">
        <v>80.400000000000006</v>
      </c>
      <c r="S100">
        <v>1778037300000</v>
      </c>
      <c r="T100">
        <v>63.34</v>
      </c>
      <c r="V100">
        <v>1778035500000</v>
      </c>
      <c r="W100">
        <v>67.83</v>
      </c>
      <c r="X100" s="6"/>
      <c r="Y100">
        <v>1778123700000</v>
      </c>
      <c r="Z100">
        <v>77.040000000000006</v>
      </c>
      <c r="AB100">
        <v>1778119200000</v>
      </c>
      <c r="AC100">
        <v>70.94</v>
      </c>
      <c r="AE100">
        <v>1778130900000</v>
      </c>
      <c r="AF100">
        <v>69.63</v>
      </c>
      <c r="AH100">
        <v>1778121000000</v>
      </c>
      <c r="AI100">
        <v>52.96</v>
      </c>
      <c r="AK100">
        <v>1778119200000</v>
      </c>
      <c r="AL100">
        <v>98.3</v>
      </c>
      <c r="AN100">
        <v>1778119200000</v>
      </c>
      <c r="AO100">
        <v>83.42</v>
      </c>
      <c r="AQ100">
        <v>1778122800000</v>
      </c>
      <c r="AR100">
        <v>83.46</v>
      </c>
      <c r="AT100">
        <v>1778121000000</v>
      </c>
      <c r="AU100">
        <v>77.98</v>
      </c>
      <c r="AV100" s="6"/>
      <c r="AW100">
        <v>1779165000000</v>
      </c>
      <c r="AX100">
        <v>50.34</v>
      </c>
      <c r="AZ100">
        <v>1779161400000</v>
      </c>
      <c r="BA100">
        <v>41.75</v>
      </c>
      <c r="BC100">
        <v>1779169500000</v>
      </c>
      <c r="BD100">
        <v>12.95</v>
      </c>
      <c r="BF100">
        <v>1779159600000</v>
      </c>
      <c r="BG100">
        <v>60.16</v>
      </c>
      <c r="BI100">
        <v>1779158700000</v>
      </c>
      <c r="BJ100">
        <v>88.68</v>
      </c>
      <c r="BL100">
        <v>1779156900000</v>
      </c>
      <c r="BM100">
        <v>79.38</v>
      </c>
      <c r="BO100">
        <v>1779160500000</v>
      </c>
      <c r="BP100">
        <v>87.22</v>
      </c>
      <c r="BR100">
        <v>1779158700000</v>
      </c>
      <c r="BS100">
        <v>81.62</v>
      </c>
      <c r="BT100" s="6"/>
      <c r="BU100">
        <v>1782272700000</v>
      </c>
      <c r="BV100">
        <v>77.489999999999995</v>
      </c>
      <c r="BX100">
        <v>1782269100000</v>
      </c>
      <c r="BY100">
        <v>56.98</v>
      </c>
      <c r="CA100">
        <v>1782275400000</v>
      </c>
      <c r="CB100">
        <v>56.83</v>
      </c>
      <c r="CD100">
        <v>1782270000000</v>
      </c>
      <c r="CE100">
        <v>49.54</v>
      </c>
      <c r="CG100">
        <v>1782268200000</v>
      </c>
      <c r="CH100">
        <v>87.32</v>
      </c>
      <c r="CJ100">
        <v>1782267300000</v>
      </c>
      <c r="CK100">
        <v>73.86</v>
      </c>
      <c r="CM100">
        <v>1782269100000</v>
      </c>
      <c r="CN100">
        <v>67.36</v>
      </c>
      <c r="CP100">
        <v>1782269100000</v>
      </c>
      <c r="CQ100">
        <v>74.95</v>
      </c>
      <c r="CR100" s="6"/>
      <c r="CS100">
        <v>1784085300000</v>
      </c>
      <c r="CT100">
        <v>75.42</v>
      </c>
      <c r="CV100">
        <v>1784086200000</v>
      </c>
      <c r="CW100">
        <v>56.22</v>
      </c>
      <c r="CY100">
        <v>1784090700000</v>
      </c>
      <c r="CZ100">
        <v>23.95</v>
      </c>
      <c r="DB100">
        <v>1784081700000</v>
      </c>
      <c r="DC100">
        <v>63.16</v>
      </c>
      <c r="DE100">
        <v>1784080800000</v>
      </c>
      <c r="DF100">
        <v>74.28</v>
      </c>
      <c r="DH100">
        <v>1784081700000</v>
      </c>
      <c r="DI100">
        <v>73.900000000000006</v>
      </c>
      <c r="DK100">
        <v>1784080800000</v>
      </c>
      <c r="DL100">
        <v>84.82</v>
      </c>
      <c r="DN100">
        <v>1784083500000</v>
      </c>
      <c r="DO100">
        <v>87.87</v>
      </c>
      <c r="DP100" s="6"/>
      <c r="DQ100">
        <v>1784169900000</v>
      </c>
      <c r="DR100">
        <v>88.47</v>
      </c>
      <c r="DT100">
        <v>1784171700000</v>
      </c>
      <c r="DU100">
        <v>48.45</v>
      </c>
      <c r="DW100">
        <v>1784177100000</v>
      </c>
      <c r="DX100">
        <v>33</v>
      </c>
      <c r="DZ100">
        <v>1784167200000</v>
      </c>
      <c r="EA100">
        <v>81.349999999999994</v>
      </c>
      <c r="EC100">
        <v>1784168100000</v>
      </c>
      <c r="ED100">
        <v>100.46</v>
      </c>
      <c r="EF100">
        <v>1784167200000</v>
      </c>
      <c r="EG100">
        <v>76.599999999999994</v>
      </c>
      <c r="EI100">
        <v>1784169000000</v>
      </c>
      <c r="EJ100">
        <v>64.7</v>
      </c>
      <c r="EL100">
        <v>1784168100000</v>
      </c>
      <c r="EM100">
        <v>80.33</v>
      </c>
      <c r="EN100" s="6"/>
    </row>
    <row r="101" spans="1:144">
      <c r="A101">
        <v>1778040000000</v>
      </c>
      <c r="B101">
        <v>69.459999999999994</v>
      </c>
      <c r="D101">
        <v>1778037300000</v>
      </c>
      <c r="E101">
        <v>61.8</v>
      </c>
      <c r="G101">
        <v>1778042700000</v>
      </c>
      <c r="H101">
        <v>60.2</v>
      </c>
      <c r="J101">
        <v>1778034600000</v>
      </c>
      <c r="K101">
        <v>69.28</v>
      </c>
      <c r="M101">
        <v>1778033700000</v>
      </c>
      <c r="N101">
        <v>96.35</v>
      </c>
      <c r="P101">
        <v>1778034600000</v>
      </c>
      <c r="Q101">
        <v>90.25</v>
      </c>
      <c r="S101">
        <v>1778038200000</v>
      </c>
      <c r="T101">
        <v>59.03</v>
      </c>
      <c r="V101">
        <v>1778036400000</v>
      </c>
      <c r="W101">
        <v>78.709999999999994</v>
      </c>
      <c r="X101" s="6"/>
      <c r="Y101">
        <v>1778124600000</v>
      </c>
      <c r="Z101">
        <v>59.44</v>
      </c>
      <c r="AB101">
        <v>1778120100000</v>
      </c>
      <c r="AC101">
        <v>71.88</v>
      </c>
      <c r="AE101">
        <v>1778131800000</v>
      </c>
      <c r="AF101">
        <v>35.28</v>
      </c>
      <c r="AH101">
        <v>1778121900000</v>
      </c>
      <c r="AI101">
        <v>52.87</v>
      </c>
      <c r="AK101">
        <v>1778120100000</v>
      </c>
      <c r="AL101">
        <v>98.04</v>
      </c>
      <c r="AN101">
        <v>1778120100000</v>
      </c>
      <c r="AO101">
        <v>83.53</v>
      </c>
      <c r="AQ101">
        <v>1778123700000</v>
      </c>
      <c r="AR101">
        <v>100.17</v>
      </c>
      <c r="AT101">
        <v>1778121900000</v>
      </c>
      <c r="AU101">
        <v>78.37</v>
      </c>
      <c r="AV101" s="6"/>
      <c r="AW101">
        <v>1779165900000</v>
      </c>
      <c r="AX101">
        <v>35</v>
      </c>
      <c r="AZ101">
        <v>1779162300000</v>
      </c>
      <c r="BA101">
        <v>42.95</v>
      </c>
      <c r="BF101">
        <v>1779160500000</v>
      </c>
      <c r="BG101">
        <v>79.14</v>
      </c>
      <c r="BI101">
        <v>1779159600000</v>
      </c>
      <c r="BJ101">
        <v>97.6</v>
      </c>
      <c r="BL101">
        <v>1779157800000</v>
      </c>
      <c r="BM101">
        <v>81.069999999999993</v>
      </c>
      <c r="BO101">
        <v>1779161400000</v>
      </c>
      <c r="BP101">
        <v>89.64</v>
      </c>
      <c r="BR101">
        <v>1779159600000</v>
      </c>
      <c r="BS101">
        <v>96.12</v>
      </c>
      <c r="BT101" s="6"/>
      <c r="BU101">
        <v>1782273600000</v>
      </c>
      <c r="BV101">
        <v>88.06</v>
      </c>
      <c r="BX101">
        <v>1782270000000</v>
      </c>
      <c r="BY101">
        <v>48.83</v>
      </c>
      <c r="CA101">
        <v>1782276300000</v>
      </c>
      <c r="CB101">
        <v>46.3</v>
      </c>
      <c r="CD101">
        <v>1782270900000</v>
      </c>
      <c r="CE101">
        <v>51.64</v>
      </c>
      <c r="CG101">
        <v>1782269100000</v>
      </c>
      <c r="CH101">
        <v>93.34</v>
      </c>
      <c r="CJ101">
        <v>1782268200000</v>
      </c>
      <c r="CK101">
        <v>72.2</v>
      </c>
      <c r="CM101">
        <v>1782270000000</v>
      </c>
      <c r="CN101">
        <v>105.82</v>
      </c>
      <c r="CP101">
        <v>1782270000000</v>
      </c>
      <c r="CQ101">
        <v>82.33</v>
      </c>
      <c r="CR101" s="6"/>
      <c r="CS101">
        <v>1784086200000</v>
      </c>
      <c r="CT101">
        <v>54.16</v>
      </c>
      <c r="CV101">
        <v>1784087100000</v>
      </c>
      <c r="CW101">
        <v>37.369999999999997</v>
      </c>
      <c r="CY101">
        <v>1784091600000</v>
      </c>
      <c r="CZ101">
        <v>26.56</v>
      </c>
      <c r="DB101">
        <v>1784082600000</v>
      </c>
      <c r="DC101">
        <v>66.040000000000006</v>
      </c>
      <c r="DE101">
        <v>1784081700000</v>
      </c>
      <c r="DF101">
        <v>106.93</v>
      </c>
      <c r="DH101">
        <v>1784082600000</v>
      </c>
      <c r="DI101">
        <v>79.97</v>
      </c>
      <c r="DK101">
        <v>1784081700000</v>
      </c>
      <c r="DL101">
        <v>52.17</v>
      </c>
      <c r="DN101">
        <v>1784084400000</v>
      </c>
      <c r="DO101">
        <v>83.78</v>
      </c>
      <c r="DP101" s="6"/>
      <c r="DQ101">
        <v>1784170800000</v>
      </c>
      <c r="DR101">
        <v>57.82</v>
      </c>
      <c r="DT101">
        <v>1784172600000</v>
      </c>
      <c r="DU101">
        <v>49.68</v>
      </c>
      <c r="DW101">
        <v>1784178000000</v>
      </c>
      <c r="DX101">
        <v>28.82</v>
      </c>
      <c r="DZ101">
        <v>1784168100000</v>
      </c>
      <c r="EA101">
        <v>46.37</v>
      </c>
      <c r="EC101">
        <v>1784169000000</v>
      </c>
      <c r="ED101">
        <v>94.2</v>
      </c>
      <c r="EF101">
        <v>1784168100000</v>
      </c>
      <c r="EG101">
        <v>85.57</v>
      </c>
      <c r="EI101">
        <v>1784169900000</v>
      </c>
      <c r="EJ101">
        <v>76.27</v>
      </c>
      <c r="EL101">
        <v>1784169000000</v>
      </c>
      <c r="EM101">
        <v>77.64</v>
      </c>
      <c r="EN101" s="6"/>
    </row>
    <row r="102" spans="1:144">
      <c r="A102">
        <v>1778040900000</v>
      </c>
      <c r="B102">
        <v>53.94</v>
      </c>
      <c r="D102">
        <v>1778038200000</v>
      </c>
      <c r="E102">
        <v>63.66</v>
      </c>
      <c r="G102">
        <v>1778043600000</v>
      </c>
      <c r="H102">
        <v>33.1</v>
      </c>
      <c r="J102">
        <v>1778035500000</v>
      </c>
      <c r="K102">
        <v>65.28</v>
      </c>
      <c r="M102">
        <v>1778034600000</v>
      </c>
      <c r="N102">
        <v>97.78</v>
      </c>
      <c r="P102">
        <v>1778035500000</v>
      </c>
      <c r="Q102">
        <v>80.900000000000006</v>
      </c>
      <c r="S102">
        <v>1778039100000</v>
      </c>
      <c r="T102">
        <v>94.2</v>
      </c>
      <c r="V102">
        <v>1778037300000</v>
      </c>
      <c r="W102">
        <v>85.62</v>
      </c>
      <c r="X102" s="6"/>
      <c r="Y102">
        <v>1778125500000</v>
      </c>
      <c r="Z102">
        <v>79.7</v>
      </c>
      <c r="AB102">
        <v>1778121000000</v>
      </c>
      <c r="AC102">
        <v>65.2</v>
      </c>
      <c r="AE102">
        <v>1778132700000</v>
      </c>
      <c r="AF102">
        <v>48.45</v>
      </c>
      <c r="AH102">
        <v>1778122800000</v>
      </c>
      <c r="AI102">
        <v>65.8</v>
      </c>
      <c r="AK102">
        <v>1778121000000</v>
      </c>
      <c r="AL102">
        <v>93.72</v>
      </c>
      <c r="AN102">
        <v>1778121000000</v>
      </c>
      <c r="AO102">
        <v>75.19</v>
      </c>
      <c r="AQ102">
        <v>1778124600000</v>
      </c>
      <c r="AR102">
        <v>75.64</v>
      </c>
      <c r="AT102">
        <v>1778122800000</v>
      </c>
      <c r="AU102">
        <v>77.97</v>
      </c>
      <c r="AV102" s="6"/>
      <c r="AW102">
        <v>1779166800000</v>
      </c>
      <c r="AX102">
        <v>39.67</v>
      </c>
      <c r="AZ102">
        <v>1779163200000</v>
      </c>
      <c r="BA102">
        <v>53</v>
      </c>
      <c r="BF102">
        <v>1779161400000</v>
      </c>
      <c r="BG102">
        <v>69.53</v>
      </c>
      <c r="BI102">
        <v>1779160500000</v>
      </c>
      <c r="BJ102">
        <v>97.28</v>
      </c>
      <c r="BL102">
        <v>1779158700000</v>
      </c>
      <c r="BM102">
        <v>84.14</v>
      </c>
      <c r="BO102">
        <v>1779162300000</v>
      </c>
      <c r="BP102">
        <v>80.37</v>
      </c>
      <c r="BR102">
        <v>1779160500000</v>
      </c>
      <c r="BS102">
        <v>89.2</v>
      </c>
      <c r="BT102" s="6"/>
      <c r="BU102">
        <v>1782274500000</v>
      </c>
      <c r="BV102">
        <v>60.17</v>
      </c>
      <c r="BX102">
        <v>1782271800000</v>
      </c>
      <c r="BY102">
        <v>54.45</v>
      </c>
      <c r="CA102">
        <v>1782277200000</v>
      </c>
      <c r="CB102">
        <v>23.4</v>
      </c>
      <c r="CD102">
        <v>1782271800000</v>
      </c>
      <c r="CE102">
        <v>51.08</v>
      </c>
      <c r="CG102">
        <v>1782270000000</v>
      </c>
      <c r="CH102">
        <v>91.78</v>
      </c>
      <c r="CJ102">
        <v>1782269100000</v>
      </c>
      <c r="CK102">
        <v>69.05</v>
      </c>
      <c r="CM102">
        <v>1782270900000</v>
      </c>
      <c r="CN102">
        <v>86.87</v>
      </c>
      <c r="CP102">
        <v>1782270900000</v>
      </c>
      <c r="CQ102">
        <v>82.57</v>
      </c>
      <c r="CR102" s="6"/>
      <c r="CS102">
        <v>1784087100000</v>
      </c>
      <c r="CT102">
        <v>87.56</v>
      </c>
      <c r="CV102">
        <v>1784088000000</v>
      </c>
      <c r="CW102">
        <v>51.22</v>
      </c>
      <c r="CY102">
        <v>1784092500000</v>
      </c>
      <c r="CZ102">
        <v>39.450000000000003</v>
      </c>
      <c r="DB102">
        <v>1784083500000</v>
      </c>
      <c r="DC102">
        <v>68.94</v>
      </c>
      <c r="DE102">
        <v>1784082600000</v>
      </c>
      <c r="DF102">
        <v>98.2</v>
      </c>
      <c r="DH102">
        <v>1784083500000</v>
      </c>
      <c r="DI102">
        <v>71.67</v>
      </c>
      <c r="DK102">
        <v>1784082600000</v>
      </c>
      <c r="DL102">
        <v>55.34</v>
      </c>
      <c r="DN102">
        <v>1784085300000</v>
      </c>
      <c r="DO102">
        <v>93.57</v>
      </c>
      <c r="DP102" s="6"/>
      <c r="DQ102">
        <v>1784171700000</v>
      </c>
      <c r="DR102">
        <v>95.7</v>
      </c>
      <c r="DT102">
        <v>1784173500000</v>
      </c>
      <c r="DU102">
        <v>67.02</v>
      </c>
      <c r="DW102">
        <v>1784178900000</v>
      </c>
      <c r="DX102">
        <v>24.5</v>
      </c>
      <c r="DZ102">
        <v>1784169000000</v>
      </c>
      <c r="EA102">
        <v>36.5</v>
      </c>
      <c r="EC102">
        <v>1784169900000</v>
      </c>
      <c r="ED102">
        <v>72.37</v>
      </c>
      <c r="EF102">
        <v>1784169000000</v>
      </c>
      <c r="EG102">
        <v>87.8</v>
      </c>
      <c r="EI102">
        <v>1784170800000</v>
      </c>
      <c r="EJ102">
        <v>85.53</v>
      </c>
      <c r="EL102">
        <v>1784169900000</v>
      </c>
      <c r="EM102">
        <v>71.599999999999994</v>
      </c>
      <c r="EN102" s="6"/>
    </row>
    <row r="103" spans="1:144">
      <c r="A103">
        <v>1778041800000</v>
      </c>
      <c r="B103">
        <v>32.53</v>
      </c>
      <c r="D103">
        <v>1778039100000</v>
      </c>
      <c r="E103">
        <v>54.82</v>
      </c>
      <c r="G103">
        <v>1778044500000</v>
      </c>
      <c r="H103">
        <v>34.950000000000003</v>
      </c>
      <c r="J103">
        <v>1778036400000</v>
      </c>
      <c r="K103">
        <v>65.3</v>
      </c>
      <c r="M103">
        <v>1778035500000</v>
      </c>
      <c r="N103">
        <v>76.319999999999993</v>
      </c>
      <c r="P103">
        <v>1778036400000</v>
      </c>
      <c r="Q103">
        <v>80.400000000000006</v>
      </c>
      <c r="S103">
        <v>1778040000000</v>
      </c>
      <c r="T103">
        <v>83.87</v>
      </c>
      <c r="V103">
        <v>1778038200000</v>
      </c>
      <c r="W103">
        <v>90.37</v>
      </c>
      <c r="X103" s="6"/>
      <c r="Y103">
        <v>1778126400000</v>
      </c>
      <c r="Z103">
        <v>69.73</v>
      </c>
      <c r="AB103">
        <v>1778121900000</v>
      </c>
      <c r="AC103">
        <v>65.5</v>
      </c>
      <c r="AE103">
        <v>1778133600000</v>
      </c>
      <c r="AF103">
        <v>7.7</v>
      </c>
      <c r="AH103">
        <v>1778123700000</v>
      </c>
      <c r="AI103">
        <v>60.67</v>
      </c>
      <c r="AK103">
        <v>1778121900000</v>
      </c>
      <c r="AL103">
        <v>95.45</v>
      </c>
      <c r="AN103">
        <v>1778121900000</v>
      </c>
      <c r="AO103">
        <v>84.17</v>
      </c>
      <c r="AQ103">
        <v>1778125500000</v>
      </c>
      <c r="AR103">
        <v>80.44</v>
      </c>
      <c r="AT103">
        <v>1778123700000</v>
      </c>
      <c r="AU103">
        <v>71.84</v>
      </c>
      <c r="AV103" s="6"/>
      <c r="AW103">
        <v>1779167700000</v>
      </c>
      <c r="AX103">
        <v>35.75</v>
      </c>
      <c r="AZ103">
        <v>1779164100000</v>
      </c>
      <c r="BA103">
        <v>44.84</v>
      </c>
      <c r="BF103">
        <v>1779162300000</v>
      </c>
      <c r="BG103">
        <v>80.900000000000006</v>
      </c>
      <c r="BI103">
        <v>1779161400000</v>
      </c>
      <c r="BJ103">
        <v>91.32</v>
      </c>
      <c r="BL103">
        <v>1779159600000</v>
      </c>
      <c r="BM103">
        <v>79.930000000000007</v>
      </c>
      <c r="BO103">
        <v>1779163200000</v>
      </c>
      <c r="BP103">
        <v>108.68</v>
      </c>
      <c r="BR103">
        <v>1779161400000</v>
      </c>
      <c r="BS103">
        <v>90.8</v>
      </c>
      <c r="BT103" s="6"/>
      <c r="BU103">
        <v>1782275400000</v>
      </c>
      <c r="BV103">
        <v>38.58</v>
      </c>
      <c r="BX103">
        <v>1782272700000</v>
      </c>
      <c r="BY103">
        <v>57.08</v>
      </c>
      <c r="CA103">
        <v>1782278100000</v>
      </c>
      <c r="CB103">
        <v>40.630000000000003</v>
      </c>
      <c r="CD103">
        <v>1782272700000</v>
      </c>
      <c r="CE103">
        <v>55.15</v>
      </c>
      <c r="CG103">
        <v>1782270900000</v>
      </c>
      <c r="CH103">
        <v>96.14</v>
      </c>
      <c r="CJ103">
        <v>1782270000000</v>
      </c>
      <c r="CK103">
        <v>84.6</v>
      </c>
      <c r="CM103">
        <v>1782271800000</v>
      </c>
      <c r="CN103">
        <v>89.03</v>
      </c>
      <c r="CP103">
        <v>1782271800000</v>
      </c>
      <c r="CQ103">
        <v>84.16</v>
      </c>
      <c r="CR103" s="6"/>
      <c r="CS103">
        <v>1784088000000</v>
      </c>
      <c r="CT103">
        <v>65.650000000000006</v>
      </c>
      <c r="CV103">
        <v>1784088900000</v>
      </c>
      <c r="CW103">
        <v>41.22</v>
      </c>
      <c r="CY103">
        <v>1784093400000</v>
      </c>
      <c r="CZ103">
        <v>30.89</v>
      </c>
      <c r="DB103">
        <v>1784084400000</v>
      </c>
      <c r="DC103">
        <v>65.680000000000007</v>
      </c>
      <c r="DE103">
        <v>1784083500000</v>
      </c>
      <c r="DF103">
        <v>91</v>
      </c>
      <c r="DH103">
        <v>1784084400000</v>
      </c>
      <c r="DI103">
        <v>64.91</v>
      </c>
      <c r="DK103">
        <v>1784083500000</v>
      </c>
      <c r="DL103">
        <v>71.66</v>
      </c>
      <c r="DN103">
        <v>1784086200000</v>
      </c>
      <c r="DO103">
        <v>86.03</v>
      </c>
      <c r="DP103" s="6"/>
      <c r="DQ103">
        <v>1784172600000</v>
      </c>
      <c r="DR103">
        <v>60.97</v>
      </c>
      <c r="DT103">
        <v>1784174400000</v>
      </c>
      <c r="DU103">
        <v>51.88</v>
      </c>
      <c r="DW103">
        <v>1784179800000</v>
      </c>
      <c r="DX103">
        <v>23.25</v>
      </c>
      <c r="DZ103">
        <v>1784169900000</v>
      </c>
      <c r="EA103">
        <v>60.87</v>
      </c>
      <c r="EC103">
        <v>1784170800000</v>
      </c>
      <c r="ED103">
        <v>103.82</v>
      </c>
      <c r="EF103">
        <v>1784169900000</v>
      </c>
      <c r="EG103">
        <v>83.94</v>
      </c>
      <c r="EI103">
        <v>1784171700000</v>
      </c>
      <c r="EJ103">
        <v>87.19</v>
      </c>
      <c r="EL103">
        <v>1784170800000</v>
      </c>
      <c r="EM103">
        <v>80.95</v>
      </c>
      <c r="EN103" s="6"/>
    </row>
    <row r="104" spans="1:144">
      <c r="A104">
        <v>1778042700000</v>
      </c>
      <c r="B104">
        <v>29.5</v>
      </c>
      <c r="D104">
        <v>1778040000000</v>
      </c>
      <c r="E104">
        <v>38.96</v>
      </c>
      <c r="G104">
        <v>1778045400000</v>
      </c>
      <c r="H104">
        <v>32.83</v>
      </c>
      <c r="J104">
        <v>1778037300000</v>
      </c>
      <c r="K104">
        <v>71.239999999999995</v>
      </c>
      <c r="M104">
        <v>1778036400000</v>
      </c>
      <c r="N104">
        <v>113.9</v>
      </c>
      <c r="P104">
        <v>1778037300000</v>
      </c>
      <c r="Q104">
        <v>79.3</v>
      </c>
      <c r="S104">
        <v>1778040900000</v>
      </c>
      <c r="T104">
        <v>49.32</v>
      </c>
      <c r="V104">
        <v>1778039100000</v>
      </c>
      <c r="W104">
        <v>92.1</v>
      </c>
      <c r="X104" s="6"/>
      <c r="Y104">
        <v>1778127300000</v>
      </c>
      <c r="Z104">
        <v>42.38</v>
      </c>
      <c r="AB104">
        <v>1778122800000</v>
      </c>
      <c r="AC104">
        <v>75</v>
      </c>
      <c r="AH104">
        <v>1778124600000</v>
      </c>
      <c r="AI104">
        <v>79.099999999999994</v>
      </c>
      <c r="AK104">
        <v>1778122800000</v>
      </c>
      <c r="AL104">
        <v>86.53</v>
      </c>
      <c r="AN104">
        <v>1778122800000</v>
      </c>
      <c r="AO104">
        <v>68.290000000000006</v>
      </c>
      <c r="AQ104">
        <v>1778126400000</v>
      </c>
      <c r="AR104">
        <v>76.03</v>
      </c>
      <c r="AT104">
        <v>1778124600000</v>
      </c>
      <c r="AU104">
        <v>81.260000000000005</v>
      </c>
      <c r="AV104" s="6"/>
      <c r="AW104">
        <v>1779168600000</v>
      </c>
      <c r="AX104">
        <v>37.39</v>
      </c>
      <c r="AZ104">
        <v>1779165000000</v>
      </c>
      <c r="BA104">
        <v>32.840000000000003</v>
      </c>
      <c r="BF104">
        <v>1779163200000</v>
      </c>
      <c r="BG104">
        <v>65.66</v>
      </c>
      <c r="BI104">
        <v>1779162300000</v>
      </c>
      <c r="BJ104">
        <v>66.73</v>
      </c>
      <c r="BL104">
        <v>1779160500000</v>
      </c>
      <c r="BM104">
        <v>72.650000000000006</v>
      </c>
      <c r="BO104">
        <v>1779164100000</v>
      </c>
      <c r="BP104">
        <v>60.03</v>
      </c>
      <c r="BR104">
        <v>1779162300000</v>
      </c>
      <c r="BS104">
        <v>88.95</v>
      </c>
      <c r="BT104" s="6"/>
      <c r="BU104">
        <v>1782276300000</v>
      </c>
      <c r="BV104">
        <v>46.29</v>
      </c>
      <c r="BX104">
        <v>1782273600000</v>
      </c>
      <c r="BY104">
        <v>59.5</v>
      </c>
      <c r="CA104">
        <v>1782279000000</v>
      </c>
      <c r="CB104">
        <v>55.5</v>
      </c>
      <c r="CD104">
        <v>1782273600000</v>
      </c>
      <c r="CE104">
        <v>60.5</v>
      </c>
      <c r="CG104">
        <v>1782271800000</v>
      </c>
      <c r="CH104">
        <v>100.32</v>
      </c>
      <c r="CJ104">
        <v>1782270900000</v>
      </c>
      <c r="CK104">
        <v>66.67</v>
      </c>
      <c r="CM104">
        <v>1782272700000</v>
      </c>
      <c r="CN104">
        <v>62.4</v>
      </c>
      <c r="CP104">
        <v>1782272700000</v>
      </c>
      <c r="CQ104">
        <v>75.5</v>
      </c>
      <c r="CR104" s="6"/>
      <c r="CS104">
        <v>1784088900000</v>
      </c>
      <c r="CT104">
        <v>47.38</v>
      </c>
      <c r="CV104">
        <v>1784089800000</v>
      </c>
      <c r="CW104">
        <v>25.84</v>
      </c>
      <c r="CY104">
        <v>1784094300000</v>
      </c>
      <c r="CZ104">
        <v>16.54</v>
      </c>
      <c r="DB104">
        <v>1784085300000</v>
      </c>
      <c r="DC104">
        <v>74.17</v>
      </c>
      <c r="DE104">
        <v>1784084400000</v>
      </c>
      <c r="DF104">
        <v>88.34</v>
      </c>
      <c r="DH104">
        <v>1784085300000</v>
      </c>
      <c r="DI104">
        <v>75</v>
      </c>
      <c r="DK104">
        <v>1784084400000</v>
      </c>
      <c r="DL104">
        <v>67.08</v>
      </c>
      <c r="DN104">
        <v>1784087100000</v>
      </c>
      <c r="DO104">
        <v>90.58</v>
      </c>
      <c r="DP104" s="6"/>
      <c r="DQ104">
        <v>1784173500000</v>
      </c>
      <c r="DR104">
        <v>81.75</v>
      </c>
      <c r="DT104">
        <v>1784175300000</v>
      </c>
      <c r="DU104">
        <v>44.95</v>
      </c>
      <c r="DW104">
        <v>1784180700000</v>
      </c>
      <c r="DX104">
        <v>41.83</v>
      </c>
      <c r="DZ104">
        <v>1784170800000</v>
      </c>
      <c r="EA104">
        <v>72.34</v>
      </c>
      <c r="EC104">
        <v>1784171700000</v>
      </c>
      <c r="ED104">
        <v>99.56</v>
      </c>
      <c r="EF104">
        <v>1784170800000</v>
      </c>
      <c r="EG104">
        <v>77.540000000000006</v>
      </c>
      <c r="EI104">
        <v>1784172600000</v>
      </c>
      <c r="EJ104">
        <v>86.45</v>
      </c>
      <c r="EL104">
        <v>1784171700000</v>
      </c>
      <c r="EM104">
        <v>89.05</v>
      </c>
      <c r="EN104" s="6"/>
    </row>
    <row r="105" spans="1:144">
      <c r="A105">
        <v>1778043600000</v>
      </c>
      <c r="B105">
        <v>27.95</v>
      </c>
      <c r="D105">
        <v>1778040900000</v>
      </c>
      <c r="E105">
        <v>53.04</v>
      </c>
      <c r="G105">
        <v>1778046300000</v>
      </c>
      <c r="H105">
        <v>46.95</v>
      </c>
      <c r="J105">
        <v>1778038200000</v>
      </c>
      <c r="K105">
        <v>71.63</v>
      </c>
      <c r="M105">
        <v>1778037300000</v>
      </c>
      <c r="N105">
        <v>75.13</v>
      </c>
      <c r="P105">
        <v>1778038200000</v>
      </c>
      <c r="Q105">
        <v>83.26</v>
      </c>
      <c r="S105">
        <v>1778041800000</v>
      </c>
      <c r="T105">
        <v>28.02</v>
      </c>
      <c r="V105">
        <v>1778040000000</v>
      </c>
      <c r="W105">
        <v>83.1</v>
      </c>
      <c r="X105" s="6"/>
      <c r="Y105">
        <v>1778128200000</v>
      </c>
      <c r="Z105">
        <v>49.05</v>
      </c>
      <c r="AB105">
        <v>1778123700000</v>
      </c>
      <c r="AC105">
        <v>66.260000000000005</v>
      </c>
      <c r="AH105">
        <v>1778125500000</v>
      </c>
      <c r="AI105">
        <v>59.54</v>
      </c>
      <c r="AK105">
        <v>1778123700000</v>
      </c>
      <c r="AL105">
        <v>94.72</v>
      </c>
      <c r="AN105">
        <v>1778123700000</v>
      </c>
      <c r="AO105">
        <v>83.16</v>
      </c>
      <c r="AQ105">
        <v>1778127300000</v>
      </c>
      <c r="AR105">
        <v>44.41</v>
      </c>
      <c r="AT105">
        <v>1778125500000</v>
      </c>
      <c r="AU105">
        <v>90.66</v>
      </c>
      <c r="AV105" s="6"/>
      <c r="AW105">
        <v>1779169500000</v>
      </c>
      <c r="AX105">
        <v>31.43</v>
      </c>
      <c r="AZ105">
        <v>1779165900000</v>
      </c>
      <c r="BA105">
        <v>22.48</v>
      </c>
      <c r="BF105">
        <v>1779164100000</v>
      </c>
      <c r="BG105">
        <v>39.43</v>
      </c>
      <c r="BI105">
        <v>1779163200000</v>
      </c>
      <c r="BJ105">
        <v>68.06</v>
      </c>
      <c r="BL105">
        <v>1779161400000</v>
      </c>
      <c r="BM105">
        <v>66.650000000000006</v>
      </c>
      <c r="BO105">
        <v>1779165000000</v>
      </c>
      <c r="BP105">
        <v>46.16</v>
      </c>
      <c r="BR105">
        <v>1779163200000</v>
      </c>
      <c r="BS105">
        <v>88.78</v>
      </c>
      <c r="BT105" s="6"/>
      <c r="BU105">
        <v>1782277200000</v>
      </c>
      <c r="BV105">
        <v>44.38</v>
      </c>
      <c r="BX105">
        <v>1782274500000</v>
      </c>
      <c r="BY105">
        <v>45.15</v>
      </c>
      <c r="CA105">
        <v>1782279900000</v>
      </c>
      <c r="CB105">
        <v>17.899999999999999</v>
      </c>
      <c r="CD105">
        <v>1782274500000</v>
      </c>
      <c r="CE105">
        <v>35.54</v>
      </c>
      <c r="CG105">
        <v>1782272700000</v>
      </c>
      <c r="CH105">
        <v>100.32</v>
      </c>
      <c r="CJ105">
        <v>1782271800000</v>
      </c>
      <c r="CK105">
        <v>73.760000000000005</v>
      </c>
      <c r="CM105">
        <v>1782273600000</v>
      </c>
      <c r="CN105">
        <v>94.91</v>
      </c>
      <c r="CP105">
        <v>1782273600000</v>
      </c>
      <c r="CQ105">
        <v>81.72</v>
      </c>
      <c r="CR105" s="6"/>
      <c r="CS105">
        <v>1784089800000</v>
      </c>
      <c r="CT105">
        <v>32.54</v>
      </c>
      <c r="CV105">
        <v>1784090700000</v>
      </c>
      <c r="CW105">
        <v>25.12</v>
      </c>
      <c r="CY105">
        <v>1784095200000</v>
      </c>
      <c r="CZ105">
        <v>30.15</v>
      </c>
      <c r="DB105">
        <v>1784086200000</v>
      </c>
      <c r="DC105">
        <v>62.97</v>
      </c>
      <c r="DE105">
        <v>1784085300000</v>
      </c>
      <c r="DF105">
        <v>95.05</v>
      </c>
      <c r="DH105">
        <v>1784086200000</v>
      </c>
      <c r="DI105">
        <v>73.63</v>
      </c>
      <c r="DK105">
        <v>1784085300000</v>
      </c>
      <c r="DL105">
        <v>74.400000000000006</v>
      </c>
      <c r="DN105">
        <v>1784088000000</v>
      </c>
      <c r="DO105">
        <v>74.989999999999995</v>
      </c>
      <c r="DP105" s="6"/>
      <c r="DQ105">
        <v>1784174400000</v>
      </c>
      <c r="DR105">
        <v>50.99</v>
      </c>
      <c r="DT105">
        <v>1784176200000</v>
      </c>
      <c r="DU105">
        <v>24.35</v>
      </c>
      <c r="DW105">
        <v>1784181600000</v>
      </c>
      <c r="DX105">
        <v>14.5</v>
      </c>
      <c r="DZ105">
        <v>1784171700000</v>
      </c>
      <c r="EA105">
        <v>61.79</v>
      </c>
      <c r="EC105">
        <v>1784172600000</v>
      </c>
      <c r="ED105">
        <v>84.74</v>
      </c>
      <c r="EF105">
        <v>1784171700000</v>
      </c>
      <c r="EG105">
        <v>71.33</v>
      </c>
      <c r="EI105">
        <v>1784173500000</v>
      </c>
      <c r="EJ105">
        <v>77.2</v>
      </c>
      <c r="EL105">
        <v>1784172600000</v>
      </c>
      <c r="EM105">
        <v>76.86</v>
      </c>
      <c r="EN105" s="6"/>
    </row>
    <row r="106" spans="1:144">
      <c r="A106">
        <v>1778044500000</v>
      </c>
      <c r="B106">
        <v>27.63</v>
      </c>
      <c r="D106">
        <v>1778041800000</v>
      </c>
      <c r="E106">
        <v>33.43</v>
      </c>
      <c r="G106">
        <v>1778047200000</v>
      </c>
      <c r="H106">
        <v>5</v>
      </c>
      <c r="J106">
        <v>1778039100000</v>
      </c>
      <c r="K106">
        <v>62.07</v>
      </c>
      <c r="M106">
        <v>1778038200000</v>
      </c>
      <c r="N106">
        <v>75.13</v>
      </c>
      <c r="P106">
        <v>1778039100000</v>
      </c>
      <c r="Q106">
        <v>76.040000000000006</v>
      </c>
      <c r="S106">
        <v>1778042700000</v>
      </c>
      <c r="T106">
        <v>51.9</v>
      </c>
      <c r="V106">
        <v>1778040900000</v>
      </c>
      <c r="W106">
        <v>41.55</v>
      </c>
      <c r="X106" s="6"/>
      <c r="Y106">
        <v>1778129100000</v>
      </c>
      <c r="Z106">
        <v>28.53</v>
      </c>
      <c r="AB106">
        <v>1778124600000</v>
      </c>
      <c r="AC106">
        <v>56.77</v>
      </c>
      <c r="AH106">
        <v>1778126400000</v>
      </c>
      <c r="AI106">
        <v>62.18</v>
      </c>
      <c r="AK106">
        <v>1778124600000</v>
      </c>
      <c r="AL106">
        <v>98.7</v>
      </c>
      <c r="AN106">
        <v>1778124600000</v>
      </c>
      <c r="AO106">
        <v>74.099999999999994</v>
      </c>
      <c r="AQ106">
        <v>1778128200000</v>
      </c>
      <c r="AR106">
        <v>45.64</v>
      </c>
      <c r="AT106">
        <v>1778126400000</v>
      </c>
      <c r="AU106">
        <v>87.4</v>
      </c>
      <c r="AV106" s="6"/>
      <c r="AZ106">
        <v>1779166800000</v>
      </c>
      <c r="BA106">
        <v>17.59</v>
      </c>
      <c r="BF106">
        <v>1779165000000</v>
      </c>
      <c r="BG106">
        <v>30.41</v>
      </c>
      <c r="BI106">
        <v>1779164100000</v>
      </c>
      <c r="BJ106">
        <v>56.19</v>
      </c>
      <c r="BL106">
        <v>1779162300000</v>
      </c>
      <c r="BM106">
        <v>67.17</v>
      </c>
      <c r="BO106">
        <v>1779165900000</v>
      </c>
      <c r="BP106">
        <v>35.76</v>
      </c>
      <c r="BR106">
        <v>1779164100000</v>
      </c>
      <c r="BS106">
        <v>43.09</v>
      </c>
      <c r="BT106" s="6"/>
      <c r="BU106">
        <v>1782278100000</v>
      </c>
      <c r="BV106">
        <v>14.2</v>
      </c>
      <c r="BX106">
        <v>1782275400000</v>
      </c>
      <c r="BY106">
        <v>39.6</v>
      </c>
      <c r="CA106">
        <v>1782280800000</v>
      </c>
      <c r="CB106">
        <v>36.200000000000003</v>
      </c>
      <c r="CD106">
        <v>1782275400000</v>
      </c>
      <c r="CE106">
        <v>28.27</v>
      </c>
      <c r="CG106">
        <v>1782273600000</v>
      </c>
      <c r="CH106">
        <v>94.08</v>
      </c>
      <c r="CJ106">
        <v>1782272700000</v>
      </c>
      <c r="CK106">
        <v>73.16</v>
      </c>
      <c r="CM106">
        <v>1782274500000</v>
      </c>
      <c r="CN106">
        <v>56.97</v>
      </c>
      <c r="CP106">
        <v>1782274500000</v>
      </c>
      <c r="CQ106">
        <v>45.09</v>
      </c>
      <c r="CR106" s="6"/>
      <c r="CS106">
        <v>1784090700000</v>
      </c>
      <c r="CT106">
        <v>35.01</v>
      </c>
      <c r="CV106">
        <v>1784091600000</v>
      </c>
      <c r="CW106">
        <v>28.22</v>
      </c>
      <c r="DB106">
        <v>1784087100000</v>
      </c>
      <c r="DC106">
        <v>65.61</v>
      </c>
      <c r="DE106">
        <v>1784086200000</v>
      </c>
      <c r="DF106">
        <v>67.17</v>
      </c>
      <c r="DH106">
        <v>1784087100000</v>
      </c>
      <c r="DI106">
        <v>70.150000000000006</v>
      </c>
      <c r="DK106">
        <v>1784086200000</v>
      </c>
      <c r="DL106">
        <v>42.7</v>
      </c>
      <c r="DN106">
        <v>1784088900000</v>
      </c>
      <c r="DO106">
        <v>41.4</v>
      </c>
      <c r="DP106" s="6"/>
      <c r="DQ106">
        <v>1784175300000</v>
      </c>
      <c r="DR106">
        <v>34.270000000000003</v>
      </c>
      <c r="DT106">
        <v>1784177100000</v>
      </c>
      <c r="DU106">
        <v>27.06</v>
      </c>
      <c r="DZ106">
        <v>1784172600000</v>
      </c>
      <c r="EA106">
        <v>81.52</v>
      </c>
      <c r="EC106">
        <v>1784173500000</v>
      </c>
      <c r="ED106">
        <v>100.4</v>
      </c>
      <c r="EF106">
        <v>1784172600000</v>
      </c>
      <c r="EG106">
        <v>73.98</v>
      </c>
      <c r="EI106">
        <v>1784174400000</v>
      </c>
      <c r="EJ106">
        <v>72.459999999999994</v>
      </c>
      <c r="EL106">
        <v>1784173500000</v>
      </c>
      <c r="EM106">
        <v>87.45</v>
      </c>
      <c r="EN106" s="6"/>
    </row>
    <row r="107" spans="1:144">
      <c r="A107">
        <v>1778045400000</v>
      </c>
      <c r="B107">
        <v>23.4</v>
      </c>
      <c r="D107">
        <v>1778042700000</v>
      </c>
      <c r="E107">
        <v>18.920000000000002</v>
      </c>
      <c r="J107">
        <v>1778040000000</v>
      </c>
      <c r="K107">
        <v>49.94</v>
      </c>
      <c r="M107">
        <v>1778039100000</v>
      </c>
      <c r="N107">
        <v>76.22</v>
      </c>
      <c r="P107">
        <v>1778040000000</v>
      </c>
      <c r="Q107">
        <v>61.48</v>
      </c>
      <c r="S107">
        <v>1778043600000</v>
      </c>
      <c r="T107">
        <v>35.83</v>
      </c>
      <c r="V107">
        <v>1778041800000</v>
      </c>
      <c r="W107">
        <v>35.6</v>
      </c>
      <c r="X107" s="6"/>
      <c r="Y107">
        <v>1778130000000</v>
      </c>
      <c r="Z107">
        <v>24.82</v>
      </c>
      <c r="AB107">
        <v>1778125500000</v>
      </c>
      <c r="AC107">
        <v>52.3</v>
      </c>
      <c r="AH107">
        <v>1778127300000</v>
      </c>
      <c r="AI107">
        <v>34.39</v>
      </c>
      <c r="AK107">
        <v>1778125500000</v>
      </c>
      <c r="AL107">
        <v>79.400000000000006</v>
      </c>
      <c r="AN107">
        <v>1778125500000</v>
      </c>
      <c r="AO107">
        <v>84.77</v>
      </c>
      <c r="AQ107">
        <v>1778129100000</v>
      </c>
      <c r="AR107">
        <v>42.41</v>
      </c>
      <c r="AT107">
        <v>1778127300000</v>
      </c>
      <c r="AU107">
        <v>47.74</v>
      </c>
      <c r="AV107" s="6"/>
      <c r="AZ107">
        <v>1779167700000</v>
      </c>
      <c r="BA107">
        <v>19.170000000000002</v>
      </c>
      <c r="BF107">
        <v>1779165900000</v>
      </c>
      <c r="BG107">
        <v>32.450000000000003</v>
      </c>
      <c r="BI107">
        <v>1779165000000</v>
      </c>
      <c r="BJ107">
        <v>39.17</v>
      </c>
      <c r="BL107">
        <v>1779163200000</v>
      </c>
      <c r="BM107">
        <v>74.7</v>
      </c>
      <c r="BO107">
        <v>1779166800000</v>
      </c>
      <c r="BP107">
        <v>37.979999999999997</v>
      </c>
      <c r="BR107">
        <v>1779165000000</v>
      </c>
      <c r="BS107">
        <v>45.2</v>
      </c>
      <c r="BT107" s="6"/>
      <c r="BU107">
        <v>1782279000000</v>
      </c>
      <c r="BV107">
        <v>24</v>
      </c>
      <c r="BX107">
        <v>1782276300000</v>
      </c>
      <c r="BY107">
        <v>31.48</v>
      </c>
      <c r="CD107">
        <v>1782276300000</v>
      </c>
      <c r="CE107">
        <v>29.85</v>
      </c>
      <c r="CG107">
        <v>1782274500000</v>
      </c>
      <c r="CH107">
        <v>43.9</v>
      </c>
      <c r="CJ107">
        <v>1782273600000</v>
      </c>
      <c r="CK107">
        <v>75.2</v>
      </c>
      <c r="CM107">
        <v>1782275400000</v>
      </c>
      <c r="CN107">
        <v>59.43</v>
      </c>
      <c r="CP107">
        <v>1782275400000</v>
      </c>
      <c r="CQ107">
        <v>54.23</v>
      </c>
      <c r="CR107" s="6"/>
      <c r="CS107">
        <v>1784091600000</v>
      </c>
      <c r="CT107">
        <v>26</v>
      </c>
      <c r="CV107">
        <v>1784092500000</v>
      </c>
      <c r="CW107">
        <v>20.440000000000001</v>
      </c>
      <c r="DB107">
        <v>1784088000000</v>
      </c>
      <c r="DC107">
        <v>64.91</v>
      </c>
      <c r="DE107">
        <v>1784087100000</v>
      </c>
      <c r="DF107">
        <v>79.680000000000007</v>
      </c>
      <c r="DH107">
        <v>1784088000000</v>
      </c>
      <c r="DI107">
        <v>66.12</v>
      </c>
      <c r="DK107">
        <v>1784087100000</v>
      </c>
      <c r="DL107">
        <v>71.12</v>
      </c>
      <c r="DN107">
        <v>1784089800000</v>
      </c>
      <c r="DO107">
        <v>37.07</v>
      </c>
      <c r="DP107" s="6"/>
      <c r="DQ107">
        <v>1784176200000</v>
      </c>
      <c r="DR107">
        <v>34.33</v>
      </c>
      <c r="DT107">
        <v>1784178000000</v>
      </c>
      <c r="DU107">
        <v>26.22</v>
      </c>
      <c r="DZ107">
        <v>1784173500000</v>
      </c>
      <c r="EA107">
        <v>65.89</v>
      </c>
      <c r="EC107">
        <v>1784174400000</v>
      </c>
      <c r="ED107">
        <v>62.28</v>
      </c>
      <c r="EF107">
        <v>1784173500000</v>
      </c>
      <c r="EG107">
        <v>76.900000000000006</v>
      </c>
      <c r="EI107">
        <v>1784175300000</v>
      </c>
      <c r="EJ107">
        <v>44.76</v>
      </c>
      <c r="EL107">
        <v>1784174400000</v>
      </c>
      <c r="EM107">
        <v>88.52</v>
      </c>
      <c r="EN107" s="6"/>
    </row>
    <row r="108" spans="1:144">
      <c r="A108">
        <v>1778046300000</v>
      </c>
      <c r="B108">
        <v>31.3</v>
      </c>
      <c r="D108">
        <v>1778043600000</v>
      </c>
      <c r="E108">
        <v>19.309999999999999</v>
      </c>
      <c r="J108">
        <v>1778040900000</v>
      </c>
      <c r="K108">
        <v>24.06</v>
      </c>
      <c r="M108">
        <v>1778040000000</v>
      </c>
      <c r="N108">
        <v>96</v>
      </c>
      <c r="P108">
        <v>1778040900000</v>
      </c>
      <c r="Q108">
        <v>55.59</v>
      </c>
      <c r="S108">
        <v>1778044500000</v>
      </c>
      <c r="T108">
        <v>28.57</v>
      </c>
      <c r="V108">
        <v>1778042700000</v>
      </c>
      <c r="W108">
        <v>37.520000000000003</v>
      </c>
      <c r="X108" s="6"/>
      <c r="Y108">
        <v>1778130900000</v>
      </c>
      <c r="Z108">
        <v>33.229999999999997</v>
      </c>
      <c r="AB108">
        <v>1778126400000</v>
      </c>
      <c r="AC108">
        <v>55.1</v>
      </c>
      <c r="AH108">
        <v>1778128200000</v>
      </c>
      <c r="AI108">
        <v>27.16</v>
      </c>
      <c r="AK108">
        <v>1778126400000</v>
      </c>
      <c r="AL108">
        <v>80.2</v>
      </c>
      <c r="AN108">
        <v>1778126400000</v>
      </c>
      <c r="AO108">
        <v>76.58</v>
      </c>
      <c r="AQ108">
        <v>1778130000000</v>
      </c>
      <c r="AR108">
        <v>49.93</v>
      </c>
      <c r="AT108">
        <v>1778128200000</v>
      </c>
      <c r="AU108">
        <v>30.53</v>
      </c>
      <c r="AV108" s="6"/>
      <c r="AZ108">
        <v>1779168600000</v>
      </c>
      <c r="BA108">
        <v>20.010000000000002</v>
      </c>
      <c r="BF108">
        <v>1779166800000</v>
      </c>
      <c r="BG108">
        <v>28.54</v>
      </c>
      <c r="BI108">
        <v>1779165900000</v>
      </c>
      <c r="BJ108">
        <v>30.1</v>
      </c>
      <c r="BL108">
        <v>1779164100000</v>
      </c>
      <c r="BM108">
        <v>43.42</v>
      </c>
      <c r="BO108">
        <v>1779167700000</v>
      </c>
      <c r="BP108">
        <v>30.44</v>
      </c>
      <c r="BR108">
        <v>1779165900000</v>
      </c>
      <c r="BS108">
        <v>38.909999999999997</v>
      </c>
      <c r="BT108" s="6"/>
      <c r="BU108">
        <v>1782279900000</v>
      </c>
      <c r="BV108">
        <v>43.3</v>
      </c>
      <c r="BX108">
        <v>1782277200000</v>
      </c>
      <c r="BY108">
        <v>19.41</v>
      </c>
      <c r="CD108">
        <v>1782277200000</v>
      </c>
      <c r="CE108">
        <v>32.299999999999997</v>
      </c>
      <c r="CG108">
        <v>1782275400000</v>
      </c>
      <c r="CH108">
        <v>29.54</v>
      </c>
      <c r="CJ108">
        <v>1782274500000</v>
      </c>
      <c r="CK108">
        <v>57.32</v>
      </c>
      <c r="CM108">
        <v>1782276300000</v>
      </c>
      <c r="CN108">
        <v>50.41</v>
      </c>
      <c r="CP108">
        <v>1782276300000</v>
      </c>
      <c r="CQ108">
        <v>37.770000000000003</v>
      </c>
      <c r="CR108" s="6"/>
      <c r="CS108">
        <v>1784092500000</v>
      </c>
      <c r="CT108">
        <v>39.619999999999997</v>
      </c>
      <c r="CV108">
        <v>1784093400000</v>
      </c>
      <c r="CW108">
        <v>23.59</v>
      </c>
      <c r="DB108">
        <v>1784088900000</v>
      </c>
      <c r="DC108">
        <v>43.85</v>
      </c>
      <c r="DE108">
        <v>1784088000000</v>
      </c>
      <c r="DF108">
        <v>86.42</v>
      </c>
      <c r="DH108">
        <v>1784088900000</v>
      </c>
      <c r="DI108">
        <v>47.27</v>
      </c>
      <c r="DK108">
        <v>1784088000000</v>
      </c>
      <c r="DL108">
        <v>67.75</v>
      </c>
      <c r="DN108">
        <v>1784090700000</v>
      </c>
      <c r="DO108">
        <v>30.28</v>
      </c>
      <c r="DP108" s="6"/>
      <c r="DQ108">
        <v>1784177100000</v>
      </c>
      <c r="DR108">
        <v>29.21</v>
      </c>
      <c r="DT108">
        <v>1784178900000</v>
      </c>
      <c r="DU108">
        <v>20.27</v>
      </c>
      <c r="DZ108">
        <v>1784174400000</v>
      </c>
      <c r="EA108">
        <v>72.150000000000006</v>
      </c>
      <c r="EC108">
        <v>1784175300000</v>
      </c>
      <c r="ED108">
        <v>60.23</v>
      </c>
      <c r="EF108">
        <v>1784174400000</v>
      </c>
      <c r="EG108">
        <v>68.22</v>
      </c>
      <c r="EI108">
        <v>1784176200000</v>
      </c>
      <c r="EJ108">
        <v>30.63</v>
      </c>
      <c r="EL108">
        <v>1784175300000</v>
      </c>
      <c r="EM108">
        <v>42.13</v>
      </c>
      <c r="EN108" s="6"/>
    </row>
    <row r="109" spans="1:144">
      <c r="D109">
        <v>1778044500000</v>
      </c>
      <c r="E109">
        <v>21.96</v>
      </c>
      <c r="J109">
        <v>1778041800000</v>
      </c>
      <c r="K109">
        <v>37.049999999999997</v>
      </c>
      <c r="M109">
        <v>1778040900000</v>
      </c>
      <c r="N109">
        <v>65.930000000000007</v>
      </c>
      <c r="P109">
        <v>1778041800000</v>
      </c>
      <c r="Q109">
        <v>34.130000000000003</v>
      </c>
      <c r="S109">
        <v>1778045400000</v>
      </c>
      <c r="T109">
        <v>46.07</v>
      </c>
      <c r="V109">
        <v>1778043600000</v>
      </c>
      <c r="W109">
        <v>31.24</v>
      </c>
      <c r="X109" s="6"/>
      <c r="Y109">
        <v>1778131800000</v>
      </c>
      <c r="Z109">
        <v>30.13</v>
      </c>
      <c r="AB109">
        <v>1778127300000</v>
      </c>
      <c r="AC109">
        <v>37.89</v>
      </c>
      <c r="AH109">
        <v>1778129100000</v>
      </c>
      <c r="AI109">
        <v>34.92</v>
      </c>
      <c r="AK109">
        <v>1778127300000</v>
      </c>
      <c r="AL109">
        <v>45.68</v>
      </c>
      <c r="AN109">
        <v>1778127300000</v>
      </c>
      <c r="AO109">
        <v>41.48</v>
      </c>
      <c r="AQ109">
        <v>1778130900000</v>
      </c>
      <c r="AR109">
        <v>46.62</v>
      </c>
      <c r="AT109">
        <v>1778129100000</v>
      </c>
      <c r="AU109">
        <v>39.53</v>
      </c>
      <c r="AV109" s="6"/>
      <c r="AZ109">
        <v>1779169500000</v>
      </c>
      <c r="BA109">
        <v>13.75</v>
      </c>
      <c r="BF109">
        <v>1779167700000</v>
      </c>
      <c r="BG109">
        <v>28.31</v>
      </c>
      <c r="BI109">
        <v>1779166800000</v>
      </c>
      <c r="BJ109">
        <v>36.700000000000003</v>
      </c>
      <c r="BL109">
        <v>1779165000000</v>
      </c>
      <c r="BM109">
        <v>32.5</v>
      </c>
      <c r="BO109">
        <v>1779168600000</v>
      </c>
      <c r="BP109">
        <v>56</v>
      </c>
      <c r="BR109">
        <v>1779166800000</v>
      </c>
      <c r="BS109">
        <v>29.02</v>
      </c>
      <c r="BT109" s="6"/>
      <c r="BU109">
        <v>1782280800000</v>
      </c>
      <c r="BV109">
        <v>28.32</v>
      </c>
      <c r="BX109">
        <v>1782278100000</v>
      </c>
      <c r="BY109">
        <v>29.88</v>
      </c>
      <c r="CD109">
        <v>1782278100000</v>
      </c>
      <c r="CE109">
        <v>28.52</v>
      </c>
      <c r="CG109">
        <v>1782276300000</v>
      </c>
      <c r="CH109">
        <v>34.36</v>
      </c>
      <c r="CJ109">
        <v>1782275400000</v>
      </c>
      <c r="CK109">
        <v>46.23</v>
      </c>
      <c r="CM109">
        <v>1782277200000</v>
      </c>
      <c r="CN109">
        <v>49.08</v>
      </c>
      <c r="CP109">
        <v>1782277200000</v>
      </c>
      <c r="CQ109">
        <v>23.97</v>
      </c>
      <c r="CR109" s="6"/>
      <c r="CS109">
        <v>1784093400000</v>
      </c>
      <c r="CT109">
        <v>28.92</v>
      </c>
      <c r="CV109">
        <v>1784094300000</v>
      </c>
      <c r="CW109">
        <v>21.22</v>
      </c>
      <c r="DB109">
        <v>1784089800000</v>
      </c>
      <c r="DC109">
        <v>33.11</v>
      </c>
      <c r="DE109">
        <v>1784088900000</v>
      </c>
      <c r="DF109">
        <v>37.729999999999997</v>
      </c>
      <c r="DH109">
        <v>1784089800000</v>
      </c>
      <c r="DI109">
        <v>29.7</v>
      </c>
      <c r="DK109">
        <v>1784088900000</v>
      </c>
      <c r="DL109">
        <v>41.56</v>
      </c>
      <c r="DN109">
        <v>1784091600000</v>
      </c>
      <c r="DO109">
        <v>30.58</v>
      </c>
      <c r="DP109" s="6"/>
      <c r="DQ109">
        <v>1784178000000</v>
      </c>
      <c r="DR109">
        <v>47.53</v>
      </c>
      <c r="DT109">
        <v>1784179800000</v>
      </c>
      <c r="DU109">
        <v>20.58</v>
      </c>
      <c r="DZ109">
        <v>1784175300000</v>
      </c>
      <c r="EA109">
        <v>37.17</v>
      </c>
      <c r="EC109">
        <v>1784176200000</v>
      </c>
      <c r="ED109">
        <v>41.99</v>
      </c>
      <c r="EF109">
        <v>1784175300000</v>
      </c>
      <c r="EG109">
        <v>53.18</v>
      </c>
      <c r="EI109">
        <v>1784177100000</v>
      </c>
      <c r="EJ109">
        <v>39.64</v>
      </c>
      <c r="EL109">
        <v>1784176200000</v>
      </c>
      <c r="EM109">
        <v>23.84</v>
      </c>
      <c r="EN109" s="6"/>
    </row>
    <row r="110" spans="1:144">
      <c r="D110">
        <v>1778045400000</v>
      </c>
      <c r="E110">
        <v>20.75</v>
      </c>
      <c r="J110">
        <v>1778042700000</v>
      </c>
      <c r="K110">
        <v>28.59</v>
      </c>
      <c r="M110">
        <v>1778041800000</v>
      </c>
      <c r="N110">
        <v>15.51</v>
      </c>
      <c r="P110">
        <v>1778042700000</v>
      </c>
      <c r="Q110">
        <v>24.43</v>
      </c>
      <c r="S110">
        <v>1778046300000</v>
      </c>
      <c r="T110">
        <v>35.4</v>
      </c>
      <c r="V110">
        <v>1778044500000</v>
      </c>
      <c r="W110">
        <v>23.73</v>
      </c>
      <c r="X110" s="6"/>
      <c r="Y110">
        <v>1778132700000</v>
      </c>
      <c r="Z110">
        <v>44.9</v>
      </c>
      <c r="AB110">
        <v>1778128200000</v>
      </c>
      <c r="AC110">
        <v>36.14</v>
      </c>
      <c r="AH110">
        <v>1778130000000</v>
      </c>
      <c r="AI110">
        <v>21.39</v>
      </c>
      <c r="AK110">
        <v>1778128200000</v>
      </c>
      <c r="AL110">
        <v>42.36</v>
      </c>
      <c r="AN110">
        <v>1778128200000</v>
      </c>
      <c r="AO110">
        <v>34.15</v>
      </c>
      <c r="AQ110">
        <v>1778131800000</v>
      </c>
      <c r="AR110">
        <v>35.82</v>
      </c>
      <c r="AT110">
        <v>1778130000000</v>
      </c>
      <c r="AU110">
        <v>40.630000000000003</v>
      </c>
      <c r="AV110" s="6"/>
      <c r="AZ110">
        <v>1779170400000</v>
      </c>
      <c r="BA110">
        <v>3.47</v>
      </c>
      <c r="BF110">
        <v>1779168600000</v>
      </c>
      <c r="BG110">
        <v>40.96</v>
      </c>
      <c r="BI110">
        <v>1779167700000</v>
      </c>
      <c r="BJ110">
        <v>24.15</v>
      </c>
      <c r="BL110">
        <v>1779165900000</v>
      </c>
      <c r="BM110">
        <v>30.38</v>
      </c>
      <c r="BO110">
        <v>1779169500000</v>
      </c>
      <c r="BP110">
        <v>18.8</v>
      </c>
      <c r="BR110">
        <v>1779167700000</v>
      </c>
      <c r="BS110">
        <v>29.7</v>
      </c>
      <c r="BT110" s="6"/>
      <c r="BX110">
        <v>1782279000000</v>
      </c>
      <c r="BY110">
        <v>26.11</v>
      </c>
      <c r="CD110">
        <v>1782279000000</v>
      </c>
      <c r="CE110">
        <v>20.62</v>
      </c>
      <c r="CG110">
        <v>1782277200000</v>
      </c>
      <c r="CH110">
        <v>34.56</v>
      </c>
      <c r="CJ110">
        <v>1782276300000</v>
      </c>
      <c r="CK110">
        <v>46.59</v>
      </c>
      <c r="CM110">
        <v>1782278100000</v>
      </c>
      <c r="CN110">
        <v>37.26</v>
      </c>
      <c r="CP110">
        <v>1782278100000</v>
      </c>
      <c r="CQ110">
        <v>33.520000000000003</v>
      </c>
      <c r="CR110" s="6"/>
      <c r="CS110">
        <v>1784094300000</v>
      </c>
      <c r="CT110">
        <v>24.73</v>
      </c>
      <c r="CV110">
        <v>1784095200000</v>
      </c>
      <c r="CW110">
        <v>17.91</v>
      </c>
      <c r="DB110">
        <v>1784090700000</v>
      </c>
      <c r="DC110">
        <v>22.77</v>
      </c>
      <c r="DE110">
        <v>1784089800000</v>
      </c>
      <c r="DF110">
        <v>35.25</v>
      </c>
      <c r="DH110">
        <v>1784090700000</v>
      </c>
      <c r="DI110">
        <v>29.32</v>
      </c>
      <c r="DK110">
        <v>1784089800000</v>
      </c>
      <c r="DL110">
        <v>41.93</v>
      </c>
      <c r="DN110">
        <v>1784092500000</v>
      </c>
      <c r="DO110">
        <v>29.02</v>
      </c>
      <c r="DP110" s="6"/>
      <c r="DQ110">
        <v>1784178900000</v>
      </c>
      <c r="DR110">
        <v>55</v>
      </c>
      <c r="DT110">
        <v>1784180700000</v>
      </c>
      <c r="DU110">
        <v>23.15</v>
      </c>
      <c r="DZ110">
        <v>1784176200000</v>
      </c>
      <c r="EA110">
        <v>22.29</v>
      </c>
      <c r="EC110">
        <v>1784177100000</v>
      </c>
      <c r="ED110">
        <v>38.9</v>
      </c>
      <c r="EF110">
        <v>1784176200000</v>
      </c>
      <c r="EG110">
        <v>33.409999999999997</v>
      </c>
      <c r="EI110">
        <v>1784178000000</v>
      </c>
      <c r="EJ110">
        <v>29.7</v>
      </c>
      <c r="EL110">
        <v>1784177100000</v>
      </c>
      <c r="EM110">
        <v>41.42</v>
      </c>
      <c r="EN110" s="6"/>
    </row>
    <row r="111" spans="1:144">
      <c r="D111">
        <v>1778046300000</v>
      </c>
      <c r="E111">
        <v>13.62</v>
      </c>
      <c r="J111">
        <v>1778043600000</v>
      </c>
      <c r="K111">
        <v>20.420000000000002</v>
      </c>
      <c r="M111">
        <v>1778042700000</v>
      </c>
      <c r="N111">
        <v>29.64</v>
      </c>
      <c r="P111">
        <v>1778043600000</v>
      </c>
      <c r="Q111">
        <v>19.77</v>
      </c>
      <c r="S111">
        <v>1778047200000</v>
      </c>
      <c r="T111">
        <v>31.2</v>
      </c>
      <c r="V111">
        <v>1778045400000</v>
      </c>
      <c r="W111">
        <v>27.95</v>
      </c>
      <c r="X111" s="6"/>
      <c r="Y111">
        <v>1778133600000</v>
      </c>
      <c r="Z111">
        <v>105.15</v>
      </c>
      <c r="AB111">
        <v>1778129100000</v>
      </c>
      <c r="AC111">
        <v>35.020000000000003</v>
      </c>
      <c r="AH111">
        <v>1778130900000</v>
      </c>
      <c r="AI111">
        <v>23.4</v>
      </c>
      <c r="AK111">
        <v>1778129100000</v>
      </c>
      <c r="AL111">
        <v>37.32</v>
      </c>
      <c r="AN111">
        <v>1778129100000</v>
      </c>
      <c r="AO111">
        <v>39.86</v>
      </c>
      <c r="AQ111">
        <v>1778132700000</v>
      </c>
      <c r="AR111">
        <v>57.47</v>
      </c>
      <c r="AT111">
        <v>1778130900000</v>
      </c>
      <c r="AU111">
        <v>30.29</v>
      </c>
      <c r="AV111" s="6"/>
      <c r="BF111">
        <v>1779169500000</v>
      </c>
      <c r="BG111">
        <v>24.97</v>
      </c>
      <c r="BI111">
        <v>1779168600000</v>
      </c>
      <c r="BJ111">
        <v>32.380000000000003</v>
      </c>
      <c r="BL111">
        <v>1779166800000</v>
      </c>
      <c r="BM111">
        <v>30.24</v>
      </c>
      <c r="BO111">
        <v>1779170400000</v>
      </c>
      <c r="BP111">
        <v>18.05</v>
      </c>
      <c r="BR111">
        <v>1779168600000</v>
      </c>
      <c r="BS111">
        <v>31.97</v>
      </c>
      <c r="BT111" s="6"/>
      <c r="BX111">
        <v>1782279900000</v>
      </c>
      <c r="BY111">
        <v>26.33</v>
      </c>
      <c r="CD111">
        <v>1782279900000</v>
      </c>
      <c r="CE111">
        <v>32.24</v>
      </c>
      <c r="CG111">
        <v>1782278100000</v>
      </c>
      <c r="CH111">
        <v>29.71</v>
      </c>
      <c r="CJ111">
        <v>1782277200000</v>
      </c>
      <c r="CK111">
        <v>30.94</v>
      </c>
      <c r="CM111">
        <v>1782279000000</v>
      </c>
      <c r="CN111">
        <v>49.3</v>
      </c>
      <c r="CP111">
        <v>1782279000000</v>
      </c>
      <c r="CQ111">
        <v>24.44</v>
      </c>
      <c r="CR111" s="6"/>
      <c r="CS111">
        <v>1784095200000</v>
      </c>
      <c r="CT111">
        <v>27.93</v>
      </c>
      <c r="DB111">
        <v>1784091600000</v>
      </c>
      <c r="DC111">
        <v>27.21</v>
      </c>
      <c r="DE111">
        <v>1784090700000</v>
      </c>
      <c r="DF111">
        <v>29.39</v>
      </c>
      <c r="DH111">
        <v>1784091600000</v>
      </c>
      <c r="DI111">
        <v>30.56</v>
      </c>
      <c r="DK111">
        <v>1784090700000</v>
      </c>
      <c r="DL111">
        <v>26.4</v>
      </c>
      <c r="DN111">
        <v>1784093400000</v>
      </c>
      <c r="DO111">
        <v>30.63</v>
      </c>
      <c r="DP111" s="6"/>
      <c r="DQ111">
        <v>1784179800000</v>
      </c>
      <c r="DR111">
        <v>45.1</v>
      </c>
      <c r="DT111">
        <v>1784181600000</v>
      </c>
      <c r="DU111">
        <v>10.45</v>
      </c>
      <c r="DZ111">
        <v>1784177100000</v>
      </c>
      <c r="EA111">
        <v>32.200000000000003</v>
      </c>
      <c r="EC111">
        <v>1784178000000</v>
      </c>
      <c r="ED111">
        <v>36.43</v>
      </c>
      <c r="EF111">
        <v>1784177100000</v>
      </c>
      <c r="EG111">
        <v>38.090000000000003</v>
      </c>
      <c r="EI111">
        <v>1784178900000</v>
      </c>
      <c r="EJ111">
        <v>20.62</v>
      </c>
      <c r="EL111">
        <v>1784178000000</v>
      </c>
      <c r="EM111">
        <v>20.49</v>
      </c>
      <c r="EN111" s="6"/>
    </row>
    <row r="112" spans="1:144">
      <c r="D112">
        <v>1778047200000</v>
      </c>
      <c r="E112">
        <v>9.93</v>
      </c>
      <c r="J112">
        <v>1778044500000</v>
      </c>
      <c r="K112">
        <v>34.94</v>
      </c>
      <c r="M112">
        <v>1778043600000</v>
      </c>
      <c r="N112">
        <v>18.71</v>
      </c>
      <c r="P112">
        <v>1778044500000</v>
      </c>
      <c r="Q112">
        <v>29.67</v>
      </c>
      <c r="V112">
        <v>1778046300000</v>
      </c>
      <c r="W112">
        <v>21.23</v>
      </c>
      <c r="X112" s="6"/>
      <c r="AB112">
        <v>1778130000000</v>
      </c>
      <c r="AC112">
        <v>27.95</v>
      </c>
      <c r="AH112">
        <v>1778131800000</v>
      </c>
      <c r="AI112">
        <v>25.89</v>
      </c>
      <c r="AK112">
        <v>1778130000000</v>
      </c>
      <c r="AL112">
        <v>37.67</v>
      </c>
      <c r="AN112">
        <v>1778130000000</v>
      </c>
      <c r="AO112">
        <v>35.82</v>
      </c>
      <c r="AQ112">
        <v>1778133600000</v>
      </c>
      <c r="AR112">
        <v>60.8</v>
      </c>
      <c r="AT112">
        <v>1778131800000</v>
      </c>
      <c r="AU112">
        <v>30.29</v>
      </c>
      <c r="AV112" s="6"/>
      <c r="BF112">
        <v>1779170400000</v>
      </c>
      <c r="BG112">
        <v>7.2</v>
      </c>
      <c r="BI112">
        <v>1779169500000</v>
      </c>
      <c r="BJ112">
        <v>33.08</v>
      </c>
      <c r="BL112">
        <v>1779167700000</v>
      </c>
      <c r="BM112">
        <v>20.5</v>
      </c>
      <c r="BR112">
        <v>1779169500000</v>
      </c>
      <c r="BS112">
        <v>19.579999999999998</v>
      </c>
      <c r="BT112" s="6"/>
      <c r="BX112">
        <v>1782280800000</v>
      </c>
      <c r="BY112">
        <v>17.29</v>
      </c>
      <c r="CD112">
        <v>1782280800000</v>
      </c>
      <c r="CE112">
        <v>22.45</v>
      </c>
      <c r="CG112">
        <v>1782279000000</v>
      </c>
      <c r="CH112">
        <v>27.71</v>
      </c>
      <c r="CJ112">
        <v>1782278100000</v>
      </c>
      <c r="CK112">
        <v>27.18</v>
      </c>
      <c r="CM112">
        <v>1782279900000</v>
      </c>
      <c r="CN112">
        <v>24.52</v>
      </c>
      <c r="CP112">
        <v>1782279900000</v>
      </c>
      <c r="CQ112">
        <v>24.95</v>
      </c>
      <c r="CR112" s="6"/>
      <c r="DB112">
        <v>1784092500000</v>
      </c>
      <c r="DC112">
        <v>23.11</v>
      </c>
      <c r="DE112">
        <v>1784091600000</v>
      </c>
      <c r="DF112">
        <v>34.78</v>
      </c>
      <c r="DH112">
        <v>1784092500000</v>
      </c>
      <c r="DI112">
        <v>20.72</v>
      </c>
      <c r="DK112">
        <v>1784091600000</v>
      </c>
      <c r="DL112">
        <v>39.11</v>
      </c>
      <c r="DN112">
        <v>1784094300000</v>
      </c>
      <c r="DO112">
        <v>23.5</v>
      </c>
      <c r="DP112" s="6"/>
      <c r="DQ112">
        <v>1784180700000</v>
      </c>
      <c r="DR112">
        <v>15.48</v>
      </c>
      <c r="DZ112">
        <v>1784178000000</v>
      </c>
      <c r="EA112">
        <v>25.96</v>
      </c>
      <c r="EC112">
        <v>1784178900000</v>
      </c>
      <c r="ED112">
        <v>46.26</v>
      </c>
      <c r="EF112">
        <v>1784178000000</v>
      </c>
      <c r="EG112">
        <v>30.67</v>
      </c>
      <c r="EI112">
        <v>1784179800000</v>
      </c>
      <c r="EJ112">
        <v>32.840000000000003</v>
      </c>
      <c r="EL112">
        <v>1784178900000</v>
      </c>
      <c r="EM112">
        <v>29.13</v>
      </c>
      <c r="EN112" s="6"/>
    </row>
    <row r="113" spans="10:144">
      <c r="J113">
        <v>1778045400000</v>
      </c>
      <c r="K113">
        <v>20.63</v>
      </c>
      <c r="M113">
        <v>1778044500000</v>
      </c>
      <c r="N113">
        <v>27.27</v>
      </c>
      <c r="P113">
        <v>1778045400000</v>
      </c>
      <c r="Q113">
        <v>19.73</v>
      </c>
      <c r="V113">
        <v>1778047200000</v>
      </c>
      <c r="W113">
        <v>22.6</v>
      </c>
      <c r="X113" s="6"/>
      <c r="AB113">
        <v>1778130900000</v>
      </c>
      <c r="AC113">
        <v>21.65</v>
      </c>
      <c r="AH113">
        <v>1778132700000</v>
      </c>
      <c r="AI113">
        <v>24.78</v>
      </c>
      <c r="AK113">
        <v>1778130900000</v>
      </c>
      <c r="AL113">
        <v>30.8</v>
      </c>
      <c r="AN113">
        <v>1778130900000</v>
      </c>
      <c r="AO113">
        <v>22.59</v>
      </c>
      <c r="AT113">
        <v>1778132700000</v>
      </c>
      <c r="AU113">
        <v>25.96</v>
      </c>
      <c r="AV113" s="6"/>
      <c r="BI113">
        <v>1779170400000</v>
      </c>
      <c r="BJ113">
        <v>13.1</v>
      </c>
      <c r="BL113">
        <v>1779168600000</v>
      </c>
      <c r="BM113">
        <v>20.63</v>
      </c>
      <c r="BR113">
        <v>1779170400000</v>
      </c>
      <c r="BS113">
        <v>17.399999999999999</v>
      </c>
      <c r="BT113" s="6"/>
      <c r="CG113">
        <v>1782279900000</v>
      </c>
      <c r="CH113">
        <v>28.47</v>
      </c>
      <c r="CJ113">
        <v>1782279000000</v>
      </c>
      <c r="CK113">
        <v>27.67</v>
      </c>
      <c r="CM113">
        <v>1782280800000</v>
      </c>
      <c r="CN113">
        <v>21.87</v>
      </c>
      <c r="CP113">
        <v>1782280800000</v>
      </c>
      <c r="CQ113">
        <v>22.26</v>
      </c>
      <c r="CR113" s="6"/>
      <c r="DB113">
        <v>1784093400000</v>
      </c>
      <c r="DC113">
        <v>23.72</v>
      </c>
      <c r="DE113">
        <v>1784092500000</v>
      </c>
      <c r="DF113">
        <v>32.549999999999997</v>
      </c>
      <c r="DH113">
        <v>1784093400000</v>
      </c>
      <c r="DI113">
        <v>20.32</v>
      </c>
      <c r="DK113">
        <v>1784092500000</v>
      </c>
      <c r="DL113">
        <v>26.83</v>
      </c>
      <c r="DN113">
        <v>1784095200000</v>
      </c>
      <c r="DO113">
        <v>22.8</v>
      </c>
      <c r="DP113" s="6"/>
      <c r="DQ113">
        <v>1784181600000</v>
      </c>
      <c r="DR113">
        <v>29.15</v>
      </c>
      <c r="DZ113">
        <v>1784178900000</v>
      </c>
      <c r="EA113">
        <v>18.07</v>
      </c>
      <c r="EC113">
        <v>1784179800000</v>
      </c>
      <c r="ED113">
        <v>39.29</v>
      </c>
      <c r="EF113">
        <v>1784178900000</v>
      </c>
      <c r="EG113">
        <v>26.44</v>
      </c>
      <c r="EI113">
        <v>1784180700000</v>
      </c>
      <c r="EJ113">
        <v>26.5</v>
      </c>
      <c r="EL113">
        <v>1784179800000</v>
      </c>
      <c r="EM113">
        <v>22.5</v>
      </c>
      <c r="EN113" s="6"/>
    </row>
    <row r="114" spans="10:144">
      <c r="J114">
        <v>1778046300000</v>
      </c>
      <c r="K114">
        <v>25.93</v>
      </c>
      <c r="M114">
        <v>1778045400000</v>
      </c>
      <c r="N114">
        <v>21.75</v>
      </c>
      <c r="P114">
        <v>1778046300000</v>
      </c>
      <c r="Q114">
        <v>20.399999999999999</v>
      </c>
      <c r="X114" s="6"/>
      <c r="AB114">
        <v>1778131800000</v>
      </c>
      <c r="AC114">
        <v>22.22</v>
      </c>
      <c r="AH114">
        <v>1778133600000</v>
      </c>
      <c r="AI114">
        <v>28.85</v>
      </c>
      <c r="AK114">
        <v>1778131800000</v>
      </c>
      <c r="AL114">
        <v>24.57</v>
      </c>
      <c r="AN114">
        <v>1778131800000</v>
      </c>
      <c r="AO114">
        <v>15.45</v>
      </c>
      <c r="AT114">
        <v>1778133600000</v>
      </c>
      <c r="AU114">
        <v>32.82</v>
      </c>
      <c r="AV114" s="6"/>
      <c r="BL114">
        <v>1779169500000</v>
      </c>
      <c r="BM114">
        <v>10.78</v>
      </c>
      <c r="BT114" s="6"/>
      <c r="CG114">
        <v>1782280800000</v>
      </c>
      <c r="CH114">
        <v>23.37</v>
      </c>
      <c r="CJ114">
        <v>1782279900000</v>
      </c>
      <c r="CK114">
        <v>29.81</v>
      </c>
      <c r="CR114" s="6"/>
      <c r="DB114">
        <v>1784094300000</v>
      </c>
      <c r="DC114">
        <v>28.69</v>
      </c>
      <c r="DE114">
        <v>1784093400000</v>
      </c>
      <c r="DF114">
        <v>26.11</v>
      </c>
      <c r="DH114">
        <v>1784094300000</v>
      </c>
      <c r="DI114">
        <v>17.91</v>
      </c>
      <c r="DK114">
        <v>1784093400000</v>
      </c>
      <c r="DL114">
        <v>24.93</v>
      </c>
      <c r="DP114" s="6"/>
      <c r="DZ114">
        <v>1784179800000</v>
      </c>
      <c r="EA114">
        <v>22.39</v>
      </c>
      <c r="EC114">
        <v>1784180700000</v>
      </c>
      <c r="ED114">
        <v>25.73</v>
      </c>
      <c r="EF114">
        <v>1784179800000</v>
      </c>
      <c r="EG114">
        <v>28.06</v>
      </c>
      <c r="EI114">
        <v>1784181600000</v>
      </c>
      <c r="EJ114">
        <v>44.35</v>
      </c>
      <c r="EL114">
        <v>1784180700000</v>
      </c>
      <c r="EM114">
        <v>26.44</v>
      </c>
      <c r="EN114" s="6"/>
    </row>
    <row r="115" spans="10:144">
      <c r="J115">
        <v>1778047200000</v>
      </c>
      <c r="K115">
        <v>13.73</v>
      </c>
      <c r="M115">
        <v>1778046300000</v>
      </c>
      <c r="N115">
        <v>26.9</v>
      </c>
      <c r="P115">
        <v>1778047200000</v>
      </c>
      <c r="Q115">
        <v>9.83</v>
      </c>
      <c r="X115" s="6"/>
      <c r="AB115">
        <v>1778132700000</v>
      </c>
      <c r="AC115">
        <v>17.670000000000002</v>
      </c>
      <c r="AK115">
        <v>1778132700000</v>
      </c>
      <c r="AL115">
        <v>27.18</v>
      </c>
      <c r="AN115">
        <v>1778132700000</v>
      </c>
      <c r="AO115">
        <v>15.53</v>
      </c>
      <c r="AV115" s="6"/>
      <c r="BL115">
        <v>1779170400000</v>
      </c>
      <c r="BM115">
        <v>4.2</v>
      </c>
      <c r="BT115" s="6"/>
      <c r="CJ115">
        <v>1782280800000</v>
      </c>
      <c r="CK115">
        <v>8.27</v>
      </c>
      <c r="CR115" s="6"/>
      <c r="DB115">
        <v>1784095200000</v>
      </c>
      <c r="DC115">
        <v>8.49</v>
      </c>
      <c r="DE115">
        <v>1784094300000</v>
      </c>
      <c r="DF115">
        <v>32.700000000000003</v>
      </c>
      <c r="DH115">
        <v>1784095200000</v>
      </c>
      <c r="DI115">
        <v>13.76</v>
      </c>
      <c r="DK115">
        <v>1784094300000</v>
      </c>
      <c r="DL115">
        <v>32.979999999999997</v>
      </c>
      <c r="DP115" s="6"/>
      <c r="DZ115">
        <v>1784180700000</v>
      </c>
      <c r="EA115">
        <v>19.66</v>
      </c>
      <c r="EC115">
        <v>1784181600000</v>
      </c>
      <c r="ED115">
        <v>35.22</v>
      </c>
      <c r="EF115">
        <v>1784180700000</v>
      </c>
      <c r="EG115">
        <v>24.08</v>
      </c>
      <c r="EL115">
        <v>1784181600000</v>
      </c>
      <c r="EM115">
        <v>18.690000000000001</v>
      </c>
      <c r="EN115" s="6"/>
    </row>
    <row r="116" spans="10:144">
      <c r="M116">
        <v>1778047200000</v>
      </c>
      <c r="N116">
        <v>16.16</v>
      </c>
      <c r="X116" s="6"/>
      <c r="AB116">
        <v>1778133600000</v>
      </c>
      <c r="AC116">
        <v>6.48</v>
      </c>
      <c r="AK116">
        <v>1778133600000</v>
      </c>
      <c r="AL116">
        <v>38.200000000000003</v>
      </c>
      <c r="AN116">
        <v>1778133600000</v>
      </c>
      <c r="AO116">
        <v>12.71</v>
      </c>
      <c r="AV116" s="6"/>
      <c r="BT116" s="6"/>
      <c r="CR116" s="6"/>
      <c r="DE116">
        <v>1784095200000</v>
      </c>
      <c r="DF116">
        <v>29.59</v>
      </c>
      <c r="DK116">
        <v>1784095200000</v>
      </c>
      <c r="DL116">
        <v>26.02</v>
      </c>
      <c r="DP116" s="6"/>
      <c r="DZ116">
        <v>1784181600000</v>
      </c>
      <c r="EA116">
        <v>13.94</v>
      </c>
      <c r="EF116">
        <v>1784181600000</v>
      </c>
      <c r="EG116">
        <v>17.07</v>
      </c>
      <c r="EN116" s="6"/>
    </row>
    <row r="117" spans="10:144">
      <c r="X117" s="6"/>
      <c r="AV117" s="6"/>
      <c r="BT117" s="6"/>
      <c r="CR117" s="6"/>
      <c r="DP117" s="6"/>
      <c r="EN117" s="6"/>
    </row>
    <row r="118" spans="10:144">
      <c r="X118" s="6"/>
      <c r="AV118" s="6"/>
      <c r="BT118" s="6"/>
      <c r="CR118" s="6"/>
      <c r="DP118" s="6"/>
      <c r="EN118" s="6"/>
    </row>
    <row r="119" spans="10:144">
      <c r="X119" s="6"/>
      <c r="AV119" s="6"/>
      <c r="BT119" s="6"/>
      <c r="CR119" s="6"/>
      <c r="DP119" s="6"/>
      <c r="EN119" s="6"/>
    </row>
    <row r="120" spans="10:144">
      <c r="X120" s="6"/>
      <c r="AV120" s="6"/>
      <c r="BT120" s="6"/>
      <c r="CR120" s="6"/>
      <c r="DP120" s="6"/>
      <c r="EN120" s="6"/>
    </row>
    <row r="121" spans="10:144">
      <c r="X121" s="6"/>
      <c r="AV121" s="6"/>
      <c r="BT121" s="6"/>
      <c r="CR121" s="6"/>
      <c r="DP121" s="6"/>
      <c r="EN121" s="6"/>
    </row>
    <row r="122" spans="10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DC0F4FD3-CECA-4043-98F5-D2C72D00D325}"/>
    <hyperlink ref="Y2" r:id="rId2" display="https://atspm.udot.utah.gov/performance-measures" xr:uid="{FF185413-3D37-41BE-9C72-26ACBE40D917}"/>
    <hyperlink ref="AW2" r:id="rId3" display="https://atspm.udot.utah.gov/performance-measures" xr:uid="{993599FE-044F-4566-B69D-6ABAD6847A78}"/>
    <hyperlink ref="BU2" r:id="rId4" display="https://atspm.udot.utah.gov/performance-measures" xr:uid="{E24E64CC-6495-4367-AD46-0271BAE04511}"/>
    <hyperlink ref="CS2" r:id="rId5" display="https://atspm.udot.utah.gov/performance-measures" xr:uid="{0BCAE3A3-0EFA-4C7E-B5F5-63B5AD1F43C1}"/>
    <hyperlink ref="DQ2" r:id="rId6" display="https://atspm.udot.utah.gov/performance-measures" xr:uid="{86838263-5C01-4A5F-A3A5-51D78AF71E4A}"/>
  </hyperlinks>
  <pageMargins left="0.7" right="0.7" top="0.75" bottom="0.75" header="0.3" footer="0.3"/>
  <pageSetup orientation="portrait" horizontalDpi="0" verticalDpi="0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8D0B-F8FE-47A8-95DE-F98104F435AE}">
  <dimension ref="A1:EN122"/>
  <sheetViews>
    <sheetView zoomScaleNormal="80" workbookViewId="0">
      <selection activeCell="A4" sqref="A4"/>
    </sheetView>
  </sheetViews>
  <sheetFormatPr defaultRowHeight="15"/>
  <cols>
    <col min="1" max="1" width="16.7109375" customWidth="1"/>
    <col min="25" max="25" width="16.140625" customWidth="1"/>
    <col min="49" max="49" width="16.7109375" customWidth="1"/>
    <col min="73" max="73" width="16.85546875" customWidth="1"/>
    <col min="97" max="97" width="16.5703125" customWidth="1"/>
    <col min="121" max="121" width="16.42578125" customWidth="1"/>
  </cols>
  <sheetData>
    <row r="1" spans="1:144" ht="23.25">
      <c r="A1" s="1" t="s">
        <v>73</v>
      </c>
      <c r="X1" s="6"/>
      <c r="Y1" s="1" t="s">
        <v>74</v>
      </c>
      <c r="AV1" s="6"/>
      <c r="AW1" s="1" t="s">
        <v>75</v>
      </c>
      <c r="BT1" s="6"/>
      <c r="BU1" s="1" t="s">
        <v>76</v>
      </c>
      <c r="CR1" s="6"/>
      <c r="CS1" s="1" t="s">
        <v>77</v>
      </c>
      <c r="DP1" s="6"/>
      <c r="DQ1" s="1" t="s">
        <v>78</v>
      </c>
      <c r="EN1" s="6"/>
    </row>
    <row r="2" spans="1:144">
      <c r="A2" s="2" t="s">
        <v>79</v>
      </c>
      <c r="X2" s="6"/>
      <c r="Y2" s="2" t="s">
        <v>79</v>
      </c>
      <c r="AV2" s="6"/>
      <c r="AW2" s="2" t="s">
        <v>79</v>
      </c>
      <c r="BT2" s="6"/>
      <c r="BU2" s="2" t="s">
        <v>79</v>
      </c>
      <c r="CR2" s="6"/>
      <c r="CS2" s="2" t="s">
        <v>79</v>
      </c>
      <c r="DP2" s="6"/>
      <c r="DQ2" s="2" t="s">
        <v>79</v>
      </c>
      <c r="EN2" s="6"/>
    </row>
    <row r="3" spans="1:144">
      <c r="A3" t="s">
        <v>110</v>
      </c>
      <c r="X3" s="6"/>
      <c r="Y3" t="s">
        <v>110</v>
      </c>
      <c r="AV3" s="6"/>
      <c r="AW3" t="s">
        <v>110</v>
      </c>
      <c r="BT3" s="6"/>
      <c r="BU3" t="s">
        <v>110</v>
      </c>
      <c r="CR3" s="6"/>
      <c r="CS3" t="s">
        <v>110</v>
      </c>
      <c r="DP3" s="6"/>
      <c r="DQ3" t="s">
        <v>110</v>
      </c>
      <c r="EN3" s="6"/>
    </row>
    <row r="4" spans="1:144">
      <c r="A4" t="s">
        <v>81</v>
      </c>
      <c r="X4" s="6"/>
      <c r="Y4" t="s">
        <v>81</v>
      </c>
      <c r="AV4" s="6"/>
      <c r="AW4" t="s">
        <v>81</v>
      </c>
      <c r="BT4" s="6"/>
      <c r="BU4" t="s">
        <v>81</v>
      </c>
      <c r="CR4" s="6"/>
      <c r="CS4" t="s">
        <v>81</v>
      </c>
      <c r="DP4" s="6"/>
      <c r="DQ4" t="s">
        <v>81</v>
      </c>
      <c r="EN4" s="6"/>
    </row>
    <row r="5" spans="1:144">
      <c r="A5" s="5" t="s">
        <v>97</v>
      </c>
      <c r="X5" s="6"/>
      <c r="Y5" s="5" t="s">
        <v>98</v>
      </c>
      <c r="AV5" s="6"/>
      <c r="AW5" s="5" t="s">
        <v>99</v>
      </c>
      <c r="BT5" s="6"/>
      <c r="BU5" s="5" t="s">
        <v>100</v>
      </c>
      <c r="CR5" s="6"/>
      <c r="CS5" s="5" t="s">
        <v>101</v>
      </c>
      <c r="DP5" s="6"/>
      <c r="DQ5" s="5" t="s">
        <v>102</v>
      </c>
      <c r="EN5" s="6"/>
    </row>
    <row r="6" spans="1:144">
      <c r="X6" s="6"/>
      <c r="AV6" s="6"/>
      <c r="BT6" s="6"/>
      <c r="CR6" s="6"/>
      <c r="DP6" s="6"/>
      <c r="EN6" s="6"/>
    </row>
    <row r="7" spans="1:144">
      <c r="A7" s="3" t="s">
        <v>111</v>
      </c>
      <c r="X7" s="6"/>
      <c r="Y7" s="3" t="s">
        <v>111</v>
      </c>
      <c r="AV7" s="6"/>
      <c r="AW7" s="3" t="s">
        <v>111</v>
      </c>
      <c r="BT7" s="6"/>
      <c r="BU7" s="3" t="s">
        <v>111</v>
      </c>
      <c r="CR7" s="6"/>
      <c r="CS7" s="3" t="s">
        <v>111</v>
      </c>
      <c r="DP7" s="6"/>
      <c r="DQ7" s="3" t="s">
        <v>111</v>
      </c>
      <c r="EN7" s="6"/>
    </row>
    <row r="8" spans="1:144">
      <c r="A8" t="s">
        <v>112</v>
      </c>
      <c r="C8" s="14">
        <f>SUM(B:B,E:E,H:H,K:K,,N:N,Q:Q,T:T,W:W)/4</f>
        <v>115209</v>
      </c>
      <c r="D8" t="s">
        <v>113</v>
      </c>
      <c r="X8" s="6"/>
      <c r="Y8" t="s">
        <v>112</v>
      </c>
      <c r="AA8" s="14">
        <f>SUM(Z:Z,AC:AC,AF:AF,AI:AI,,AL:AL,AO:AO,AR:AR,AU:AU)/4</f>
        <v>121043</v>
      </c>
      <c r="AB8" t="s">
        <v>113</v>
      </c>
      <c r="AV8" s="6"/>
      <c r="AW8" t="s">
        <v>112</v>
      </c>
      <c r="AY8" s="14">
        <f>SUM(AX:AX,BA:BA,BD:BD,BG:BG,,BJ:BJ,BM:BM,BP:BP,BS:BS)/4</f>
        <v>120996</v>
      </c>
      <c r="AZ8" t="s">
        <v>113</v>
      </c>
      <c r="BT8" s="6"/>
      <c r="BU8" t="s">
        <v>112</v>
      </c>
      <c r="BW8" s="14">
        <f>SUM(BV:BV,BY:BY,CB:CB,CE:CE,,CH:CH,CK:CK,CN:CN,CQ:CQ)/4</f>
        <v>91991</v>
      </c>
      <c r="BX8" t="s">
        <v>113</v>
      </c>
      <c r="CR8" s="6"/>
      <c r="CS8" t="s">
        <v>112</v>
      </c>
      <c r="CU8" s="14">
        <f>SUM(CT:CT,CW:CW,CZ:CZ,DC:DC,,DF:DF,DI:DI,DL:DL,DO:DO)/4</f>
        <v>81295</v>
      </c>
      <c r="CV8" t="s">
        <v>113</v>
      </c>
      <c r="DP8" s="6"/>
      <c r="DQ8" t="s">
        <v>112</v>
      </c>
      <c r="DS8" s="14">
        <f>SUM(DR:DR,DU:DU,DX:DX,EA:EA,,ED:ED,EG:EG,EJ:EJ,EM:EM)/4</f>
        <v>80312</v>
      </c>
      <c r="DT8" t="s">
        <v>113</v>
      </c>
      <c r="EN8" s="6"/>
    </row>
    <row r="9" spans="1:144">
      <c r="A9" t="s">
        <v>105</v>
      </c>
      <c r="C9" s="14">
        <f>SUM(B:B)/4</f>
        <v>3553</v>
      </c>
      <c r="D9" t="s">
        <v>113</v>
      </c>
      <c r="X9" s="6"/>
      <c r="Y9" t="s">
        <v>105</v>
      </c>
      <c r="AA9" s="14">
        <f>SUM(Z:Z)/4</f>
        <v>3600</v>
      </c>
      <c r="AB9" t="s">
        <v>113</v>
      </c>
      <c r="AV9" s="6"/>
      <c r="AW9" t="s">
        <v>105</v>
      </c>
      <c r="AY9" s="14">
        <f>SUM(AX:AX)/4</f>
        <v>2979</v>
      </c>
      <c r="AZ9" t="s">
        <v>113</v>
      </c>
      <c r="BT9" s="6"/>
      <c r="BU9" t="s">
        <v>105</v>
      </c>
      <c r="BW9" s="14">
        <f>SUM(BV:BV)/4</f>
        <v>3413</v>
      </c>
      <c r="BX9" t="s">
        <v>113</v>
      </c>
      <c r="CR9" s="6"/>
      <c r="CS9" t="s">
        <v>105</v>
      </c>
      <c r="CU9" s="14">
        <f>SUM(CT:CT)/4</f>
        <v>3512</v>
      </c>
      <c r="CV9" t="s">
        <v>113</v>
      </c>
      <c r="DP9" s="6"/>
      <c r="DQ9" t="s">
        <v>105</v>
      </c>
      <c r="DS9" s="14">
        <f>SUM(DR:DR)/4</f>
        <v>3469</v>
      </c>
      <c r="DT9" t="s">
        <v>113</v>
      </c>
      <c r="EN9" s="6"/>
    </row>
    <row r="10" spans="1:144">
      <c r="A10" t="s">
        <v>4</v>
      </c>
      <c r="C10" s="14">
        <f>SUM(E:E)/4</f>
        <v>42337</v>
      </c>
      <c r="D10" t="s">
        <v>113</v>
      </c>
      <c r="X10" s="6"/>
      <c r="Y10" t="s">
        <v>4</v>
      </c>
      <c r="AA10" s="14">
        <f>SUM(AC:AC)/4</f>
        <v>45169</v>
      </c>
      <c r="AB10" t="s">
        <v>113</v>
      </c>
      <c r="AV10" s="6"/>
      <c r="AW10" t="s">
        <v>4</v>
      </c>
      <c r="AY10" s="14">
        <f>SUM(BA:BA)/4</f>
        <v>44818</v>
      </c>
      <c r="AZ10" t="s">
        <v>113</v>
      </c>
      <c r="BT10" s="6"/>
      <c r="BU10" t="s">
        <v>4</v>
      </c>
      <c r="BW10" s="14">
        <f>SUM(BY:BY)/4</f>
        <v>32724</v>
      </c>
      <c r="BX10" t="s">
        <v>113</v>
      </c>
      <c r="CR10" s="6"/>
      <c r="CS10" t="s">
        <v>4</v>
      </c>
      <c r="CU10" s="14">
        <f>SUM(CW:CW)/4</f>
        <v>28452</v>
      </c>
      <c r="CV10" t="s">
        <v>113</v>
      </c>
      <c r="DP10" s="6"/>
      <c r="DQ10" t="s">
        <v>4</v>
      </c>
      <c r="DS10" s="14">
        <f>SUM(DU:DU)/4</f>
        <v>28092</v>
      </c>
      <c r="DT10" t="s">
        <v>113</v>
      </c>
      <c r="EN10" s="6"/>
    </row>
    <row r="11" spans="1:144">
      <c r="A11" t="s">
        <v>106</v>
      </c>
      <c r="C11" s="14">
        <f>SUM(H:H)/4</f>
        <v>1822</v>
      </c>
      <c r="D11" t="s">
        <v>113</v>
      </c>
      <c r="X11" s="6"/>
      <c r="Y11" t="s">
        <v>106</v>
      </c>
      <c r="AA11" s="14">
        <f>SUM(AF:AF)/4</f>
        <v>1828</v>
      </c>
      <c r="AB11" t="s">
        <v>113</v>
      </c>
      <c r="AV11" s="6"/>
      <c r="AW11" t="s">
        <v>106</v>
      </c>
      <c r="AY11" s="14">
        <f>SUM(BD:BD)/4</f>
        <v>1946</v>
      </c>
      <c r="AZ11" t="s">
        <v>113</v>
      </c>
      <c r="BT11" s="6"/>
      <c r="BU11" t="s">
        <v>106</v>
      </c>
      <c r="BW11" s="14">
        <f>SUM(CB:CB)/4</f>
        <v>1985</v>
      </c>
      <c r="BX11" t="s">
        <v>113</v>
      </c>
      <c r="CR11" s="6"/>
      <c r="CS11" t="s">
        <v>106</v>
      </c>
      <c r="CU11" s="14">
        <f>SUM(CZ:CZ)/4</f>
        <v>1825</v>
      </c>
      <c r="CV11" t="s">
        <v>113</v>
      </c>
      <c r="DP11" s="6"/>
      <c r="DQ11" t="s">
        <v>106</v>
      </c>
      <c r="DS11" s="14">
        <f>SUM(DX:DX)/4</f>
        <v>1935</v>
      </c>
      <c r="DT11" t="s">
        <v>113</v>
      </c>
      <c r="EN11" s="6"/>
    </row>
    <row r="12" spans="1:144">
      <c r="A12" t="s">
        <v>53</v>
      </c>
      <c r="C12" s="14">
        <f>SUM(K:K)/4</f>
        <v>6878</v>
      </c>
      <c r="D12" t="s">
        <v>113</v>
      </c>
      <c r="X12" s="6"/>
      <c r="Y12" t="s">
        <v>53</v>
      </c>
      <c r="AA12" s="14">
        <f>SUM(AI:AI)/4</f>
        <v>6689</v>
      </c>
      <c r="AB12" t="s">
        <v>113</v>
      </c>
      <c r="AV12" s="6"/>
      <c r="AW12" t="s">
        <v>53</v>
      </c>
      <c r="AY12" s="14">
        <f>SUM(BG:BG)/4</f>
        <v>6594</v>
      </c>
      <c r="AZ12" t="s">
        <v>113</v>
      </c>
      <c r="BT12" s="6"/>
      <c r="BU12" t="s">
        <v>53</v>
      </c>
      <c r="BW12" s="14">
        <f>SUM(CE:CE)/4</f>
        <v>6751</v>
      </c>
      <c r="BX12" t="s">
        <v>113</v>
      </c>
      <c r="CR12" s="6"/>
      <c r="CS12" t="s">
        <v>53</v>
      </c>
      <c r="CU12" s="14">
        <f>SUM(DC:DC)/4</f>
        <v>5911</v>
      </c>
      <c r="CV12" t="s">
        <v>113</v>
      </c>
      <c r="DP12" s="6"/>
      <c r="DQ12" t="s">
        <v>53</v>
      </c>
      <c r="DS12" s="14">
        <f>SUM(EA:EA)/4</f>
        <v>5818</v>
      </c>
      <c r="DT12" t="s">
        <v>113</v>
      </c>
      <c r="EN12" s="6"/>
    </row>
    <row r="13" spans="1:144">
      <c r="A13" t="s">
        <v>107</v>
      </c>
      <c r="C13" s="14">
        <f>SUM(N:N)/4</f>
        <v>1383</v>
      </c>
      <c r="D13" t="s">
        <v>113</v>
      </c>
      <c r="X13" s="6"/>
      <c r="Y13" t="s">
        <v>107</v>
      </c>
      <c r="AA13" s="14">
        <f>SUM(AL:AL)/4</f>
        <v>1422</v>
      </c>
      <c r="AB13" t="s">
        <v>113</v>
      </c>
      <c r="AV13" s="6"/>
      <c r="AW13" t="s">
        <v>107</v>
      </c>
      <c r="AY13" s="14">
        <f>SUM(BJ:BJ)/4</f>
        <v>1359</v>
      </c>
      <c r="AZ13" t="s">
        <v>113</v>
      </c>
      <c r="BT13" s="6"/>
      <c r="BU13" t="s">
        <v>107</v>
      </c>
      <c r="BW13" s="14">
        <f>SUM(CH:CH)/4</f>
        <v>1564</v>
      </c>
      <c r="BX13" t="s">
        <v>113</v>
      </c>
      <c r="CR13" s="6"/>
      <c r="CS13" t="s">
        <v>107</v>
      </c>
      <c r="CU13" s="14">
        <f>SUM(DF:DF)/4</f>
        <v>1586</v>
      </c>
      <c r="CV13" t="s">
        <v>113</v>
      </c>
      <c r="DP13" s="6"/>
      <c r="DQ13" t="s">
        <v>107</v>
      </c>
      <c r="DS13" s="14">
        <f>SUM(ED:ED)/4</f>
        <v>1529</v>
      </c>
      <c r="DT13" t="s">
        <v>113</v>
      </c>
      <c r="EN13" s="6"/>
    </row>
    <row r="14" spans="1:144">
      <c r="A14" t="s">
        <v>5</v>
      </c>
      <c r="C14" s="14">
        <f>SUM(Q:Q)/4</f>
        <v>52883</v>
      </c>
      <c r="D14" t="s">
        <v>113</v>
      </c>
      <c r="X14" s="6"/>
      <c r="Y14" t="s">
        <v>5</v>
      </c>
      <c r="AA14" s="14">
        <f>SUM(AO:AO)/4</f>
        <v>55980</v>
      </c>
      <c r="AB14" t="s">
        <v>113</v>
      </c>
      <c r="AV14" s="6"/>
      <c r="AW14" t="s">
        <v>5</v>
      </c>
      <c r="AY14" s="14">
        <f>SUM(BM:BM)/4</f>
        <v>57226</v>
      </c>
      <c r="AZ14" t="s">
        <v>113</v>
      </c>
      <c r="BT14" s="6"/>
      <c r="BU14" t="s">
        <v>5</v>
      </c>
      <c r="BW14" s="14">
        <f>SUM(CK:CK)/4</f>
        <v>38958</v>
      </c>
      <c r="BX14" t="s">
        <v>113</v>
      </c>
      <c r="CR14" s="6"/>
      <c r="CS14" t="s">
        <v>5</v>
      </c>
      <c r="CU14" s="14">
        <f>SUM(DI:DI)/4</f>
        <v>32758</v>
      </c>
      <c r="CV14" t="s">
        <v>113</v>
      </c>
      <c r="DP14" s="6"/>
      <c r="DQ14" t="s">
        <v>5</v>
      </c>
      <c r="DS14" s="14">
        <f>SUM(EG:EG)/4</f>
        <v>32077</v>
      </c>
      <c r="DT14" t="s">
        <v>113</v>
      </c>
      <c r="EN14" s="6"/>
    </row>
    <row r="15" spans="1:144">
      <c r="A15" t="s">
        <v>108</v>
      </c>
      <c r="C15" s="14">
        <f>SUM(T:T)/4</f>
        <v>2837</v>
      </c>
      <c r="D15" t="s">
        <v>113</v>
      </c>
      <c r="X15" s="6"/>
      <c r="Y15" t="s">
        <v>108</v>
      </c>
      <c r="AA15" s="14">
        <f>SUM(AR:AR)/4</f>
        <v>2585</v>
      </c>
      <c r="AB15" t="s">
        <v>113</v>
      </c>
      <c r="AV15" s="6"/>
      <c r="AW15" t="s">
        <v>108</v>
      </c>
      <c r="AY15" s="14">
        <f>SUM(BP:BP)/4</f>
        <v>2550</v>
      </c>
      <c r="AZ15" t="s">
        <v>113</v>
      </c>
      <c r="BT15" s="6"/>
      <c r="BU15" t="s">
        <v>108</v>
      </c>
      <c r="BW15" s="14">
        <f>SUM(CN:CN)/4</f>
        <v>2678</v>
      </c>
      <c r="BX15" t="s">
        <v>113</v>
      </c>
      <c r="CR15" s="6"/>
      <c r="CS15" t="s">
        <v>108</v>
      </c>
      <c r="CU15" s="14">
        <f>SUM(DL:DL)/4</f>
        <v>3402</v>
      </c>
      <c r="CV15" t="s">
        <v>113</v>
      </c>
      <c r="DP15" s="6"/>
      <c r="DQ15" t="s">
        <v>108</v>
      </c>
      <c r="DS15" s="14">
        <f>SUM(EJ:EJ)/4</f>
        <v>3498</v>
      </c>
      <c r="DT15" t="s">
        <v>113</v>
      </c>
      <c r="EN15" s="6"/>
    </row>
    <row r="16" spans="1:144">
      <c r="A16" t="s">
        <v>56</v>
      </c>
      <c r="C16" s="14">
        <f>SUM(W:W)/4</f>
        <v>3516</v>
      </c>
      <c r="D16" t="s">
        <v>113</v>
      </c>
      <c r="X16" s="6"/>
      <c r="Y16" t="s">
        <v>56</v>
      </c>
      <c r="AA16" s="14">
        <f>SUM(AU:AU)/4</f>
        <v>3770</v>
      </c>
      <c r="AB16" t="s">
        <v>113</v>
      </c>
      <c r="AV16" s="6"/>
      <c r="AW16" t="s">
        <v>56</v>
      </c>
      <c r="AY16" s="14">
        <f>SUM(BS:BS)/4</f>
        <v>3524</v>
      </c>
      <c r="AZ16" t="s">
        <v>113</v>
      </c>
      <c r="BT16" s="6"/>
      <c r="BU16" t="s">
        <v>56</v>
      </c>
      <c r="BW16" s="14">
        <f>SUM(CQ:CQ)/4</f>
        <v>3918</v>
      </c>
      <c r="BX16" t="s">
        <v>113</v>
      </c>
      <c r="CR16" s="6"/>
      <c r="CS16" t="s">
        <v>56</v>
      </c>
      <c r="CU16" s="14">
        <f>SUM(DO:DO)/4</f>
        <v>3849</v>
      </c>
      <c r="CV16" t="s">
        <v>113</v>
      </c>
      <c r="DP16" s="6"/>
      <c r="DQ16" t="s">
        <v>56</v>
      </c>
      <c r="DS16" s="14">
        <f>SUM(EM:EM)/4</f>
        <v>3894</v>
      </c>
      <c r="DT16" t="s">
        <v>113</v>
      </c>
      <c r="EN16" s="6"/>
    </row>
    <row r="17" spans="1:144">
      <c r="X17" s="6"/>
      <c r="AV17" s="6"/>
      <c r="BT17" s="6"/>
      <c r="CR17" s="6"/>
      <c r="DP17" s="6"/>
      <c r="EN17" s="6"/>
    </row>
    <row r="18" spans="1:144">
      <c r="A18" s="3" t="s">
        <v>103</v>
      </c>
      <c r="B18" s="4"/>
      <c r="X18" s="6"/>
      <c r="Y18" s="3" t="s">
        <v>103</v>
      </c>
      <c r="Z18" s="4"/>
      <c r="AV18" s="6"/>
      <c r="AW18" s="3" t="s">
        <v>103</v>
      </c>
      <c r="AX18" s="4"/>
      <c r="BT18" s="6"/>
      <c r="BU18" s="3" t="s">
        <v>103</v>
      </c>
      <c r="BV18" s="4"/>
      <c r="CR18" s="6"/>
      <c r="CS18" s="3" t="s">
        <v>103</v>
      </c>
      <c r="CT18" s="4"/>
      <c r="DP18" s="6"/>
      <c r="DQ18" s="3" t="s">
        <v>103</v>
      </c>
      <c r="DR18" s="4"/>
      <c r="EN18" s="6"/>
    </row>
    <row r="19" spans="1:144">
      <c r="A19" s="3" t="s">
        <v>105</v>
      </c>
      <c r="B19" s="7"/>
      <c r="C19" s="3"/>
      <c r="D19" s="3" t="s">
        <v>4</v>
      </c>
      <c r="E19" s="3"/>
      <c r="F19" s="3"/>
      <c r="G19" s="3" t="s">
        <v>106</v>
      </c>
      <c r="H19" s="3"/>
      <c r="I19" s="3"/>
      <c r="J19" s="3" t="s">
        <v>53</v>
      </c>
      <c r="K19" s="3"/>
      <c r="L19" s="3"/>
      <c r="M19" s="3" t="s">
        <v>107</v>
      </c>
      <c r="N19" s="3"/>
      <c r="O19" s="3"/>
      <c r="P19" s="3" t="s">
        <v>5</v>
      </c>
      <c r="Q19" s="3"/>
      <c r="R19" s="3"/>
      <c r="S19" s="3" t="s">
        <v>108</v>
      </c>
      <c r="T19" s="3"/>
      <c r="U19" s="3"/>
      <c r="V19" s="3" t="s">
        <v>56</v>
      </c>
      <c r="W19" s="3"/>
      <c r="X19" s="8"/>
      <c r="Y19" s="3" t="s">
        <v>51</v>
      </c>
      <c r="Z19" s="7"/>
      <c r="AA19" s="3"/>
      <c r="AB19" s="3" t="s">
        <v>4</v>
      </c>
      <c r="AC19" s="3"/>
      <c r="AD19" s="3"/>
      <c r="AE19" s="3" t="s">
        <v>52</v>
      </c>
      <c r="AF19" s="3"/>
      <c r="AG19" s="3"/>
      <c r="AH19" s="3" t="s">
        <v>53</v>
      </c>
      <c r="AI19" s="3"/>
      <c r="AJ19" s="3"/>
      <c r="AK19" s="3" t="s">
        <v>54</v>
      </c>
      <c r="AL19" s="3"/>
      <c r="AM19" s="3"/>
      <c r="AN19" s="3" t="s">
        <v>5</v>
      </c>
      <c r="AO19" s="3"/>
      <c r="AP19" s="3"/>
      <c r="AQ19" s="3" t="s">
        <v>55</v>
      </c>
      <c r="AR19" s="3"/>
      <c r="AS19" s="3"/>
      <c r="AT19" s="3" t="s">
        <v>56</v>
      </c>
      <c r="AU19" s="3"/>
      <c r="AV19" s="8"/>
      <c r="AW19" s="3" t="s">
        <v>51</v>
      </c>
      <c r="AX19" s="7"/>
      <c r="AY19" s="3"/>
      <c r="AZ19" s="3" t="s">
        <v>4</v>
      </c>
      <c r="BA19" s="3"/>
      <c r="BB19" s="3"/>
      <c r="BC19" s="3" t="s">
        <v>52</v>
      </c>
      <c r="BD19" s="3"/>
      <c r="BE19" s="3"/>
      <c r="BF19" s="3" t="s">
        <v>53</v>
      </c>
      <c r="BG19" s="3"/>
      <c r="BH19" s="3"/>
      <c r="BI19" s="3" t="s">
        <v>54</v>
      </c>
      <c r="BJ19" s="3"/>
      <c r="BK19" s="3"/>
      <c r="BL19" s="3" t="s">
        <v>5</v>
      </c>
      <c r="BM19" s="3"/>
      <c r="BN19" s="3"/>
      <c r="BO19" s="3" t="s">
        <v>55</v>
      </c>
      <c r="BP19" s="3"/>
      <c r="BQ19" s="3"/>
      <c r="BR19" s="3" t="s">
        <v>56</v>
      </c>
      <c r="BS19" s="3"/>
      <c r="BT19" s="8"/>
      <c r="BU19" s="3" t="s">
        <v>51</v>
      </c>
      <c r="BV19" s="7"/>
      <c r="BW19" s="3"/>
      <c r="BX19" s="3" t="s">
        <v>4</v>
      </c>
      <c r="BY19" s="3"/>
      <c r="BZ19" s="3"/>
      <c r="CA19" s="3" t="s">
        <v>52</v>
      </c>
      <c r="CB19" s="3"/>
      <c r="CC19" s="3"/>
      <c r="CD19" s="3" t="s">
        <v>53</v>
      </c>
      <c r="CE19" s="3"/>
      <c r="CF19" s="3"/>
      <c r="CG19" s="3" t="s">
        <v>54</v>
      </c>
      <c r="CH19" s="3"/>
      <c r="CI19" s="3"/>
      <c r="CJ19" s="3" t="s">
        <v>5</v>
      </c>
      <c r="CK19" s="3"/>
      <c r="CL19" s="3"/>
      <c r="CM19" s="3" t="s">
        <v>55</v>
      </c>
      <c r="CN19" s="3"/>
      <c r="CO19" s="3"/>
      <c r="CP19" s="3" t="s">
        <v>56</v>
      </c>
      <c r="CQ19" s="3"/>
      <c r="CR19" s="8"/>
      <c r="CS19" s="3" t="s">
        <v>51</v>
      </c>
      <c r="CT19" s="7"/>
      <c r="CU19" s="3"/>
      <c r="CV19" s="3" t="s">
        <v>4</v>
      </c>
      <c r="CW19" s="3"/>
      <c r="CX19" s="3"/>
      <c r="CY19" s="3" t="s">
        <v>52</v>
      </c>
      <c r="CZ19" s="3"/>
      <c r="DA19" s="3"/>
      <c r="DB19" s="3" t="s">
        <v>53</v>
      </c>
      <c r="DC19" s="3"/>
      <c r="DD19" s="3"/>
      <c r="DE19" s="3" t="s">
        <v>54</v>
      </c>
      <c r="DF19" s="3"/>
      <c r="DG19" s="3"/>
      <c r="DH19" s="3" t="s">
        <v>5</v>
      </c>
      <c r="DI19" s="3"/>
      <c r="DJ19" s="3"/>
      <c r="DK19" s="3" t="s">
        <v>55</v>
      </c>
      <c r="DL19" s="3"/>
      <c r="DM19" s="3"/>
      <c r="DN19" s="3" t="s">
        <v>56</v>
      </c>
      <c r="DO19" s="3"/>
      <c r="DP19" s="8"/>
      <c r="DQ19" s="3" t="s">
        <v>51</v>
      </c>
      <c r="DR19" s="7"/>
      <c r="DS19" s="3"/>
      <c r="DT19" s="3" t="s">
        <v>4</v>
      </c>
      <c r="DU19" s="3"/>
      <c r="DV19" s="3"/>
      <c r="DW19" s="3" t="s">
        <v>52</v>
      </c>
      <c r="DX19" s="3"/>
      <c r="DY19" s="3"/>
      <c r="DZ19" s="3" t="s">
        <v>53</v>
      </c>
      <c r="EA19" s="3"/>
      <c r="EB19" s="3"/>
      <c r="EC19" s="3" t="s">
        <v>54</v>
      </c>
      <c r="ED19" s="3"/>
      <c r="EE19" s="3"/>
      <c r="EF19" s="3" t="s">
        <v>5</v>
      </c>
      <c r="EG19" s="3"/>
      <c r="EH19" s="3"/>
      <c r="EI19" s="3" t="s">
        <v>55</v>
      </c>
      <c r="EJ19" s="3"/>
      <c r="EK19" s="3"/>
      <c r="EL19" s="3" t="s">
        <v>56</v>
      </c>
      <c r="EM19" s="3"/>
      <c r="EN19" s="8"/>
    </row>
    <row r="20" spans="1:144">
      <c r="A20" t="s">
        <v>114</v>
      </c>
      <c r="D20" t="s">
        <v>114</v>
      </c>
      <c r="G20" t="s">
        <v>114</v>
      </c>
      <c r="J20" t="s">
        <v>114</v>
      </c>
      <c r="M20" t="s">
        <v>114</v>
      </c>
      <c r="P20" t="s">
        <v>114</v>
      </c>
      <c r="S20" t="s">
        <v>114</v>
      </c>
      <c r="V20" t="s">
        <v>114</v>
      </c>
      <c r="X20" s="6"/>
      <c r="Y20" t="s">
        <v>114</v>
      </c>
      <c r="Z20" s="4"/>
      <c r="AB20" t="s">
        <v>114</v>
      </c>
      <c r="AE20" t="s">
        <v>114</v>
      </c>
      <c r="AH20" t="s">
        <v>114</v>
      </c>
      <c r="AK20" t="s">
        <v>114</v>
      </c>
      <c r="AN20" t="s">
        <v>114</v>
      </c>
      <c r="AQ20" t="s">
        <v>114</v>
      </c>
      <c r="AT20" t="s">
        <v>114</v>
      </c>
      <c r="AV20" s="6"/>
      <c r="AW20" t="s">
        <v>114</v>
      </c>
      <c r="AX20" s="4"/>
      <c r="AZ20" t="s">
        <v>114</v>
      </c>
      <c r="BC20" t="s">
        <v>114</v>
      </c>
      <c r="BF20" t="s">
        <v>114</v>
      </c>
      <c r="BI20" t="s">
        <v>114</v>
      </c>
      <c r="BL20" t="s">
        <v>114</v>
      </c>
      <c r="BO20" t="s">
        <v>114</v>
      </c>
      <c r="BR20" t="s">
        <v>114</v>
      </c>
      <c r="BT20" s="6"/>
      <c r="BU20" t="s">
        <v>114</v>
      </c>
      <c r="BV20" s="4"/>
      <c r="BX20" t="s">
        <v>114</v>
      </c>
      <c r="CA20" t="s">
        <v>114</v>
      </c>
      <c r="CD20" t="s">
        <v>114</v>
      </c>
      <c r="CG20" t="s">
        <v>114</v>
      </c>
      <c r="CJ20" t="s">
        <v>114</v>
      </c>
      <c r="CM20" t="s">
        <v>114</v>
      </c>
      <c r="CP20" t="s">
        <v>114</v>
      </c>
      <c r="CR20" s="6"/>
      <c r="CS20" t="s">
        <v>114</v>
      </c>
      <c r="CT20" s="4"/>
      <c r="CV20" t="s">
        <v>114</v>
      </c>
      <c r="CY20" t="s">
        <v>114</v>
      </c>
      <c r="DB20" t="s">
        <v>114</v>
      </c>
      <c r="DE20" t="s">
        <v>114</v>
      </c>
      <c r="DH20" t="s">
        <v>114</v>
      </c>
      <c r="DK20" t="s">
        <v>114</v>
      </c>
      <c r="DN20" t="s">
        <v>114</v>
      </c>
      <c r="DP20" s="6"/>
      <c r="DQ20" t="s">
        <v>114</v>
      </c>
      <c r="DR20" s="4"/>
      <c r="DT20" t="s">
        <v>114</v>
      </c>
      <c r="DW20" t="s">
        <v>114</v>
      </c>
      <c r="DZ20" t="s">
        <v>114</v>
      </c>
      <c r="EC20" t="s">
        <v>114</v>
      </c>
      <c r="EF20" t="s">
        <v>114</v>
      </c>
      <c r="EI20" t="s">
        <v>114</v>
      </c>
      <c r="EL20" t="s">
        <v>114</v>
      </c>
      <c r="EN20" s="6"/>
    </row>
    <row r="21" spans="1:144">
      <c r="A21">
        <v>1777960800000</v>
      </c>
      <c r="B21">
        <v>12</v>
      </c>
      <c r="D21">
        <v>1777960800000</v>
      </c>
      <c r="E21">
        <v>520</v>
      </c>
      <c r="G21">
        <v>1777960800000</v>
      </c>
      <c r="H21">
        <v>32</v>
      </c>
      <c r="J21">
        <v>1777960800000</v>
      </c>
      <c r="K21">
        <v>124</v>
      </c>
      <c r="M21">
        <v>1777960800000</v>
      </c>
      <c r="N21">
        <v>32</v>
      </c>
      <c r="P21">
        <v>1777960800000</v>
      </c>
      <c r="Q21">
        <v>1456</v>
      </c>
      <c r="S21">
        <v>1777960800000</v>
      </c>
      <c r="T21">
        <v>28</v>
      </c>
      <c r="V21">
        <v>1777960800000</v>
      </c>
      <c r="W21">
        <v>36</v>
      </c>
      <c r="X21" s="6"/>
      <c r="Y21">
        <v>1778047200000</v>
      </c>
      <c r="Z21" s="4">
        <v>16</v>
      </c>
      <c r="AB21">
        <v>1778047200000</v>
      </c>
      <c r="AC21">
        <v>1172</v>
      </c>
      <c r="AE21">
        <v>1778047200000</v>
      </c>
      <c r="AF21">
        <v>20</v>
      </c>
      <c r="AH21">
        <v>1778047200000</v>
      </c>
      <c r="AI21">
        <v>124</v>
      </c>
      <c r="AK21">
        <v>1778047200000</v>
      </c>
      <c r="AL21">
        <v>32</v>
      </c>
      <c r="AN21">
        <v>1778047200000</v>
      </c>
      <c r="AO21">
        <v>1580</v>
      </c>
      <c r="AQ21">
        <v>1778047200000</v>
      </c>
      <c r="AR21">
        <v>12</v>
      </c>
      <c r="AT21">
        <v>1778047200000</v>
      </c>
      <c r="AU21">
        <v>68</v>
      </c>
      <c r="AV21" s="6"/>
      <c r="AW21">
        <v>1779084000000</v>
      </c>
      <c r="AX21" s="4">
        <v>12</v>
      </c>
      <c r="AZ21">
        <v>1779084000000</v>
      </c>
      <c r="BA21">
        <v>1008</v>
      </c>
      <c r="BC21">
        <v>1779084000000</v>
      </c>
      <c r="BD21">
        <v>8</v>
      </c>
      <c r="BF21">
        <v>1779084000000</v>
      </c>
      <c r="BG21">
        <v>96</v>
      </c>
      <c r="BI21">
        <v>1779084000000</v>
      </c>
      <c r="BJ21">
        <v>44</v>
      </c>
      <c r="BL21">
        <v>1779084000000</v>
      </c>
      <c r="BM21">
        <v>944</v>
      </c>
      <c r="BO21">
        <v>1779084000000</v>
      </c>
      <c r="BP21">
        <v>16</v>
      </c>
      <c r="BR21">
        <v>1779084000000</v>
      </c>
      <c r="BS21">
        <v>20</v>
      </c>
      <c r="BT21" s="6"/>
      <c r="BU21">
        <v>1782194400000</v>
      </c>
      <c r="BV21" s="4">
        <v>68</v>
      </c>
      <c r="BX21">
        <v>1782194400000</v>
      </c>
      <c r="BY21">
        <v>716</v>
      </c>
      <c r="CA21">
        <v>1782194400000</v>
      </c>
      <c r="CB21">
        <v>40</v>
      </c>
      <c r="CD21">
        <v>1782194400000</v>
      </c>
      <c r="CE21">
        <v>124</v>
      </c>
      <c r="CG21">
        <v>1782194400000</v>
      </c>
      <c r="CH21">
        <v>52</v>
      </c>
      <c r="CJ21">
        <v>1782194400000</v>
      </c>
      <c r="CK21">
        <v>1344</v>
      </c>
      <c r="CM21">
        <v>1782194400000</v>
      </c>
      <c r="CN21">
        <v>76</v>
      </c>
      <c r="CP21">
        <v>1782194400000</v>
      </c>
      <c r="CQ21">
        <v>68</v>
      </c>
      <c r="CR21" s="6"/>
      <c r="CS21">
        <v>1784008800000</v>
      </c>
      <c r="CT21" s="4">
        <v>32</v>
      </c>
      <c r="CV21">
        <v>1784008800000</v>
      </c>
      <c r="CW21">
        <v>592</v>
      </c>
      <c r="CY21">
        <v>1784008800000</v>
      </c>
      <c r="CZ21">
        <v>20</v>
      </c>
      <c r="DB21">
        <v>1784008800000</v>
      </c>
      <c r="DC21">
        <v>96</v>
      </c>
      <c r="DE21">
        <v>1784008800000</v>
      </c>
      <c r="DF21">
        <v>68</v>
      </c>
      <c r="DH21">
        <v>1784008800000</v>
      </c>
      <c r="DI21">
        <v>780</v>
      </c>
      <c r="DK21">
        <v>1784008800000</v>
      </c>
      <c r="DL21">
        <v>36</v>
      </c>
      <c r="DN21">
        <v>1784008800000</v>
      </c>
      <c r="DO21">
        <v>24</v>
      </c>
      <c r="DP21" s="6"/>
      <c r="DQ21">
        <v>1784095200000</v>
      </c>
      <c r="DR21" s="4">
        <v>24</v>
      </c>
      <c r="DT21">
        <v>1784095200000</v>
      </c>
      <c r="DU21">
        <v>460</v>
      </c>
      <c r="DW21">
        <v>1784095200000</v>
      </c>
      <c r="DX21">
        <v>8</v>
      </c>
      <c r="DZ21">
        <v>1784095200000</v>
      </c>
      <c r="EA21">
        <v>76</v>
      </c>
      <c r="EC21">
        <v>1784095200000</v>
      </c>
      <c r="ED21">
        <v>52</v>
      </c>
      <c r="EF21">
        <v>1784095200000</v>
      </c>
      <c r="EG21">
        <v>632</v>
      </c>
      <c r="EI21">
        <v>1784095200000</v>
      </c>
      <c r="EJ21">
        <v>32</v>
      </c>
      <c r="EL21">
        <v>1784095200000</v>
      </c>
      <c r="EM21">
        <v>56</v>
      </c>
      <c r="EN21" s="6"/>
    </row>
    <row r="22" spans="1:144">
      <c r="A22">
        <v>1777961700000</v>
      </c>
      <c r="B22">
        <v>28</v>
      </c>
      <c r="D22">
        <v>1777961700000</v>
      </c>
      <c r="E22">
        <v>356</v>
      </c>
      <c r="G22">
        <v>1777961700000</v>
      </c>
      <c r="H22">
        <v>28</v>
      </c>
      <c r="J22">
        <v>1777961700000</v>
      </c>
      <c r="K22">
        <v>44</v>
      </c>
      <c r="M22">
        <v>1777961700000</v>
      </c>
      <c r="N22">
        <v>36</v>
      </c>
      <c r="P22">
        <v>1777961700000</v>
      </c>
      <c r="Q22">
        <v>1368</v>
      </c>
      <c r="S22">
        <v>1777961700000</v>
      </c>
      <c r="T22">
        <v>16</v>
      </c>
      <c r="V22">
        <v>1777961700000</v>
      </c>
      <c r="W22">
        <v>52</v>
      </c>
      <c r="X22" s="6"/>
      <c r="Y22">
        <v>1778048100000</v>
      </c>
      <c r="Z22" s="4">
        <v>4</v>
      </c>
      <c r="AB22">
        <v>1778048100000</v>
      </c>
      <c r="AC22">
        <v>956</v>
      </c>
      <c r="AE22">
        <v>1778048100000</v>
      </c>
      <c r="AF22">
        <v>8</v>
      </c>
      <c r="AH22">
        <v>1778048100000</v>
      </c>
      <c r="AI22">
        <v>72</v>
      </c>
      <c r="AK22">
        <v>1778048100000</v>
      </c>
      <c r="AL22">
        <v>32</v>
      </c>
      <c r="AN22">
        <v>1778048100000</v>
      </c>
      <c r="AO22">
        <v>1468</v>
      </c>
      <c r="AQ22">
        <v>1778048100000</v>
      </c>
      <c r="AR22">
        <v>16</v>
      </c>
      <c r="AT22">
        <v>1778048100000</v>
      </c>
      <c r="AU22">
        <v>52</v>
      </c>
      <c r="AV22" s="6"/>
      <c r="AW22">
        <v>1779084900000</v>
      </c>
      <c r="AX22" s="4">
        <v>0</v>
      </c>
      <c r="AZ22">
        <v>1779084900000</v>
      </c>
      <c r="BA22">
        <v>1140</v>
      </c>
      <c r="BC22">
        <v>1779084900000</v>
      </c>
      <c r="BD22">
        <v>8</v>
      </c>
      <c r="BF22">
        <v>1779084900000</v>
      </c>
      <c r="BG22">
        <v>88</v>
      </c>
      <c r="BI22">
        <v>1779084900000</v>
      </c>
      <c r="BJ22">
        <v>28</v>
      </c>
      <c r="BL22">
        <v>1779084900000</v>
      </c>
      <c r="BM22">
        <v>852</v>
      </c>
      <c r="BO22">
        <v>1779084900000</v>
      </c>
      <c r="BP22">
        <v>24</v>
      </c>
      <c r="BR22">
        <v>1779084900000</v>
      </c>
      <c r="BS22">
        <v>28</v>
      </c>
      <c r="BT22" s="6"/>
      <c r="BU22">
        <v>1782195300000</v>
      </c>
      <c r="BV22" s="4">
        <v>48</v>
      </c>
      <c r="BX22">
        <v>1782195300000</v>
      </c>
      <c r="BY22">
        <v>560</v>
      </c>
      <c r="CA22">
        <v>1782195300000</v>
      </c>
      <c r="CB22">
        <v>12</v>
      </c>
      <c r="CD22">
        <v>1782195300000</v>
      </c>
      <c r="CE22">
        <v>88</v>
      </c>
      <c r="CG22">
        <v>1782195300000</v>
      </c>
      <c r="CH22">
        <v>40</v>
      </c>
      <c r="CJ22">
        <v>1782195300000</v>
      </c>
      <c r="CK22">
        <v>948</v>
      </c>
      <c r="CM22">
        <v>1782195300000</v>
      </c>
      <c r="CN22">
        <v>32</v>
      </c>
      <c r="CP22">
        <v>1782195300000</v>
      </c>
      <c r="CQ22">
        <v>56</v>
      </c>
      <c r="CR22" s="6"/>
      <c r="CS22">
        <v>1784009700000</v>
      </c>
      <c r="CT22" s="4">
        <v>32</v>
      </c>
      <c r="CV22">
        <v>1784009700000</v>
      </c>
      <c r="CW22">
        <v>492</v>
      </c>
      <c r="CY22">
        <v>1784009700000</v>
      </c>
      <c r="CZ22">
        <v>84</v>
      </c>
      <c r="DB22">
        <v>1784009700000</v>
      </c>
      <c r="DC22">
        <v>64</v>
      </c>
      <c r="DE22">
        <v>1784009700000</v>
      </c>
      <c r="DF22">
        <v>68</v>
      </c>
      <c r="DH22">
        <v>1784009700000</v>
      </c>
      <c r="DI22">
        <v>700</v>
      </c>
      <c r="DK22">
        <v>1784009700000</v>
      </c>
      <c r="DL22">
        <v>40</v>
      </c>
      <c r="DN22">
        <v>1784009700000</v>
      </c>
      <c r="DO22">
        <v>56</v>
      </c>
      <c r="DP22" s="6"/>
      <c r="DQ22">
        <v>1784096100000</v>
      </c>
      <c r="DR22" s="4">
        <v>24</v>
      </c>
      <c r="DT22">
        <v>1784096100000</v>
      </c>
      <c r="DU22">
        <v>468</v>
      </c>
      <c r="DW22">
        <v>1784096100000</v>
      </c>
      <c r="DX22">
        <v>16</v>
      </c>
      <c r="DZ22">
        <v>1784096100000</v>
      </c>
      <c r="EA22">
        <v>132</v>
      </c>
      <c r="EC22">
        <v>1784096100000</v>
      </c>
      <c r="ED22">
        <v>48</v>
      </c>
      <c r="EF22">
        <v>1784096100000</v>
      </c>
      <c r="EG22">
        <v>628</v>
      </c>
      <c r="EI22">
        <v>1784096100000</v>
      </c>
      <c r="EJ22">
        <v>60</v>
      </c>
      <c r="EL22">
        <v>1784096100000</v>
      </c>
      <c r="EM22">
        <v>72</v>
      </c>
      <c r="EN22" s="6"/>
    </row>
    <row r="23" spans="1:144">
      <c r="A23">
        <v>1777962600000</v>
      </c>
      <c r="B23">
        <v>12</v>
      </c>
      <c r="D23">
        <v>1777962600000</v>
      </c>
      <c r="E23">
        <v>344</v>
      </c>
      <c r="G23">
        <v>1777962600000</v>
      </c>
      <c r="H23">
        <v>0</v>
      </c>
      <c r="J23">
        <v>1777962600000</v>
      </c>
      <c r="K23">
        <v>32</v>
      </c>
      <c r="M23">
        <v>1777962600000</v>
      </c>
      <c r="N23">
        <v>32</v>
      </c>
      <c r="P23">
        <v>1777962600000</v>
      </c>
      <c r="Q23">
        <v>1352</v>
      </c>
      <c r="S23">
        <v>1777962600000</v>
      </c>
      <c r="T23">
        <v>32</v>
      </c>
      <c r="V23">
        <v>1777962600000</v>
      </c>
      <c r="W23">
        <v>36</v>
      </c>
      <c r="X23" s="6"/>
      <c r="Y23">
        <v>1778049000000</v>
      </c>
      <c r="Z23" s="4">
        <v>8</v>
      </c>
      <c r="AB23">
        <v>1778049000000</v>
      </c>
      <c r="AC23">
        <v>1120</v>
      </c>
      <c r="AE23">
        <v>1778049000000</v>
      </c>
      <c r="AF23">
        <v>12</v>
      </c>
      <c r="AH23">
        <v>1778049000000</v>
      </c>
      <c r="AI23">
        <v>76</v>
      </c>
      <c r="AK23">
        <v>1778049000000</v>
      </c>
      <c r="AL23">
        <v>40</v>
      </c>
      <c r="AN23">
        <v>1778049000000</v>
      </c>
      <c r="AO23">
        <v>1512</v>
      </c>
      <c r="AQ23">
        <v>1778049000000</v>
      </c>
      <c r="AR23">
        <v>16</v>
      </c>
      <c r="AT23">
        <v>1778049000000</v>
      </c>
      <c r="AU23">
        <v>48</v>
      </c>
      <c r="AV23" s="6"/>
      <c r="AW23">
        <v>1779085800000</v>
      </c>
      <c r="AX23" s="4">
        <v>0</v>
      </c>
      <c r="AZ23">
        <v>1779085800000</v>
      </c>
      <c r="BA23">
        <v>1104</v>
      </c>
      <c r="BC23">
        <v>1779085800000</v>
      </c>
      <c r="BD23">
        <v>8</v>
      </c>
      <c r="BF23">
        <v>1779085800000</v>
      </c>
      <c r="BG23">
        <v>44</v>
      </c>
      <c r="BI23">
        <v>1779085800000</v>
      </c>
      <c r="BJ23">
        <v>28</v>
      </c>
      <c r="BL23">
        <v>1779085800000</v>
      </c>
      <c r="BM23">
        <v>1172</v>
      </c>
      <c r="BO23">
        <v>1779085800000</v>
      </c>
      <c r="BP23">
        <v>4</v>
      </c>
      <c r="BR23">
        <v>1779085800000</v>
      </c>
      <c r="BS23">
        <v>52</v>
      </c>
      <c r="BT23" s="6"/>
      <c r="BU23">
        <v>1782196200000</v>
      </c>
      <c r="BV23" s="4">
        <v>12</v>
      </c>
      <c r="BX23">
        <v>1782196200000</v>
      </c>
      <c r="BY23">
        <v>680</v>
      </c>
      <c r="CA23">
        <v>1782196200000</v>
      </c>
      <c r="CB23">
        <v>8</v>
      </c>
      <c r="CD23">
        <v>1782196200000</v>
      </c>
      <c r="CE23">
        <v>136</v>
      </c>
      <c r="CG23">
        <v>1782196200000</v>
      </c>
      <c r="CH23">
        <v>36</v>
      </c>
      <c r="CJ23">
        <v>1782196200000</v>
      </c>
      <c r="CK23">
        <v>988</v>
      </c>
      <c r="CM23">
        <v>1782196200000</v>
      </c>
      <c r="CN23">
        <v>20</v>
      </c>
      <c r="CP23">
        <v>1782196200000</v>
      </c>
      <c r="CQ23">
        <v>56</v>
      </c>
      <c r="CR23" s="6"/>
      <c r="CS23">
        <v>1784010600000</v>
      </c>
      <c r="CT23" s="4">
        <v>12</v>
      </c>
      <c r="CV23">
        <v>1784010600000</v>
      </c>
      <c r="CW23">
        <v>408</v>
      </c>
      <c r="CY23">
        <v>1784010600000</v>
      </c>
      <c r="CZ23">
        <v>8</v>
      </c>
      <c r="DB23">
        <v>1784010600000</v>
      </c>
      <c r="DC23">
        <v>148</v>
      </c>
      <c r="DE23">
        <v>1784010600000</v>
      </c>
      <c r="DF23">
        <v>32</v>
      </c>
      <c r="DH23">
        <v>1784010600000</v>
      </c>
      <c r="DI23">
        <v>728</v>
      </c>
      <c r="DK23">
        <v>1784010600000</v>
      </c>
      <c r="DL23">
        <v>36</v>
      </c>
      <c r="DN23">
        <v>1784010600000</v>
      </c>
      <c r="DO23">
        <v>32</v>
      </c>
      <c r="DP23" s="6"/>
      <c r="DQ23">
        <v>1784097000000</v>
      </c>
      <c r="DR23" s="4">
        <v>28</v>
      </c>
      <c r="DT23">
        <v>1784097000000</v>
      </c>
      <c r="DU23">
        <v>244</v>
      </c>
      <c r="DW23">
        <v>1784097000000</v>
      </c>
      <c r="DX23">
        <v>4</v>
      </c>
      <c r="DZ23">
        <v>1784097000000</v>
      </c>
      <c r="EA23">
        <v>128</v>
      </c>
      <c r="EC23">
        <v>1784097000000</v>
      </c>
      <c r="ED23">
        <v>28</v>
      </c>
      <c r="EF23">
        <v>1784097000000</v>
      </c>
      <c r="EG23">
        <v>620</v>
      </c>
      <c r="EI23">
        <v>1784097000000</v>
      </c>
      <c r="EJ23">
        <v>44</v>
      </c>
      <c r="EL23">
        <v>1784097000000</v>
      </c>
      <c r="EM23">
        <v>36</v>
      </c>
      <c r="EN23" s="6"/>
    </row>
    <row r="24" spans="1:144">
      <c r="A24">
        <v>1777963500000</v>
      </c>
      <c r="B24">
        <v>12</v>
      </c>
      <c r="D24">
        <v>1777963500000</v>
      </c>
      <c r="E24">
        <v>744</v>
      </c>
      <c r="G24">
        <v>1777963500000</v>
      </c>
      <c r="H24">
        <v>12</v>
      </c>
      <c r="J24">
        <v>1777963500000</v>
      </c>
      <c r="K24">
        <v>72</v>
      </c>
      <c r="M24">
        <v>1777963500000</v>
      </c>
      <c r="N24">
        <v>36</v>
      </c>
      <c r="P24">
        <v>1777963500000</v>
      </c>
      <c r="Q24">
        <v>1320</v>
      </c>
      <c r="S24">
        <v>1777963500000</v>
      </c>
      <c r="T24">
        <v>16</v>
      </c>
      <c r="V24">
        <v>1777963500000</v>
      </c>
      <c r="W24">
        <v>32</v>
      </c>
      <c r="X24" s="6"/>
      <c r="Y24">
        <v>1778049900000</v>
      </c>
      <c r="Z24" s="4">
        <v>16</v>
      </c>
      <c r="AB24">
        <v>1778049900000</v>
      </c>
      <c r="AC24">
        <v>948</v>
      </c>
      <c r="AE24">
        <v>1778049900000</v>
      </c>
      <c r="AF24">
        <v>8</v>
      </c>
      <c r="AH24">
        <v>1778049900000</v>
      </c>
      <c r="AI24">
        <v>44</v>
      </c>
      <c r="AK24">
        <v>1778049900000</v>
      </c>
      <c r="AL24">
        <v>28</v>
      </c>
      <c r="AN24">
        <v>1778049900000</v>
      </c>
      <c r="AO24">
        <v>1196</v>
      </c>
      <c r="AQ24">
        <v>1778049900000</v>
      </c>
      <c r="AR24">
        <v>40</v>
      </c>
      <c r="AT24">
        <v>1778049900000</v>
      </c>
      <c r="AU24">
        <v>24</v>
      </c>
      <c r="AV24" s="6"/>
      <c r="AW24">
        <v>1779086700000</v>
      </c>
      <c r="AX24" s="4">
        <v>8</v>
      </c>
      <c r="AZ24">
        <v>1779086700000</v>
      </c>
      <c r="BA24">
        <v>1156</v>
      </c>
      <c r="BC24">
        <v>1779086700000</v>
      </c>
      <c r="BD24">
        <v>16</v>
      </c>
      <c r="BF24">
        <v>1779086700000</v>
      </c>
      <c r="BG24">
        <v>52</v>
      </c>
      <c r="BI24">
        <v>1779086700000</v>
      </c>
      <c r="BJ24">
        <v>28</v>
      </c>
      <c r="BL24">
        <v>1779086700000</v>
      </c>
      <c r="BM24">
        <v>1232</v>
      </c>
      <c r="BO24">
        <v>1779086700000</v>
      </c>
      <c r="BP24">
        <v>32</v>
      </c>
      <c r="BR24">
        <v>1779086700000</v>
      </c>
      <c r="BS24">
        <v>8</v>
      </c>
      <c r="BT24" s="6"/>
      <c r="BU24">
        <v>1782197100000</v>
      </c>
      <c r="BV24" s="4">
        <v>12</v>
      </c>
      <c r="BX24">
        <v>1782197100000</v>
      </c>
      <c r="BY24">
        <v>512</v>
      </c>
      <c r="CA24">
        <v>1782197100000</v>
      </c>
      <c r="CB24">
        <v>0</v>
      </c>
      <c r="CD24">
        <v>1782197100000</v>
      </c>
      <c r="CE24">
        <v>52</v>
      </c>
      <c r="CG24">
        <v>1782197100000</v>
      </c>
      <c r="CH24">
        <v>48</v>
      </c>
      <c r="CJ24">
        <v>1782197100000</v>
      </c>
      <c r="CK24">
        <v>848</v>
      </c>
      <c r="CM24">
        <v>1782197100000</v>
      </c>
      <c r="CN24">
        <v>28</v>
      </c>
      <c r="CP24">
        <v>1782197100000</v>
      </c>
      <c r="CQ24">
        <v>20</v>
      </c>
      <c r="CR24" s="6"/>
      <c r="CS24">
        <v>1784011500000</v>
      </c>
      <c r="CT24" s="4">
        <v>0</v>
      </c>
      <c r="CV24">
        <v>1784011500000</v>
      </c>
      <c r="CW24">
        <v>340</v>
      </c>
      <c r="CY24">
        <v>1784011500000</v>
      </c>
      <c r="CZ24">
        <v>20</v>
      </c>
      <c r="DB24">
        <v>1784011500000</v>
      </c>
      <c r="DC24">
        <v>120</v>
      </c>
      <c r="DE24">
        <v>1784011500000</v>
      </c>
      <c r="DF24">
        <v>48</v>
      </c>
      <c r="DH24">
        <v>1784011500000</v>
      </c>
      <c r="DI24">
        <v>616</v>
      </c>
      <c r="DK24">
        <v>1784011500000</v>
      </c>
      <c r="DL24">
        <v>88</v>
      </c>
      <c r="DN24">
        <v>1784011500000</v>
      </c>
      <c r="DO24">
        <v>28</v>
      </c>
      <c r="DP24" s="6"/>
      <c r="DQ24">
        <v>1784097900000</v>
      </c>
      <c r="DR24" s="4">
        <v>16</v>
      </c>
      <c r="DT24">
        <v>1784097900000</v>
      </c>
      <c r="DU24">
        <v>332</v>
      </c>
      <c r="DW24">
        <v>1784097900000</v>
      </c>
      <c r="DX24">
        <v>0</v>
      </c>
      <c r="DZ24">
        <v>1784097900000</v>
      </c>
      <c r="EA24">
        <v>52</v>
      </c>
      <c r="EC24">
        <v>1784097900000</v>
      </c>
      <c r="ED24">
        <v>44</v>
      </c>
      <c r="EF24">
        <v>1784097900000</v>
      </c>
      <c r="EG24">
        <v>524</v>
      </c>
      <c r="EI24">
        <v>1784097900000</v>
      </c>
      <c r="EJ24">
        <v>44</v>
      </c>
      <c r="EL24">
        <v>1784097900000</v>
      </c>
      <c r="EM24">
        <v>12</v>
      </c>
      <c r="EN24" s="6"/>
    </row>
    <row r="25" spans="1:144">
      <c r="A25">
        <v>1777964400000</v>
      </c>
      <c r="B25">
        <v>12</v>
      </c>
      <c r="D25">
        <v>1777964400000</v>
      </c>
      <c r="E25">
        <v>916</v>
      </c>
      <c r="G25">
        <v>1777964400000</v>
      </c>
      <c r="H25">
        <v>20</v>
      </c>
      <c r="J25">
        <v>1777964400000</v>
      </c>
      <c r="K25">
        <v>96</v>
      </c>
      <c r="M25">
        <v>1777964400000</v>
      </c>
      <c r="N25">
        <v>40</v>
      </c>
      <c r="P25">
        <v>1777964400000</v>
      </c>
      <c r="Q25">
        <v>1388</v>
      </c>
      <c r="S25">
        <v>1777964400000</v>
      </c>
      <c r="T25">
        <v>52</v>
      </c>
      <c r="V25">
        <v>1777964400000</v>
      </c>
      <c r="W25">
        <v>16</v>
      </c>
      <c r="X25" s="6"/>
      <c r="Y25">
        <v>1778050800000</v>
      </c>
      <c r="Z25" s="4">
        <v>24</v>
      </c>
      <c r="AB25">
        <v>1778050800000</v>
      </c>
      <c r="AC25">
        <v>996</v>
      </c>
      <c r="AE25">
        <v>1778050800000</v>
      </c>
      <c r="AF25">
        <v>4</v>
      </c>
      <c r="AH25">
        <v>1778050800000</v>
      </c>
      <c r="AI25">
        <v>44</v>
      </c>
      <c r="AK25">
        <v>1778050800000</v>
      </c>
      <c r="AL25">
        <v>44</v>
      </c>
      <c r="AN25">
        <v>1778050800000</v>
      </c>
      <c r="AO25">
        <v>1408</v>
      </c>
      <c r="AQ25">
        <v>1778050800000</v>
      </c>
      <c r="AR25">
        <v>36</v>
      </c>
      <c r="AT25">
        <v>1778050800000</v>
      </c>
      <c r="AU25">
        <v>28</v>
      </c>
      <c r="AV25" s="6"/>
      <c r="AW25">
        <v>1779087600000</v>
      </c>
      <c r="AX25" s="4">
        <v>24</v>
      </c>
      <c r="AZ25">
        <v>1779087600000</v>
      </c>
      <c r="BA25">
        <v>1384</v>
      </c>
      <c r="BC25">
        <v>1779087600000</v>
      </c>
      <c r="BD25">
        <v>0</v>
      </c>
      <c r="BF25">
        <v>1779087600000</v>
      </c>
      <c r="BG25">
        <v>36</v>
      </c>
      <c r="BI25">
        <v>1779087600000</v>
      </c>
      <c r="BJ25">
        <v>32</v>
      </c>
      <c r="BL25">
        <v>1779087600000</v>
      </c>
      <c r="BM25">
        <v>1888</v>
      </c>
      <c r="BO25">
        <v>1779087600000</v>
      </c>
      <c r="BP25">
        <v>8</v>
      </c>
      <c r="BR25">
        <v>1779087600000</v>
      </c>
      <c r="BS25">
        <v>28</v>
      </c>
      <c r="BT25" s="6"/>
      <c r="BU25">
        <v>1782198000000</v>
      </c>
      <c r="BV25" s="4">
        <v>16</v>
      </c>
      <c r="BX25">
        <v>1782198000000</v>
      </c>
      <c r="BY25">
        <v>372</v>
      </c>
      <c r="CA25">
        <v>1782198000000</v>
      </c>
      <c r="CB25">
        <v>4</v>
      </c>
      <c r="CD25">
        <v>1782198000000</v>
      </c>
      <c r="CE25">
        <v>56</v>
      </c>
      <c r="CG25">
        <v>1782198000000</v>
      </c>
      <c r="CH25">
        <v>24</v>
      </c>
      <c r="CJ25">
        <v>1782198000000</v>
      </c>
      <c r="CK25">
        <v>856</v>
      </c>
      <c r="CM25">
        <v>1782198000000</v>
      </c>
      <c r="CN25">
        <v>36</v>
      </c>
      <c r="CP25">
        <v>1782198000000</v>
      </c>
      <c r="CQ25">
        <v>24</v>
      </c>
      <c r="CR25" s="6"/>
      <c r="CS25">
        <v>1784012400000</v>
      </c>
      <c r="CT25" s="4">
        <v>36</v>
      </c>
      <c r="CV25">
        <v>1784012400000</v>
      </c>
      <c r="CW25">
        <v>340</v>
      </c>
      <c r="CY25">
        <v>1784012400000</v>
      </c>
      <c r="CZ25">
        <v>4</v>
      </c>
      <c r="DB25">
        <v>1784012400000</v>
      </c>
      <c r="DC25">
        <v>132</v>
      </c>
      <c r="DE25">
        <v>1784012400000</v>
      </c>
      <c r="DF25">
        <v>32</v>
      </c>
      <c r="DH25">
        <v>1784012400000</v>
      </c>
      <c r="DI25">
        <v>632</v>
      </c>
      <c r="DK25">
        <v>1784012400000</v>
      </c>
      <c r="DL25">
        <v>40</v>
      </c>
      <c r="DN25">
        <v>1784012400000</v>
      </c>
      <c r="DO25">
        <v>12</v>
      </c>
      <c r="DP25" s="6"/>
      <c r="DQ25">
        <v>1784098800000</v>
      </c>
      <c r="DR25" s="4">
        <v>12</v>
      </c>
      <c r="DT25">
        <v>1784098800000</v>
      </c>
      <c r="DU25">
        <v>200</v>
      </c>
      <c r="DW25">
        <v>1784098800000</v>
      </c>
      <c r="DX25">
        <v>4</v>
      </c>
      <c r="DZ25">
        <v>1784098800000</v>
      </c>
      <c r="EA25">
        <v>68</v>
      </c>
      <c r="EC25">
        <v>1784098800000</v>
      </c>
      <c r="ED25">
        <v>28</v>
      </c>
      <c r="EF25">
        <v>1784098800000</v>
      </c>
      <c r="EG25">
        <v>632</v>
      </c>
      <c r="EI25">
        <v>1784098800000</v>
      </c>
      <c r="EJ25">
        <v>84</v>
      </c>
      <c r="EL25">
        <v>1784098800000</v>
      </c>
      <c r="EM25">
        <v>24</v>
      </c>
      <c r="EN25" s="6"/>
    </row>
    <row r="26" spans="1:144">
      <c r="A26">
        <v>1777965300000</v>
      </c>
      <c r="B26">
        <v>4</v>
      </c>
      <c r="D26">
        <v>1777965300000</v>
      </c>
      <c r="E26">
        <v>704</v>
      </c>
      <c r="G26">
        <v>1777965300000</v>
      </c>
      <c r="H26">
        <v>4</v>
      </c>
      <c r="J26">
        <v>1777965300000</v>
      </c>
      <c r="K26">
        <v>60</v>
      </c>
      <c r="M26">
        <v>1777965300000</v>
      </c>
      <c r="N26">
        <v>12</v>
      </c>
      <c r="P26">
        <v>1777965300000</v>
      </c>
      <c r="Q26">
        <v>1484</v>
      </c>
      <c r="S26">
        <v>1777965300000</v>
      </c>
      <c r="T26">
        <v>12</v>
      </c>
      <c r="V26">
        <v>1777965300000</v>
      </c>
      <c r="W26">
        <v>32</v>
      </c>
      <c r="X26" s="6"/>
      <c r="Y26">
        <v>1778051700000</v>
      </c>
      <c r="Z26" s="4">
        <v>16</v>
      </c>
      <c r="AB26">
        <v>1778051700000</v>
      </c>
      <c r="AC26">
        <v>820</v>
      </c>
      <c r="AE26">
        <v>1778051700000</v>
      </c>
      <c r="AF26">
        <v>0</v>
      </c>
      <c r="AH26">
        <v>1778051700000</v>
      </c>
      <c r="AI26">
        <v>60</v>
      </c>
      <c r="AK26">
        <v>1778051700000</v>
      </c>
      <c r="AL26">
        <v>24</v>
      </c>
      <c r="AN26">
        <v>1778051700000</v>
      </c>
      <c r="AO26">
        <v>3144</v>
      </c>
      <c r="AQ26">
        <v>1778051700000</v>
      </c>
      <c r="AR26">
        <v>16</v>
      </c>
      <c r="AT26">
        <v>1778051700000</v>
      </c>
      <c r="AU26">
        <v>40</v>
      </c>
      <c r="AV26" s="6"/>
      <c r="AW26">
        <v>1779088500000</v>
      </c>
      <c r="AX26" s="4">
        <v>4</v>
      </c>
      <c r="AZ26">
        <v>1779088500000</v>
      </c>
      <c r="BA26">
        <v>1108</v>
      </c>
      <c r="BC26">
        <v>1779088500000</v>
      </c>
      <c r="BD26">
        <v>16</v>
      </c>
      <c r="BF26">
        <v>1779088500000</v>
      </c>
      <c r="BG26">
        <v>28</v>
      </c>
      <c r="BI26">
        <v>1779088500000</v>
      </c>
      <c r="BJ26">
        <v>24</v>
      </c>
      <c r="BL26">
        <v>1779088500000</v>
      </c>
      <c r="BM26">
        <v>3016</v>
      </c>
      <c r="BO26">
        <v>1779088500000</v>
      </c>
      <c r="BP26">
        <v>12</v>
      </c>
      <c r="BR26">
        <v>1779088500000</v>
      </c>
      <c r="BS26">
        <v>32</v>
      </c>
      <c r="BT26" s="6"/>
      <c r="BU26">
        <v>1782198900000</v>
      </c>
      <c r="BV26" s="4">
        <v>32</v>
      </c>
      <c r="BX26">
        <v>1782198900000</v>
      </c>
      <c r="BY26">
        <v>460</v>
      </c>
      <c r="CA26">
        <v>1782198900000</v>
      </c>
      <c r="CB26">
        <v>60</v>
      </c>
      <c r="CD26">
        <v>1782198900000</v>
      </c>
      <c r="CE26">
        <v>60</v>
      </c>
      <c r="CG26">
        <v>1782198900000</v>
      </c>
      <c r="CH26">
        <v>36</v>
      </c>
      <c r="CJ26">
        <v>1782198900000</v>
      </c>
      <c r="CK26">
        <v>932</v>
      </c>
      <c r="CM26">
        <v>1782198900000</v>
      </c>
      <c r="CN26">
        <v>44</v>
      </c>
      <c r="CP26">
        <v>1782198900000</v>
      </c>
      <c r="CQ26">
        <v>12</v>
      </c>
      <c r="CR26" s="6"/>
      <c r="CS26">
        <v>1784013300000</v>
      </c>
      <c r="CT26" s="4">
        <v>12</v>
      </c>
      <c r="CV26">
        <v>1784013300000</v>
      </c>
      <c r="CW26">
        <v>268</v>
      </c>
      <c r="CY26">
        <v>1784013300000</v>
      </c>
      <c r="CZ26">
        <v>4</v>
      </c>
      <c r="DB26">
        <v>1784013300000</v>
      </c>
      <c r="DC26">
        <v>48</v>
      </c>
      <c r="DE26">
        <v>1784013300000</v>
      </c>
      <c r="DF26">
        <v>24</v>
      </c>
      <c r="DH26">
        <v>1784013300000</v>
      </c>
      <c r="DI26">
        <v>624</v>
      </c>
      <c r="DK26">
        <v>1784013300000</v>
      </c>
      <c r="DL26">
        <v>36</v>
      </c>
      <c r="DN26">
        <v>1784013300000</v>
      </c>
      <c r="DO26">
        <v>12</v>
      </c>
      <c r="DP26" s="6"/>
      <c r="DQ26">
        <v>1784099700000</v>
      </c>
      <c r="DR26" s="4">
        <v>84</v>
      </c>
      <c r="DT26">
        <v>1784099700000</v>
      </c>
      <c r="DU26">
        <v>240</v>
      </c>
      <c r="DW26">
        <v>1784099700000</v>
      </c>
      <c r="DX26">
        <v>0</v>
      </c>
      <c r="DZ26">
        <v>1784099700000</v>
      </c>
      <c r="EA26">
        <v>68</v>
      </c>
      <c r="EC26">
        <v>1784099700000</v>
      </c>
      <c r="ED26">
        <v>44</v>
      </c>
      <c r="EF26">
        <v>1784099700000</v>
      </c>
      <c r="EG26">
        <v>560</v>
      </c>
      <c r="EI26">
        <v>1784099700000</v>
      </c>
      <c r="EJ26">
        <v>28</v>
      </c>
      <c r="EL26">
        <v>1784099700000</v>
      </c>
      <c r="EM26">
        <v>24</v>
      </c>
      <c r="EN26" s="6"/>
    </row>
    <row r="27" spans="1:144">
      <c r="A27">
        <v>1777966200000</v>
      </c>
      <c r="B27">
        <v>36</v>
      </c>
      <c r="D27">
        <v>1777966200000</v>
      </c>
      <c r="E27">
        <v>580</v>
      </c>
      <c r="G27">
        <v>1777966200000</v>
      </c>
      <c r="H27">
        <v>4</v>
      </c>
      <c r="J27">
        <v>1777966200000</v>
      </c>
      <c r="K27">
        <v>24</v>
      </c>
      <c r="M27">
        <v>1777966200000</v>
      </c>
      <c r="N27">
        <v>28</v>
      </c>
      <c r="P27">
        <v>1777966200000</v>
      </c>
      <c r="Q27">
        <v>1304</v>
      </c>
      <c r="S27">
        <v>1777966200000</v>
      </c>
      <c r="T27">
        <v>12</v>
      </c>
      <c r="V27">
        <v>1777966200000</v>
      </c>
      <c r="W27">
        <v>20</v>
      </c>
      <c r="X27" s="6"/>
      <c r="Y27">
        <v>1778052600000</v>
      </c>
      <c r="Z27" s="4">
        <v>36</v>
      </c>
      <c r="AB27">
        <v>1778052600000</v>
      </c>
      <c r="AC27">
        <v>1168</v>
      </c>
      <c r="AE27">
        <v>1778052600000</v>
      </c>
      <c r="AF27">
        <v>4</v>
      </c>
      <c r="AH27">
        <v>1778052600000</v>
      </c>
      <c r="AI27">
        <v>40</v>
      </c>
      <c r="AK27">
        <v>1778052600000</v>
      </c>
      <c r="AL27">
        <v>28</v>
      </c>
      <c r="AN27">
        <v>1778052600000</v>
      </c>
      <c r="AO27">
        <v>3496</v>
      </c>
      <c r="AQ27">
        <v>1778052600000</v>
      </c>
      <c r="AR27">
        <v>24</v>
      </c>
      <c r="AT27">
        <v>1778052600000</v>
      </c>
      <c r="AU27">
        <v>8</v>
      </c>
      <c r="AV27" s="6"/>
      <c r="AW27">
        <v>1779089400000</v>
      </c>
      <c r="AX27" s="4">
        <v>0</v>
      </c>
      <c r="AZ27">
        <v>1779089400000</v>
      </c>
      <c r="BA27">
        <v>1004</v>
      </c>
      <c r="BC27">
        <v>1779089400000</v>
      </c>
      <c r="BD27">
        <v>0</v>
      </c>
      <c r="BF27">
        <v>1779089400000</v>
      </c>
      <c r="BG27">
        <v>44</v>
      </c>
      <c r="BI27">
        <v>1779089400000</v>
      </c>
      <c r="BJ27">
        <v>12</v>
      </c>
      <c r="BL27">
        <v>1779089400000</v>
      </c>
      <c r="BM27">
        <v>2572</v>
      </c>
      <c r="BO27">
        <v>1779089400000</v>
      </c>
      <c r="BP27">
        <v>20</v>
      </c>
      <c r="BR27">
        <v>1779089400000</v>
      </c>
      <c r="BS27">
        <v>20</v>
      </c>
      <c r="BT27" s="6"/>
      <c r="BU27">
        <v>1782199800000</v>
      </c>
      <c r="BV27" s="4">
        <v>12</v>
      </c>
      <c r="BX27">
        <v>1782199800000</v>
      </c>
      <c r="BY27">
        <v>436</v>
      </c>
      <c r="CA27">
        <v>1782199800000</v>
      </c>
      <c r="CB27">
        <v>36</v>
      </c>
      <c r="CD27">
        <v>1782199800000</v>
      </c>
      <c r="CE27">
        <v>68</v>
      </c>
      <c r="CG27">
        <v>1782199800000</v>
      </c>
      <c r="CH27">
        <v>28</v>
      </c>
      <c r="CJ27">
        <v>1782199800000</v>
      </c>
      <c r="CK27">
        <v>756</v>
      </c>
      <c r="CM27">
        <v>1782199800000</v>
      </c>
      <c r="CN27">
        <v>16</v>
      </c>
      <c r="CP27">
        <v>1782199800000</v>
      </c>
      <c r="CQ27">
        <v>64</v>
      </c>
      <c r="CR27" s="6"/>
      <c r="CS27">
        <v>1784014200000</v>
      </c>
      <c r="CT27" s="4">
        <v>0</v>
      </c>
      <c r="CV27">
        <v>1784014200000</v>
      </c>
      <c r="CW27">
        <v>220</v>
      </c>
      <c r="CY27">
        <v>1784014200000</v>
      </c>
      <c r="CZ27">
        <v>4</v>
      </c>
      <c r="DB27">
        <v>1784014200000</v>
      </c>
      <c r="DC27">
        <v>64</v>
      </c>
      <c r="DE27">
        <v>1784014200000</v>
      </c>
      <c r="DF27">
        <v>28</v>
      </c>
      <c r="DH27">
        <v>1784014200000</v>
      </c>
      <c r="DI27">
        <v>516</v>
      </c>
      <c r="DK27">
        <v>1784014200000</v>
      </c>
      <c r="DL27">
        <v>16</v>
      </c>
      <c r="DN27">
        <v>1784014200000</v>
      </c>
      <c r="DO27">
        <v>20</v>
      </c>
      <c r="DP27" s="6"/>
      <c r="DQ27">
        <v>1784100600000</v>
      </c>
      <c r="DR27" s="4">
        <v>28</v>
      </c>
      <c r="DT27">
        <v>1784100600000</v>
      </c>
      <c r="DU27">
        <v>244</v>
      </c>
      <c r="DW27">
        <v>1784100600000</v>
      </c>
      <c r="DX27">
        <v>8</v>
      </c>
      <c r="DZ27">
        <v>1784100600000</v>
      </c>
      <c r="EA27">
        <v>32</v>
      </c>
      <c r="EC27">
        <v>1784100600000</v>
      </c>
      <c r="ED27">
        <v>40</v>
      </c>
      <c r="EF27">
        <v>1784100600000</v>
      </c>
      <c r="EG27">
        <v>424</v>
      </c>
      <c r="EI27">
        <v>1784100600000</v>
      </c>
      <c r="EJ27">
        <v>76</v>
      </c>
      <c r="EL27">
        <v>1784100600000</v>
      </c>
      <c r="EM27">
        <v>12</v>
      </c>
      <c r="EN27" s="6"/>
    </row>
    <row r="28" spans="1:144">
      <c r="A28">
        <v>1777967100000</v>
      </c>
      <c r="B28">
        <v>4</v>
      </c>
      <c r="D28">
        <v>1777967100000</v>
      </c>
      <c r="E28">
        <v>696</v>
      </c>
      <c r="G28">
        <v>1777967100000</v>
      </c>
      <c r="H28">
        <v>0</v>
      </c>
      <c r="J28">
        <v>1777967100000</v>
      </c>
      <c r="K28">
        <v>36</v>
      </c>
      <c r="M28">
        <v>1777967100000</v>
      </c>
      <c r="N28">
        <v>12</v>
      </c>
      <c r="P28">
        <v>1777967100000</v>
      </c>
      <c r="Q28">
        <v>1204</v>
      </c>
      <c r="S28">
        <v>1777967100000</v>
      </c>
      <c r="T28">
        <v>4</v>
      </c>
      <c r="V28">
        <v>1777967100000</v>
      </c>
      <c r="W28">
        <v>8</v>
      </c>
      <c r="X28" s="6"/>
      <c r="Y28">
        <v>1778053500000</v>
      </c>
      <c r="Z28" s="4">
        <v>12</v>
      </c>
      <c r="AB28">
        <v>1778053500000</v>
      </c>
      <c r="AC28">
        <v>976</v>
      </c>
      <c r="AE28">
        <v>1778053500000</v>
      </c>
      <c r="AF28">
        <v>0</v>
      </c>
      <c r="AH28">
        <v>1778053500000</v>
      </c>
      <c r="AI28">
        <v>20</v>
      </c>
      <c r="AK28">
        <v>1778053500000</v>
      </c>
      <c r="AL28">
        <v>20</v>
      </c>
      <c r="AN28">
        <v>1778053500000</v>
      </c>
      <c r="AO28">
        <v>3368</v>
      </c>
      <c r="AQ28">
        <v>1778053500000</v>
      </c>
      <c r="AR28">
        <v>36</v>
      </c>
      <c r="AT28">
        <v>1778053500000</v>
      </c>
      <c r="AU28">
        <v>20</v>
      </c>
      <c r="AV28" s="6"/>
      <c r="AW28">
        <v>1779090300000</v>
      </c>
      <c r="AX28" s="4">
        <v>16</v>
      </c>
      <c r="AZ28">
        <v>1779090300000</v>
      </c>
      <c r="BA28">
        <v>1008</v>
      </c>
      <c r="BC28">
        <v>1779090300000</v>
      </c>
      <c r="BD28">
        <v>0</v>
      </c>
      <c r="BF28">
        <v>1779090300000</v>
      </c>
      <c r="BG28">
        <v>48</v>
      </c>
      <c r="BI28">
        <v>1779090300000</v>
      </c>
      <c r="BJ28">
        <v>12</v>
      </c>
      <c r="BL28">
        <v>1779090300000</v>
      </c>
      <c r="BM28">
        <v>2928</v>
      </c>
      <c r="BO28">
        <v>1779090300000</v>
      </c>
      <c r="BP28">
        <v>28</v>
      </c>
      <c r="BR28">
        <v>1779090300000</v>
      </c>
      <c r="BS28">
        <v>16</v>
      </c>
      <c r="BT28" s="6"/>
      <c r="BU28">
        <v>1782200700000</v>
      </c>
      <c r="BV28" s="4">
        <v>4</v>
      </c>
      <c r="BX28">
        <v>1782200700000</v>
      </c>
      <c r="BY28">
        <v>440</v>
      </c>
      <c r="CA28">
        <v>1782200700000</v>
      </c>
      <c r="CB28">
        <v>4</v>
      </c>
      <c r="CD28">
        <v>1782200700000</v>
      </c>
      <c r="CE28">
        <v>48</v>
      </c>
      <c r="CG28">
        <v>1782200700000</v>
      </c>
      <c r="CH28">
        <v>4</v>
      </c>
      <c r="CJ28">
        <v>1782200700000</v>
      </c>
      <c r="CK28">
        <v>900</v>
      </c>
      <c r="CM28">
        <v>1782200700000</v>
      </c>
      <c r="CN28">
        <v>4</v>
      </c>
      <c r="CP28">
        <v>1782200700000</v>
      </c>
      <c r="CQ28">
        <v>4</v>
      </c>
      <c r="CR28" s="6"/>
      <c r="CS28">
        <v>1784015100000</v>
      </c>
      <c r="CT28" s="4">
        <v>0</v>
      </c>
      <c r="CV28">
        <v>1784015100000</v>
      </c>
      <c r="CW28">
        <v>156</v>
      </c>
      <c r="CY28">
        <v>1784015100000</v>
      </c>
      <c r="CZ28">
        <v>0</v>
      </c>
      <c r="DB28">
        <v>1784015100000</v>
      </c>
      <c r="DC28">
        <v>36</v>
      </c>
      <c r="DE28">
        <v>1784015100000</v>
      </c>
      <c r="DF28">
        <v>12</v>
      </c>
      <c r="DH28">
        <v>1784015100000</v>
      </c>
      <c r="DI28">
        <v>372</v>
      </c>
      <c r="DK28">
        <v>1784015100000</v>
      </c>
      <c r="DL28">
        <v>36</v>
      </c>
      <c r="DN28">
        <v>1784015100000</v>
      </c>
      <c r="DO28">
        <v>12</v>
      </c>
      <c r="DP28" s="6"/>
      <c r="DQ28">
        <v>1784101500000</v>
      </c>
      <c r="DR28" s="4">
        <v>0</v>
      </c>
      <c r="DT28">
        <v>1784101500000</v>
      </c>
      <c r="DU28">
        <v>168</v>
      </c>
      <c r="DW28">
        <v>1784101500000</v>
      </c>
      <c r="DX28">
        <v>12</v>
      </c>
      <c r="DZ28">
        <v>1784101500000</v>
      </c>
      <c r="EA28">
        <v>24</v>
      </c>
      <c r="EC28">
        <v>1784101500000</v>
      </c>
      <c r="ED28">
        <v>24</v>
      </c>
      <c r="EF28">
        <v>1784101500000</v>
      </c>
      <c r="EG28">
        <v>548</v>
      </c>
      <c r="EI28">
        <v>1784101500000</v>
      </c>
      <c r="EJ28">
        <v>52</v>
      </c>
      <c r="EL28">
        <v>1784101500000</v>
      </c>
      <c r="EM28">
        <v>32</v>
      </c>
      <c r="EN28" s="6"/>
    </row>
    <row r="29" spans="1:144">
      <c r="A29">
        <v>1777968000000</v>
      </c>
      <c r="B29">
        <v>24</v>
      </c>
      <c r="D29">
        <v>1777968000000</v>
      </c>
      <c r="E29">
        <v>652</v>
      </c>
      <c r="G29">
        <v>1777968000000</v>
      </c>
      <c r="H29">
        <v>0</v>
      </c>
      <c r="J29">
        <v>1777968000000</v>
      </c>
      <c r="K29">
        <v>60</v>
      </c>
      <c r="M29">
        <v>1777968000000</v>
      </c>
      <c r="N29">
        <v>16</v>
      </c>
      <c r="P29">
        <v>1777968000000</v>
      </c>
      <c r="Q29">
        <v>1208</v>
      </c>
      <c r="S29">
        <v>1777968000000</v>
      </c>
      <c r="T29">
        <v>16</v>
      </c>
      <c r="V29">
        <v>1777968000000</v>
      </c>
      <c r="W29">
        <v>24</v>
      </c>
      <c r="X29" s="6"/>
      <c r="Y29">
        <v>1778054400000</v>
      </c>
      <c r="Z29" s="4">
        <v>28</v>
      </c>
      <c r="AB29">
        <v>1778054400000</v>
      </c>
      <c r="AC29">
        <v>912</v>
      </c>
      <c r="AE29">
        <v>1778054400000</v>
      </c>
      <c r="AF29">
        <v>16</v>
      </c>
      <c r="AH29">
        <v>1778054400000</v>
      </c>
      <c r="AI29">
        <v>20</v>
      </c>
      <c r="AK29">
        <v>1778054400000</v>
      </c>
      <c r="AL29">
        <v>8</v>
      </c>
      <c r="AN29">
        <v>1778054400000</v>
      </c>
      <c r="AO29">
        <v>3016</v>
      </c>
      <c r="AQ29">
        <v>1778054400000</v>
      </c>
      <c r="AR29">
        <v>8</v>
      </c>
      <c r="AT29">
        <v>1778054400000</v>
      </c>
      <c r="AU29">
        <v>20</v>
      </c>
      <c r="AV29" s="6"/>
      <c r="AW29">
        <v>1779091200000</v>
      </c>
      <c r="AX29" s="4">
        <v>8</v>
      </c>
      <c r="AZ29">
        <v>1779091200000</v>
      </c>
      <c r="BA29">
        <v>984</v>
      </c>
      <c r="BC29">
        <v>1779091200000</v>
      </c>
      <c r="BD29">
        <v>0</v>
      </c>
      <c r="BF29">
        <v>1779091200000</v>
      </c>
      <c r="BG29">
        <v>24</v>
      </c>
      <c r="BI29">
        <v>1779091200000</v>
      </c>
      <c r="BJ29">
        <v>20</v>
      </c>
      <c r="BL29">
        <v>1779091200000</v>
      </c>
      <c r="BM29">
        <v>2784</v>
      </c>
      <c r="BO29">
        <v>1779091200000</v>
      </c>
      <c r="BP29">
        <v>12</v>
      </c>
      <c r="BR29">
        <v>1779091200000</v>
      </c>
      <c r="BS29">
        <v>12</v>
      </c>
      <c r="BT29" s="6"/>
      <c r="BU29">
        <v>1782201600000</v>
      </c>
      <c r="BV29" s="4">
        <v>0</v>
      </c>
      <c r="BX29">
        <v>1782201600000</v>
      </c>
      <c r="BY29">
        <v>548</v>
      </c>
      <c r="CA29">
        <v>1782201600000</v>
      </c>
      <c r="CB29">
        <v>0</v>
      </c>
      <c r="CD29">
        <v>1782201600000</v>
      </c>
      <c r="CE29">
        <v>28</v>
      </c>
      <c r="CG29">
        <v>1782201600000</v>
      </c>
      <c r="CH29">
        <v>16</v>
      </c>
      <c r="CJ29">
        <v>1782201600000</v>
      </c>
      <c r="CK29">
        <v>984</v>
      </c>
      <c r="CM29">
        <v>1782201600000</v>
      </c>
      <c r="CN29">
        <v>4</v>
      </c>
      <c r="CP29">
        <v>1782201600000</v>
      </c>
      <c r="CQ29">
        <v>8</v>
      </c>
      <c r="CR29" s="6"/>
      <c r="CS29">
        <v>1784016000000</v>
      </c>
      <c r="CT29" s="4">
        <v>16</v>
      </c>
      <c r="CV29">
        <v>1784016000000</v>
      </c>
      <c r="CW29">
        <v>132</v>
      </c>
      <c r="CY29">
        <v>1784016000000</v>
      </c>
      <c r="CZ29">
        <v>0</v>
      </c>
      <c r="DB29">
        <v>1784016000000</v>
      </c>
      <c r="DC29">
        <v>32</v>
      </c>
      <c r="DE29">
        <v>1784016000000</v>
      </c>
      <c r="DF29">
        <v>12</v>
      </c>
      <c r="DH29">
        <v>1784016000000</v>
      </c>
      <c r="DI29">
        <v>568</v>
      </c>
      <c r="DK29">
        <v>1784016000000</v>
      </c>
      <c r="DL29">
        <v>40</v>
      </c>
      <c r="DN29">
        <v>1784016000000</v>
      </c>
      <c r="DO29">
        <v>16</v>
      </c>
      <c r="DP29" s="6"/>
      <c r="DQ29">
        <v>1784102400000</v>
      </c>
      <c r="DR29" s="4">
        <v>24</v>
      </c>
      <c r="DT29">
        <v>1784102400000</v>
      </c>
      <c r="DU29">
        <v>156</v>
      </c>
      <c r="DW29">
        <v>1784102400000</v>
      </c>
      <c r="DX29">
        <v>0</v>
      </c>
      <c r="DZ29">
        <v>1784102400000</v>
      </c>
      <c r="EA29">
        <v>76</v>
      </c>
      <c r="EC29">
        <v>1784102400000</v>
      </c>
      <c r="ED29">
        <v>28</v>
      </c>
      <c r="EF29">
        <v>1784102400000</v>
      </c>
      <c r="EG29">
        <v>548</v>
      </c>
      <c r="EI29">
        <v>1784102400000</v>
      </c>
      <c r="EJ29">
        <v>8</v>
      </c>
      <c r="EL29">
        <v>1784102400000</v>
      </c>
      <c r="EM29">
        <v>8</v>
      </c>
      <c r="EN29" s="6"/>
    </row>
    <row r="30" spans="1:144">
      <c r="A30">
        <v>1777968900000</v>
      </c>
      <c r="B30">
        <v>36</v>
      </c>
      <c r="D30">
        <v>1777968900000</v>
      </c>
      <c r="E30">
        <v>484</v>
      </c>
      <c r="G30">
        <v>1777968900000</v>
      </c>
      <c r="H30">
        <v>8</v>
      </c>
      <c r="J30">
        <v>1777968900000</v>
      </c>
      <c r="K30">
        <v>44</v>
      </c>
      <c r="M30">
        <v>1777968900000</v>
      </c>
      <c r="N30">
        <v>12</v>
      </c>
      <c r="P30">
        <v>1777968900000</v>
      </c>
      <c r="Q30">
        <v>1080</v>
      </c>
      <c r="S30">
        <v>1777968900000</v>
      </c>
      <c r="T30">
        <v>20</v>
      </c>
      <c r="V30">
        <v>1777968900000</v>
      </c>
      <c r="W30">
        <v>0</v>
      </c>
      <c r="X30" s="6"/>
      <c r="Y30">
        <v>1778055300000</v>
      </c>
      <c r="Z30">
        <v>4</v>
      </c>
      <c r="AB30">
        <v>1778055300000</v>
      </c>
      <c r="AC30">
        <v>924</v>
      </c>
      <c r="AE30">
        <v>1778055300000</v>
      </c>
      <c r="AF30">
        <v>4</v>
      </c>
      <c r="AH30">
        <v>1778055300000</v>
      </c>
      <c r="AI30">
        <v>8</v>
      </c>
      <c r="AK30">
        <v>1778055300000</v>
      </c>
      <c r="AL30">
        <v>16</v>
      </c>
      <c r="AN30">
        <v>1778055300000</v>
      </c>
      <c r="AO30">
        <v>2916</v>
      </c>
      <c r="AQ30">
        <v>1778055300000</v>
      </c>
      <c r="AR30">
        <v>16</v>
      </c>
      <c r="AT30">
        <v>1778055300000</v>
      </c>
      <c r="AU30">
        <v>8</v>
      </c>
      <c r="AV30" s="6"/>
      <c r="AW30">
        <v>1779092100000</v>
      </c>
      <c r="AX30">
        <v>0</v>
      </c>
      <c r="AZ30">
        <v>1779092100000</v>
      </c>
      <c r="BA30">
        <v>936</v>
      </c>
      <c r="BC30">
        <v>1779092100000</v>
      </c>
      <c r="BD30">
        <v>0</v>
      </c>
      <c r="BF30">
        <v>1779092100000</v>
      </c>
      <c r="BG30">
        <v>12</v>
      </c>
      <c r="BI30">
        <v>1779092100000</v>
      </c>
      <c r="BJ30">
        <v>4</v>
      </c>
      <c r="BL30">
        <v>1779092100000</v>
      </c>
      <c r="BM30">
        <v>2212</v>
      </c>
      <c r="BO30">
        <v>1779092100000</v>
      </c>
      <c r="BP30">
        <v>4</v>
      </c>
      <c r="BR30">
        <v>1779092100000</v>
      </c>
      <c r="BS30">
        <v>4</v>
      </c>
      <c r="BT30" s="6"/>
      <c r="BU30">
        <v>1782202500000</v>
      </c>
      <c r="BV30">
        <v>4</v>
      </c>
      <c r="BX30">
        <v>1782202500000</v>
      </c>
      <c r="BY30">
        <v>584</v>
      </c>
      <c r="CA30">
        <v>1782202500000</v>
      </c>
      <c r="CB30">
        <v>8</v>
      </c>
      <c r="CD30">
        <v>1782202500000</v>
      </c>
      <c r="CE30">
        <v>44</v>
      </c>
      <c r="CG30">
        <v>1782202500000</v>
      </c>
      <c r="CH30">
        <v>16</v>
      </c>
      <c r="CJ30">
        <v>1782202500000</v>
      </c>
      <c r="CK30">
        <v>928</v>
      </c>
      <c r="CM30">
        <v>1782202500000</v>
      </c>
      <c r="CN30">
        <v>12</v>
      </c>
      <c r="CP30">
        <v>1782202500000</v>
      </c>
      <c r="CQ30">
        <v>24</v>
      </c>
      <c r="CR30" s="6"/>
      <c r="CS30">
        <v>1784016900000</v>
      </c>
      <c r="CT30">
        <v>8</v>
      </c>
      <c r="CV30">
        <v>1784016900000</v>
      </c>
      <c r="CW30">
        <v>64</v>
      </c>
      <c r="CY30">
        <v>1784016900000</v>
      </c>
      <c r="CZ30">
        <v>0</v>
      </c>
      <c r="DB30">
        <v>1784016900000</v>
      </c>
      <c r="DC30">
        <v>24</v>
      </c>
      <c r="DE30">
        <v>1784016900000</v>
      </c>
      <c r="DF30">
        <v>12</v>
      </c>
      <c r="DH30">
        <v>1784016900000</v>
      </c>
      <c r="DI30">
        <v>752</v>
      </c>
      <c r="DK30">
        <v>1784016900000</v>
      </c>
      <c r="DL30">
        <v>24</v>
      </c>
      <c r="DN30">
        <v>1784016900000</v>
      </c>
      <c r="DO30">
        <v>20</v>
      </c>
      <c r="DP30" s="6"/>
      <c r="DQ30">
        <v>1784103300000</v>
      </c>
      <c r="DR30">
        <v>28</v>
      </c>
      <c r="DT30">
        <v>1784103300000</v>
      </c>
      <c r="DU30">
        <v>288</v>
      </c>
      <c r="DW30">
        <v>1784103300000</v>
      </c>
      <c r="DX30">
        <v>0</v>
      </c>
      <c r="DZ30">
        <v>1784103300000</v>
      </c>
      <c r="EA30">
        <v>28</v>
      </c>
      <c r="EC30">
        <v>1784103300000</v>
      </c>
      <c r="ED30">
        <v>24</v>
      </c>
      <c r="EF30">
        <v>1784103300000</v>
      </c>
      <c r="EG30">
        <v>572</v>
      </c>
      <c r="EI30">
        <v>1784103300000</v>
      </c>
      <c r="EJ30">
        <v>40</v>
      </c>
      <c r="EL30">
        <v>1784103300000</v>
      </c>
      <c r="EM30">
        <v>4</v>
      </c>
      <c r="EN30" s="6"/>
    </row>
    <row r="31" spans="1:144">
      <c r="A31">
        <v>1777969800000</v>
      </c>
      <c r="B31">
        <v>4</v>
      </c>
      <c r="D31">
        <v>1777969800000</v>
      </c>
      <c r="E31">
        <v>644</v>
      </c>
      <c r="G31">
        <v>1777969800000</v>
      </c>
      <c r="H31">
        <v>0</v>
      </c>
      <c r="J31">
        <v>1777969800000</v>
      </c>
      <c r="K31">
        <v>4</v>
      </c>
      <c r="M31">
        <v>1777969800000</v>
      </c>
      <c r="N31">
        <v>12</v>
      </c>
      <c r="P31">
        <v>1777969800000</v>
      </c>
      <c r="Q31">
        <v>1100</v>
      </c>
      <c r="S31">
        <v>1777969800000</v>
      </c>
      <c r="T31">
        <v>0</v>
      </c>
      <c r="V31">
        <v>1777969800000</v>
      </c>
      <c r="W31">
        <v>8</v>
      </c>
      <c r="X31" s="6"/>
      <c r="Y31">
        <v>1778056200000</v>
      </c>
      <c r="Z31">
        <v>0</v>
      </c>
      <c r="AB31">
        <v>1778056200000</v>
      </c>
      <c r="AC31">
        <v>1048</v>
      </c>
      <c r="AE31">
        <v>1778056200000</v>
      </c>
      <c r="AF31">
        <v>4</v>
      </c>
      <c r="AH31">
        <v>1778056200000</v>
      </c>
      <c r="AI31">
        <v>24</v>
      </c>
      <c r="AK31">
        <v>1778056200000</v>
      </c>
      <c r="AL31">
        <v>20</v>
      </c>
      <c r="AN31">
        <v>1778056200000</v>
      </c>
      <c r="AO31">
        <v>2328</v>
      </c>
      <c r="AQ31">
        <v>1778056200000</v>
      </c>
      <c r="AR31">
        <v>12</v>
      </c>
      <c r="AT31">
        <v>1778056200000</v>
      </c>
      <c r="AU31">
        <v>4</v>
      </c>
      <c r="AV31" s="6"/>
      <c r="AW31">
        <v>1779093000000</v>
      </c>
      <c r="AX31">
        <v>12</v>
      </c>
      <c r="AZ31">
        <v>1779093000000</v>
      </c>
      <c r="BA31">
        <v>952</v>
      </c>
      <c r="BC31">
        <v>1779093000000</v>
      </c>
      <c r="BD31">
        <v>0</v>
      </c>
      <c r="BF31">
        <v>1779093000000</v>
      </c>
      <c r="BG31">
        <v>4</v>
      </c>
      <c r="BI31">
        <v>1779093000000</v>
      </c>
      <c r="BJ31">
        <v>8</v>
      </c>
      <c r="BL31">
        <v>1779093000000</v>
      </c>
      <c r="BM31">
        <v>2288</v>
      </c>
      <c r="BO31">
        <v>1779093000000</v>
      </c>
      <c r="BP31">
        <v>4</v>
      </c>
      <c r="BR31">
        <v>1779093000000</v>
      </c>
      <c r="BS31">
        <v>12</v>
      </c>
      <c r="BT31" s="6"/>
      <c r="BU31">
        <v>1782203400000</v>
      </c>
      <c r="BV31">
        <v>8</v>
      </c>
      <c r="BX31">
        <v>1782203400000</v>
      </c>
      <c r="BY31">
        <v>544</v>
      </c>
      <c r="CA31">
        <v>1782203400000</v>
      </c>
      <c r="CB31">
        <v>0</v>
      </c>
      <c r="CD31">
        <v>1782203400000</v>
      </c>
      <c r="CE31">
        <v>52</v>
      </c>
      <c r="CG31">
        <v>1782203400000</v>
      </c>
      <c r="CH31">
        <v>12</v>
      </c>
      <c r="CJ31">
        <v>1782203400000</v>
      </c>
      <c r="CK31">
        <v>1024</v>
      </c>
      <c r="CM31">
        <v>1782203400000</v>
      </c>
      <c r="CN31">
        <v>4</v>
      </c>
      <c r="CP31">
        <v>1782203400000</v>
      </c>
      <c r="CQ31">
        <v>4</v>
      </c>
      <c r="CR31" s="6"/>
      <c r="CS31">
        <v>1784017800000</v>
      </c>
      <c r="CT31">
        <v>8</v>
      </c>
      <c r="CV31">
        <v>1784017800000</v>
      </c>
      <c r="CW31">
        <v>140</v>
      </c>
      <c r="CY31">
        <v>1784017800000</v>
      </c>
      <c r="CZ31">
        <v>4</v>
      </c>
      <c r="DB31">
        <v>1784017800000</v>
      </c>
      <c r="DC31">
        <v>8</v>
      </c>
      <c r="DE31">
        <v>1784017800000</v>
      </c>
      <c r="DF31">
        <v>24</v>
      </c>
      <c r="DH31">
        <v>1784017800000</v>
      </c>
      <c r="DI31">
        <v>564</v>
      </c>
      <c r="DK31">
        <v>1784017800000</v>
      </c>
      <c r="DL31">
        <v>4</v>
      </c>
      <c r="DN31">
        <v>1784017800000</v>
      </c>
      <c r="DO31">
        <v>12</v>
      </c>
      <c r="DP31" s="6"/>
      <c r="DQ31">
        <v>1784104200000</v>
      </c>
      <c r="DR31">
        <v>24</v>
      </c>
      <c r="DT31">
        <v>1784104200000</v>
      </c>
      <c r="DU31">
        <v>312</v>
      </c>
      <c r="DW31">
        <v>1784104200000</v>
      </c>
      <c r="DX31">
        <v>4</v>
      </c>
      <c r="DZ31">
        <v>1784104200000</v>
      </c>
      <c r="EA31">
        <v>32</v>
      </c>
      <c r="EC31">
        <v>1784104200000</v>
      </c>
      <c r="ED31">
        <v>32</v>
      </c>
      <c r="EF31">
        <v>1784104200000</v>
      </c>
      <c r="EG31">
        <v>564</v>
      </c>
      <c r="EI31">
        <v>1784104200000</v>
      </c>
      <c r="EJ31">
        <v>48</v>
      </c>
      <c r="EL31">
        <v>1784104200000</v>
      </c>
      <c r="EM31">
        <v>28</v>
      </c>
      <c r="EN31" s="6"/>
    </row>
    <row r="32" spans="1:144">
      <c r="A32">
        <v>1777970700000</v>
      </c>
      <c r="B32">
        <v>0</v>
      </c>
      <c r="D32">
        <v>1777970700000</v>
      </c>
      <c r="E32">
        <v>420</v>
      </c>
      <c r="G32">
        <v>1777970700000</v>
      </c>
      <c r="H32">
        <v>4</v>
      </c>
      <c r="J32">
        <v>1777970700000</v>
      </c>
      <c r="K32">
        <v>20</v>
      </c>
      <c r="M32">
        <v>1777970700000</v>
      </c>
      <c r="N32">
        <v>20</v>
      </c>
      <c r="P32">
        <v>1777970700000</v>
      </c>
      <c r="Q32">
        <v>832</v>
      </c>
      <c r="S32">
        <v>1777970700000</v>
      </c>
      <c r="T32">
        <v>12</v>
      </c>
      <c r="V32">
        <v>1777970700000</v>
      </c>
      <c r="W32">
        <v>16</v>
      </c>
      <c r="X32" s="6"/>
      <c r="Y32">
        <v>1778057100000</v>
      </c>
      <c r="Z32">
        <v>12</v>
      </c>
      <c r="AB32">
        <v>1778057100000</v>
      </c>
      <c r="AC32">
        <v>804</v>
      </c>
      <c r="AE32">
        <v>1778057100000</v>
      </c>
      <c r="AF32">
        <v>0</v>
      </c>
      <c r="AH32">
        <v>1778057100000</v>
      </c>
      <c r="AI32">
        <v>4</v>
      </c>
      <c r="AK32">
        <v>1778057100000</v>
      </c>
      <c r="AL32">
        <v>4</v>
      </c>
      <c r="AN32">
        <v>1778057100000</v>
      </c>
      <c r="AO32">
        <v>2448</v>
      </c>
      <c r="AQ32">
        <v>1778057100000</v>
      </c>
      <c r="AR32">
        <v>12</v>
      </c>
      <c r="AT32">
        <v>1778057100000</v>
      </c>
      <c r="AU32">
        <v>24</v>
      </c>
      <c r="AV32" s="6"/>
      <c r="AW32">
        <v>1779093900000</v>
      </c>
      <c r="AX32">
        <v>4</v>
      </c>
      <c r="AZ32">
        <v>1779093900000</v>
      </c>
      <c r="BA32">
        <v>912</v>
      </c>
      <c r="BC32">
        <v>1779093900000</v>
      </c>
      <c r="BD32">
        <v>4</v>
      </c>
      <c r="BF32">
        <v>1779093900000</v>
      </c>
      <c r="BG32">
        <v>8</v>
      </c>
      <c r="BI32">
        <v>1779093900000</v>
      </c>
      <c r="BJ32">
        <v>8</v>
      </c>
      <c r="BL32">
        <v>1779093900000</v>
      </c>
      <c r="BM32">
        <v>2080</v>
      </c>
      <c r="BO32">
        <v>1779093900000</v>
      </c>
      <c r="BP32">
        <v>0</v>
      </c>
      <c r="BR32">
        <v>1779093900000</v>
      </c>
      <c r="BS32">
        <v>12</v>
      </c>
      <c r="BT32" s="6"/>
      <c r="BU32">
        <v>1782204300000</v>
      </c>
      <c r="BV32">
        <v>8</v>
      </c>
      <c r="BX32">
        <v>1782204300000</v>
      </c>
      <c r="BY32">
        <v>588</v>
      </c>
      <c r="CA32">
        <v>1782204300000</v>
      </c>
      <c r="CB32">
        <v>12</v>
      </c>
      <c r="CD32">
        <v>1782204300000</v>
      </c>
      <c r="CE32">
        <v>24</v>
      </c>
      <c r="CG32">
        <v>1782204300000</v>
      </c>
      <c r="CH32">
        <v>12</v>
      </c>
      <c r="CJ32">
        <v>1782204300000</v>
      </c>
      <c r="CK32">
        <v>1036</v>
      </c>
      <c r="CM32">
        <v>1782204300000</v>
      </c>
      <c r="CN32">
        <v>8</v>
      </c>
      <c r="CP32">
        <v>1782204300000</v>
      </c>
      <c r="CQ32">
        <v>8</v>
      </c>
      <c r="CR32" s="6"/>
      <c r="CS32">
        <v>1784018700000</v>
      </c>
      <c r="CT32">
        <v>12</v>
      </c>
      <c r="CV32">
        <v>1784018700000</v>
      </c>
      <c r="CW32">
        <v>244</v>
      </c>
      <c r="CY32">
        <v>1784018700000</v>
      </c>
      <c r="CZ32">
        <v>0</v>
      </c>
      <c r="DB32">
        <v>1784018700000</v>
      </c>
      <c r="DC32">
        <v>24</v>
      </c>
      <c r="DE32">
        <v>1784018700000</v>
      </c>
      <c r="DF32">
        <v>20</v>
      </c>
      <c r="DH32">
        <v>1784018700000</v>
      </c>
      <c r="DI32">
        <v>660</v>
      </c>
      <c r="DK32">
        <v>1784018700000</v>
      </c>
      <c r="DL32">
        <v>32</v>
      </c>
      <c r="DN32">
        <v>1784018700000</v>
      </c>
      <c r="DO32">
        <v>16</v>
      </c>
      <c r="DP32" s="6"/>
      <c r="DQ32">
        <v>1784105100000</v>
      </c>
      <c r="DR32">
        <v>0</v>
      </c>
      <c r="DT32">
        <v>1784105100000</v>
      </c>
      <c r="DU32">
        <v>48</v>
      </c>
      <c r="DW32">
        <v>1784105100000</v>
      </c>
      <c r="DX32">
        <v>8</v>
      </c>
      <c r="DZ32">
        <v>1784105100000</v>
      </c>
      <c r="EA32">
        <v>32</v>
      </c>
      <c r="EC32">
        <v>1784105100000</v>
      </c>
      <c r="ED32">
        <v>0</v>
      </c>
      <c r="EF32">
        <v>1784105100000</v>
      </c>
      <c r="EG32">
        <v>476</v>
      </c>
      <c r="EI32">
        <v>1784105100000</v>
      </c>
      <c r="EJ32">
        <v>8</v>
      </c>
      <c r="EL32">
        <v>1784105100000</v>
      </c>
      <c r="EM32">
        <v>8</v>
      </c>
      <c r="EN32" s="6"/>
    </row>
    <row r="33" spans="1:144">
      <c r="A33">
        <v>1777971600000</v>
      </c>
      <c r="B33">
        <v>4</v>
      </c>
      <c r="D33">
        <v>1777971600000</v>
      </c>
      <c r="E33">
        <v>472</v>
      </c>
      <c r="G33">
        <v>1777971600000</v>
      </c>
      <c r="H33">
        <v>4</v>
      </c>
      <c r="J33">
        <v>1777971600000</v>
      </c>
      <c r="K33">
        <v>8</v>
      </c>
      <c r="M33">
        <v>1777971600000</v>
      </c>
      <c r="N33">
        <v>4</v>
      </c>
      <c r="P33">
        <v>1777971600000</v>
      </c>
      <c r="Q33">
        <v>1000</v>
      </c>
      <c r="S33">
        <v>1777971600000</v>
      </c>
      <c r="T33">
        <v>4</v>
      </c>
      <c r="V33">
        <v>1777971600000</v>
      </c>
      <c r="W33">
        <v>8</v>
      </c>
      <c r="X33" s="6"/>
      <c r="Y33">
        <v>1778058000000</v>
      </c>
      <c r="Z33">
        <v>4</v>
      </c>
      <c r="AB33">
        <v>1778058000000</v>
      </c>
      <c r="AC33">
        <v>1012</v>
      </c>
      <c r="AE33">
        <v>1778058000000</v>
      </c>
      <c r="AF33">
        <v>0</v>
      </c>
      <c r="AH33">
        <v>1778058000000</v>
      </c>
      <c r="AI33">
        <v>8</v>
      </c>
      <c r="AK33">
        <v>1778058000000</v>
      </c>
      <c r="AL33">
        <v>16</v>
      </c>
      <c r="AN33">
        <v>1778058000000</v>
      </c>
      <c r="AO33">
        <v>1656</v>
      </c>
      <c r="AQ33">
        <v>1778058000000</v>
      </c>
      <c r="AR33">
        <v>4</v>
      </c>
      <c r="AT33">
        <v>1778058000000</v>
      </c>
      <c r="AU33">
        <v>4</v>
      </c>
      <c r="AV33" s="6"/>
      <c r="AW33">
        <v>1779094800000</v>
      </c>
      <c r="AX33">
        <v>0</v>
      </c>
      <c r="AZ33">
        <v>1779094800000</v>
      </c>
      <c r="BA33">
        <v>888</v>
      </c>
      <c r="BC33">
        <v>1779094800000</v>
      </c>
      <c r="BD33">
        <v>0</v>
      </c>
      <c r="BF33">
        <v>1779094800000</v>
      </c>
      <c r="BG33">
        <v>20</v>
      </c>
      <c r="BI33">
        <v>1779094800000</v>
      </c>
      <c r="BJ33">
        <v>8</v>
      </c>
      <c r="BL33">
        <v>1779094800000</v>
      </c>
      <c r="BM33">
        <v>2184</v>
      </c>
      <c r="BO33">
        <v>1779094800000</v>
      </c>
      <c r="BP33">
        <v>4</v>
      </c>
      <c r="BR33">
        <v>1779094800000</v>
      </c>
      <c r="BS33">
        <v>16</v>
      </c>
      <c r="BT33" s="6"/>
      <c r="BU33">
        <v>1782205200000</v>
      </c>
      <c r="BV33">
        <v>0</v>
      </c>
      <c r="BX33">
        <v>1782205200000</v>
      </c>
      <c r="BY33">
        <v>440</v>
      </c>
      <c r="CA33">
        <v>1782205200000</v>
      </c>
      <c r="CB33">
        <v>0</v>
      </c>
      <c r="CD33">
        <v>1782205200000</v>
      </c>
      <c r="CE33">
        <v>48</v>
      </c>
      <c r="CG33">
        <v>1782205200000</v>
      </c>
      <c r="CH33">
        <v>8</v>
      </c>
      <c r="CJ33">
        <v>1782205200000</v>
      </c>
      <c r="CK33">
        <v>900</v>
      </c>
      <c r="CM33">
        <v>1782205200000</v>
      </c>
      <c r="CN33">
        <v>4</v>
      </c>
      <c r="CP33">
        <v>1782205200000</v>
      </c>
      <c r="CQ33">
        <v>8</v>
      </c>
      <c r="CR33" s="6"/>
      <c r="CS33">
        <v>1784019600000</v>
      </c>
      <c r="CT33">
        <v>4</v>
      </c>
      <c r="CV33">
        <v>1784019600000</v>
      </c>
      <c r="CW33">
        <v>156</v>
      </c>
      <c r="CY33">
        <v>1784019600000</v>
      </c>
      <c r="CZ33">
        <v>0</v>
      </c>
      <c r="DB33">
        <v>1784019600000</v>
      </c>
      <c r="DC33">
        <v>4</v>
      </c>
      <c r="DE33">
        <v>1784019600000</v>
      </c>
      <c r="DF33">
        <v>20</v>
      </c>
      <c r="DH33">
        <v>1784019600000</v>
      </c>
      <c r="DI33">
        <v>780</v>
      </c>
      <c r="DK33">
        <v>1784019600000</v>
      </c>
      <c r="DL33">
        <v>24</v>
      </c>
      <c r="DN33">
        <v>1784019600000</v>
      </c>
      <c r="DO33">
        <v>20</v>
      </c>
      <c r="DP33" s="6"/>
      <c r="DQ33">
        <v>1784106000000</v>
      </c>
      <c r="DR33">
        <v>4</v>
      </c>
      <c r="DT33">
        <v>1784106000000</v>
      </c>
      <c r="DU33">
        <v>168</v>
      </c>
      <c r="DW33">
        <v>1784106000000</v>
      </c>
      <c r="DX33">
        <v>0</v>
      </c>
      <c r="DZ33">
        <v>1784106000000</v>
      </c>
      <c r="EA33">
        <v>20</v>
      </c>
      <c r="EC33">
        <v>1784106000000</v>
      </c>
      <c r="ED33">
        <v>20</v>
      </c>
      <c r="EF33">
        <v>1784106000000</v>
      </c>
      <c r="EG33">
        <v>596</v>
      </c>
      <c r="EI33">
        <v>1784106000000</v>
      </c>
      <c r="EJ33">
        <v>8</v>
      </c>
      <c r="EL33">
        <v>1784106000000</v>
      </c>
      <c r="EM33">
        <v>4</v>
      </c>
      <c r="EN33" s="6"/>
    </row>
    <row r="34" spans="1:144">
      <c r="A34">
        <v>1777972500000</v>
      </c>
      <c r="B34">
        <v>0</v>
      </c>
      <c r="D34">
        <v>1777972500000</v>
      </c>
      <c r="E34">
        <v>312</v>
      </c>
      <c r="G34">
        <v>1777972500000</v>
      </c>
      <c r="H34">
        <v>0</v>
      </c>
      <c r="J34">
        <v>1777972500000</v>
      </c>
      <c r="K34">
        <v>16</v>
      </c>
      <c r="M34">
        <v>1777972500000</v>
      </c>
      <c r="N34">
        <v>4</v>
      </c>
      <c r="P34">
        <v>1777972500000</v>
      </c>
      <c r="Q34">
        <v>1192</v>
      </c>
      <c r="S34">
        <v>1777972500000</v>
      </c>
      <c r="T34">
        <v>12</v>
      </c>
      <c r="V34">
        <v>1777972500000</v>
      </c>
      <c r="W34">
        <v>20</v>
      </c>
      <c r="X34" s="6"/>
      <c r="Y34">
        <v>1778058900000</v>
      </c>
      <c r="Z34">
        <v>16</v>
      </c>
      <c r="AB34">
        <v>1778058900000</v>
      </c>
      <c r="AC34">
        <v>696</v>
      </c>
      <c r="AE34">
        <v>1778058900000</v>
      </c>
      <c r="AF34">
        <v>0</v>
      </c>
      <c r="AH34">
        <v>1778058900000</v>
      </c>
      <c r="AI34">
        <v>8</v>
      </c>
      <c r="AK34">
        <v>1778058900000</v>
      </c>
      <c r="AL34">
        <v>8</v>
      </c>
      <c r="AN34">
        <v>1778058900000</v>
      </c>
      <c r="AO34">
        <v>1436</v>
      </c>
      <c r="AQ34">
        <v>1778058900000</v>
      </c>
      <c r="AR34">
        <v>0</v>
      </c>
      <c r="AT34">
        <v>1778058900000</v>
      </c>
      <c r="AU34">
        <v>24</v>
      </c>
      <c r="AV34" s="6"/>
      <c r="AW34">
        <v>1779095700000</v>
      </c>
      <c r="AX34">
        <v>0</v>
      </c>
      <c r="AZ34">
        <v>1779095700000</v>
      </c>
      <c r="BA34">
        <v>972</v>
      </c>
      <c r="BC34">
        <v>1779095700000</v>
      </c>
      <c r="BD34">
        <v>8</v>
      </c>
      <c r="BF34">
        <v>1779095700000</v>
      </c>
      <c r="BG34">
        <v>24</v>
      </c>
      <c r="BI34">
        <v>1779095700000</v>
      </c>
      <c r="BJ34">
        <v>12</v>
      </c>
      <c r="BL34">
        <v>1779095700000</v>
      </c>
      <c r="BM34">
        <v>2032</v>
      </c>
      <c r="BO34">
        <v>1779095700000</v>
      </c>
      <c r="BP34">
        <v>8</v>
      </c>
      <c r="BR34">
        <v>1779095700000</v>
      </c>
      <c r="BS34">
        <v>24</v>
      </c>
      <c r="BT34" s="6"/>
      <c r="BU34">
        <v>1782206100000</v>
      </c>
      <c r="BV34">
        <v>12</v>
      </c>
      <c r="BX34">
        <v>1782206100000</v>
      </c>
      <c r="BY34">
        <v>588</v>
      </c>
      <c r="CA34">
        <v>1782206100000</v>
      </c>
      <c r="CB34">
        <v>0</v>
      </c>
      <c r="CD34">
        <v>1782206100000</v>
      </c>
      <c r="CE34">
        <v>0</v>
      </c>
      <c r="CG34">
        <v>1782206100000</v>
      </c>
      <c r="CH34">
        <v>0</v>
      </c>
      <c r="CJ34">
        <v>1782206100000</v>
      </c>
      <c r="CK34">
        <v>1160</v>
      </c>
      <c r="CM34">
        <v>1782206100000</v>
      </c>
      <c r="CN34">
        <v>8</v>
      </c>
      <c r="CP34">
        <v>1782206100000</v>
      </c>
      <c r="CQ34">
        <v>12</v>
      </c>
      <c r="CR34" s="6"/>
      <c r="CS34">
        <v>1784020500000</v>
      </c>
      <c r="CT34">
        <v>8</v>
      </c>
      <c r="CV34">
        <v>1784020500000</v>
      </c>
      <c r="CW34">
        <v>212</v>
      </c>
      <c r="CY34">
        <v>1784020500000</v>
      </c>
      <c r="CZ34">
        <v>4</v>
      </c>
      <c r="DB34">
        <v>1784020500000</v>
      </c>
      <c r="DC34">
        <v>36</v>
      </c>
      <c r="DE34">
        <v>1784020500000</v>
      </c>
      <c r="DF34">
        <v>4</v>
      </c>
      <c r="DH34">
        <v>1784020500000</v>
      </c>
      <c r="DI34">
        <v>592</v>
      </c>
      <c r="DK34">
        <v>1784020500000</v>
      </c>
      <c r="DL34">
        <v>32</v>
      </c>
      <c r="DN34">
        <v>1784020500000</v>
      </c>
      <c r="DO34">
        <v>8</v>
      </c>
      <c r="DP34" s="6"/>
      <c r="DQ34">
        <v>1784106900000</v>
      </c>
      <c r="DR34">
        <v>16</v>
      </c>
      <c r="DT34">
        <v>1784106900000</v>
      </c>
      <c r="DU34">
        <v>164</v>
      </c>
      <c r="DW34">
        <v>1784106900000</v>
      </c>
      <c r="DX34">
        <v>4</v>
      </c>
      <c r="DZ34">
        <v>1784106900000</v>
      </c>
      <c r="EA34">
        <v>36</v>
      </c>
      <c r="EC34">
        <v>1784106900000</v>
      </c>
      <c r="ED34">
        <v>8</v>
      </c>
      <c r="EF34">
        <v>1784106900000</v>
      </c>
      <c r="EG34">
        <v>372</v>
      </c>
      <c r="EI34">
        <v>1784106900000</v>
      </c>
      <c r="EJ34">
        <v>28</v>
      </c>
      <c r="EL34">
        <v>1784106900000</v>
      </c>
      <c r="EM34">
        <v>12</v>
      </c>
      <c r="EN34" s="6"/>
    </row>
    <row r="35" spans="1:144">
      <c r="A35">
        <v>1777973400000</v>
      </c>
      <c r="B35">
        <v>28</v>
      </c>
      <c r="D35">
        <v>1777973400000</v>
      </c>
      <c r="E35">
        <v>500</v>
      </c>
      <c r="G35">
        <v>1777973400000</v>
      </c>
      <c r="H35">
        <v>4</v>
      </c>
      <c r="J35">
        <v>1777973400000</v>
      </c>
      <c r="K35">
        <v>28</v>
      </c>
      <c r="M35">
        <v>1777973400000</v>
      </c>
      <c r="N35">
        <v>24</v>
      </c>
      <c r="P35">
        <v>1777973400000</v>
      </c>
      <c r="Q35">
        <v>1352</v>
      </c>
      <c r="S35">
        <v>1777973400000</v>
      </c>
      <c r="T35">
        <v>20</v>
      </c>
      <c r="V35">
        <v>1777973400000</v>
      </c>
      <c r="W35">
        <v>20</v>
      </c>
      <c r="X35" s="6"/>
      <c r="Y35">
        <v>1778059800000</v>
      </c>
      <c r="Z35">
        <v>20</v>
      </c>
      <c r="AB35">
        <v>1778059800000</v>
      </c>
      <c r="AC35">
        <v>196</v>
      </c>
      <c r="AE35">
        <v>1778059800000</v>
      </c>
      <c r="AF35">
        <v>0</v>
      </c>
      <c r="AH35">
        <v>1778059800000</v>
      </c>
      <c r="AI35">
        <v>24</v>
      </c>
      <c r="AK35">
        <v>1778059800000</v>
      </c>
      <c r="AL35">
        <v>4</v>
      </c>
      <c r="AN35">
        <v>1778059800000</v>
      </c>
      <c r="AO35">
        <v>900</v>
      </c>
      <c r="AQ35">
        <v>1778059800000</v>
      </c>
      <c r="AR35">
        <v>0</v>
      </c>
      <c r="AT35">
        <v>1778059800000</v>
      </c>
      <c r="AU35">
        <v>16</v>
      </c>
      <c r="AV35" s="6"/>
      <c r="AW35">
        <v>1779096600000</v>
      </c>
      <c r="AX35">
        <v>0</v>
      </c>
      <c r="AZ35">
        <v>1779096600000</v>
      </c>
      <c r="BA35">
        <v>864</v>
      </c>
      <c r="BC35">
        <v>1779096600000</v>
      </c>
      <c r="BD35">
        <v>0</v>
      </c>
      <c r="BF35">
        <v>1779096600000</v>
      </c>
      <c r="BG35">
        <v>28</v>
      </c>
      <c r="BI35">
        <v>1779096600000</v>
      </c>
      <c r="BJ35">
        <v>20</v>
      </c>
      <c r="BL35">
        <v>1779096600000</v>
      </c>
      <c r="BM35">
        <v>1720</v>
      </c>
      <c r="BO35">
        <v>1779096600000</v>
      </c>
      <c r="BP35">
        <v>12</v>
      </c>
      <c r="BR35">
        <v>1779096600000</v>
      </c>
      <c r="BS35">
        <v>20</v>
      </c>
      <c r="BT35" s="6"/>
      <c r="BU35">
        <v>1782207000000</v>
      </c>
      <c r="BV35">
        <v>0</v>
      </c>
      <c r="BX35">
        <v>1782207000000</v>
      </c>
      <c r="BY35">
        <v>264</v>
      </c>
      <c r="CA35">
        <v>1782207000000</v>
      </c>
      <c r="CB35">
        <v>0</v>
      </c>
      <c r="CD35">
        <v>1782207000000</v>
      </c>
      <c r="CE35">
        <v>8</v>
      </c>
      <c r="CG35">
        <v>1782207000000</v>
      </c>
      <c r="CH35">
        <v>8</v>
      </c>
      <c r="CJ35">
        <v>1782207000000</v>
      </c>
      <c r="CK35">
        <v>936</v>
      </c>
      <c r="CM35">
        <v>1782207000000</v>
      </c>
      <c r="CN35">
        <v>4</v>
      </c>
      <c r="CP35">
        <v>1782207000000</v>
      </c>
      <c r="CQ35">
        <v>20</v>
      </c>
      <c r="CR35" s="6"/>
      <c r="CS35">
        <v>1784021400000</v>
      </c>
      <c r="CT35">
        <v>4</v>
      </c>
      <c r="CV35">
        <v>1784021400000</v>
      </c>
      <c r="CW35">
        <v>84</v>
      </c>
      <c r="CY35">
        <v>1784021400000</v>
      </c>
      <c r="CZ35">
        <v>4</v>
      </c>
      <c r="DB35">
        <v>1784021400000</v>
      </c>
      <c r="DC35">
        <v>40</v>
      </c>
      <c r="DE35">
        <v>1784021400000</v>
      </c>
      <c r="DF35">
        <v>8</v>
      </c>
      <c r="DH35">
        <v>1784021400000</v>
      </c>
      <c r="DI35">
        <v>504</v>
      </c>
      <c r="DK35">
        <v>1784021400000</v>
      </c>
      <c r="DL35">
        <v>16</v>
      </c>
      <c r="DN35">
        <v>1784021400000</v>
      </c>
      <c r="DO35">
        <v>24</v>
      </c>
      <c r="DP35" s="6"/>
      <c r="DQ35">
        <v>1784107800000</v>
      </c>
      <c r="DR35">
        <v>4</v>
      </c>
      <c r="DT35">
        <v>1784107800000</v>
      </c>
      <c r="DU35">
        <v>208</v>
      </c>
      <c r="DW35">
        <v>1784107800000</v>
      </c>
      <c r="DX35">
        <v>4</v>
      </c>
      <c r="DZ35">
        <v>1784107800000</v>
      </c>
      <c r="EA35">
        <v>32</v>
      </c>
      <c r="EC35">
        <v>1784107800000</v>
      </c>
      <c r="ED35">
        <v>36</v>
      </c>
      <c r="EF35">
        <v>1784107800000</v>
      </c>
      <c r="EG35">
        <v>616</v>
      </c>
      <c r="EI35">
        <v>1784107800000</v>
      </c>
      <c r="EJ35">
        <v>20</v>
      </c>
      <c r="EL35">
        <v>1784107800000</v>
      </c>
      <c r="EM35">
        <v>16</v>
      </c>
      <c r="EN35" s="6"/>
    </row>
    <row r="36" spans="1:144">
      <c r="A36">
        <v>1777974300000</v>
      </c>
      <c r="B36">
        <v>8</v>
      </c>
      <c r="D36">
        <v>1777974300000</v>
      </c>
      <c r="E36">
        <v>632</v>
      </c>
      <c r="G36">
        <v>1777974300000</v>
      </c>
      <c r="H36">
        <v>0</v>
      </c>
      <c r="J36">
        <v>1777974300000</v>
      </c>
      <c r="K36">
        <v>28</v>
      </c>
      <c r="M36">
        <v>1777974300000</v>
      </c>
      <c r="N36">
        <v>4</v>
      </c>
      <c r="P36">
        <v>1777974300000</v>
      </c>
      <c r="Q36">
        <v>1308</v>
      </c>
      <c r="S36">
        <v>1777974300000</v>
      </c>
      <c r="T36">
        <v>4</v>
      </c>
      <c r="V36">
        <v>1777974300000</v>
      </c>
      <c r="W36">
        <v>28</v>
      </c>
      <c r="X36" s="6"/>
      <c r="Y36">
        <v>1778060700000</v>
      </c>
      <c r="Z36">
        <v>8</v>
      </c>
      <c r="AB36">
        <v>1778060700000</v>
      </c>
      <c r="AC36">
        <v>168</v>
      </c>
      <c r="AE36">
        <v>1778060700000</v>
      </c>
      <c r="AF36">
        <v>0</v>
      </c>
      <c r="AH36">
        <v>1778060700000</v>
      </c>
      <c r="AI36">
        <v>24</v>
      </c>
      <c r="AK36">
        <v>1778060700000</v>
      </c>
      <c r="AL36">
        <v>16</v>
      </c>
      <c r="AN36">
        <v>1778060700000</v>
      </c>
      <c r="AO36">
        <v>1604</v>
      </c>
      <c r="AQ36">
        <v>1778060700000</v>
      </c>
      <c r="AR36">
        <v>8</v>
      </c>
      <c r="AT36">
        <v>1778060700000</v>
      </c>
      <c r="AU36">
        <v>32</v>
      </c>
      <c r="AV36" s="6"/>
      <c r="AW36">
        <v>1779097500000</v>
      </c>
      <c r="AX36">
        <v>0</v>
      </c>
      <c r="AZ36">
        <v>1779097500000</v>
      </c>
      <c r="BA36">
        <v>900</v>
      </c>
      <c r="BC36">
        <v>1779097500000</v>
      </c>
      <c r="BD36">
        <v>4</v>
      </c>
      <c r="BF36">
        <v>1779097500000</v>
      </c>
      <c r="BG36">
        <v>28</v>
      </c>
      <c r="BI36">
        <v>1779097500000</v>
      </c>
      <c r="BJ36">
        <v>12</v>
      </c>
      <c r="BL36">
        <v>1779097500000</v>
      </c>
      <c r="BM36">
        <v>1772</v>
      </c>
      <c r="BO36">
        <v>1779097500000</v>
      </c>
      <c r="BP36">
        <v>4</v>
      </c>
      <c r="BR36">
        <v>1779097500000</v>
      </c>
      <c r="BS36">
        <v>20</v>
      </c>
      <c r="BT36" s="6"/>
      <c r="BU36">
        <v>1782207900000</v>
      </c>
      <c r="BV36">
        <v>0</v>
      </c>
      <c r="BX36">
        <v>1782207900000</v>
      </c>
      <c r="BY36">
        <v>420</v>
      </c>
      <c r="CA36">
        <v>1782207900000</v>
      </c>
      <c r="CB36">
        <v>4</v>
      </c>
      <c r="CD36">
        <v>1782207900000</v>
      </c>
      <c r="CE36">
        <v>20</v>
      </c>
      <c r="CG36">
        <v>1782207900000</v>
      </c>
      <c r="CH36">
        <v>16</v>
      </c>
      <c r="CJ36">
        <v>1782207900000</v>
      </c>
      <c r="CK36">
        <v>980</v>
      </c>
      <c r="CM36">
        <v>1782207900000</v>
      </c>
      <c r="CN36">
        <v>12</v>
      </c>
      <c r="CP36">
        <v>1782207900000</v>
      </c>
      <c r="CQ36">
        <v>24</v>
      </c>
      <c r="CR36" s="6"/>
      <c r="CS36">
        <v>1784022300000</v>
      </c>
      <c r="CT36">
        <v>20</v>
      </c>
      <c r="CV36">
        <v>1784022300000</v>
      </c>
      <c r="CW36">
        <v>304</v>
      </c>
      <c r="CY36">
        <v>1784022300000</v>
      </c>
      <c r="CZ36">
        <v>12</v>
      </c>
      <c r="DB36">
        <v>1784022300000</v>
      </c>
      <c r="DC36">
        <v>32</v>
      </c>
      <c r="DE36">
        <v>1784022300000</v>
      </c>
      <c r="DF36">
        <v>16</v>
      </c>
      <c r="DH36">
        <v>1784022300000</v>
      </c>
      <c r="DI36">
        <v>792</v>
      </c>
      <c r="DK36">
        <v>1784022300000</v>
      </c>
      <c r="DL36">
        <v>16</v>
      </c>
      <c r="DN36">
        <v>1784022300000</v>
      </c>
      <c r="DO36">
        <v>36</v>
      </c>
      <c r="DP36" s="6"/>
      <c r="DQ36">
        <v>1784108700000</v>
      </c>
      <c r="DR36">
        <v>4</v>
      </c>
      <c r="DT36">
        <v>1784108700000</v>
      </c>
      <c r="DU36">
        <v>272</v>
      </c>
      <c r="DW36">
        <v>1784108700000</v>
      </c>
      <c r="DX36">
        <v>12</v>
      </c>
      <c r="DZ36">
        <v>1784108700000</v>
      </c>
      <c r="EA36">
        <v>52</v>
      </c>
      <c r="EC36">
        <v>1784108700000</v>
      </c>
      <c r="ED36">
        <v>12</v>
      </c>
      <c r="EF36">
        <v>1784108700000</v>
      </c>
      <c r="EG36">
        <v>648</v>
      </c>
      <c r="EI36">
        <v>1784108700000</v>
      </c>
      <c r="EJ36">
        <v>20</v>
      </c>
      <c r="EL36">
        <v>1784108700000</v>
      </c>
      <c r="EM36">
        <v>8</v>
      </c>
      <c r="EN36" s="6"/>
    </row>
    <row r="37" spans="1:144">
      <c r="A37">
        <v>1777975200000</v>
      </c>
      <c r="B37">
        <v>8</v>
      </c>
      <c r="D37">
        <v>1777975200000</v>
      </c>
      <c r="E37">
        <v>1008</v>
      </c>
      <c r="G37">
        <v>1777975200000</v>
      </c>
      <c r="H37">
        <v>12</v>
      </c>
      <c r="J37">
        <v>1777975200000</v>
      </c>
      <c r="K37">
        <v>68</v>
      </c>
      <c r="M37">
        <v>1777975200000</v>
      </c>
      <c r="N37">
        <v>8</v>
      </c>
      <c r="P37">
        <v>1777975200000</v>
      </c>
      <c r="Q37">
        <v>1308</v>
      </c>
      <c r="S37">
        <v>1777975200000</v>
      </c>
      <c r="T37">
        <v>8</v>
      </c>
      <c r="V37">
        <v>1777975200000</v>
      </c>
      <c r="W37">
        <v>20</v>
      </c>
      <c r="X37" s="6"/>
      <c r="Y37">
        <v>1778061600000</v>
      </c>
      <c r="Z37">
        <v>24</v>
      </c>
      <c r="AB37">
        <v>1778061600000</v>
      </c>
      <c r="AC37">
        <v>388</v>
      </c>
      <c r="AE37">
        <v>1778061600000</v>
      </c>
      <c r="AF37">
        <v>4</v>
      </c>
      <c r="AH37">
        <v>1778061600000</v>
      </c>
      <c r="AI37">
        <v>60</v>
      </c>
      <c r="AK37">
        <v>1778061600000</v>
      </c>
      <c r="AL37">
        <v>24</v>
      </c>
      <c r="AN37">
        <v>1778061600000</v>
      </c>
      <c r="AO37">
        <v>1516</v>
      </c>
      <c r="AQ37">
        <v>1778061600000</v>
      </c>
      <c r="AR37">
        <v>24</v>
      </c>
      <c r="AT37">
        <v>1778061600000</v>
      </c>
      <c r="AU37">
        <v>16</v>
      </c>
      <c r="AV37" s="6"/>
      <c r="AW37">
        <v>1779098400000</v>
      </c>
      <c r="AX37">
        <v>4</v>
      </c>
      <c r="AZ37">
        <v>1779098400000</v>
      </c>
      <c r="BA37">
        <v>952</v>
      </c>
      <c r="BC37">
        <v>1779098400000</v>
      </c>
      <c r="BD37">
        <v>0</v>
      </c>
      <c r="BF37">
        <v>1779098400000</v>
      </c>
      <c r="BG37">
        <v>8</v>
      </c>
      <c r="BI37">
        <v>1779098400000</v>
      </c>
      <c r="BJ37">
        <v>4</v>
      </c>
      <c r="BL37">
        <v>1779098400000</v>
      </c>
      <c r="BM37">
        <v>1684</v>
      </c>
      <c r="BO37">
        <v>1779098400000</v>
      </c>
      <c r="BP37">
        <v>0</v>
      </c>
      <c r="BR37">
        <v>1779098400000</v>
      </c>
      <c r="BS37">
        <v>28</v>
      </c>
      <c r="BT37" s="6"/>
      <c r="BU37">
        <v>1782208800000</v>
      </c>
      <c r="BV37">
        <v>88</v>
      </c>
      <c r="BX37">
        <v>1782208800000</v>
      </c>
      <c r="BY37">
        <v>548</v>
      </c>
      <c r="CA37">
        <v>1782208800000</v>
      </c>
      <c r="CB37">
        <v>12</v>
      </c>
      <c r="CD37">
        <v>1782208800000</v>
      </c>
      <c r="CE37">
        <v>52</v>
      </c>
      <c r="CG37">
        <v>1782208800000</v>
      </c>
      <c r="CH37">
        <v>12</v>
      </c>
      <c r="CJ37">
        <v>1782208800000</v>
      </c>
      <c r="CK37">
        <v>1044</v>
      </c>
      <c r="CM37">
        <v>1782208800000</v>
      </c>
      <c r="CN37">
        <v>24</v>
      </c>
      <c r="CP37">
        <v>1782208800000</v>
      </c>
      <c r="CQ37">
        <v>36</v>
      </c>
      <c r="CR37" s="6"/>
      <c r="CS37">
        <v>1784023200000</v>
      </c>
      <c r="CT37">
        <v>4</v>
      </c>
      <c r="CV37">
        <v>1784023200000</v>
      </c>
      <c r="CW37">
        <v>236</v>
      </c>
      <c r="CY37">
        <v>1784023200000</v>
      </c>
      <c r="CZ37">
        <v>0</v>
      </c>
      <c r="DB37">
        <v>1784023200000</v>
      </c>
      <c r="DC37">
        <v>60</v>
      </c>
      <c r="DE37">
        <v>1784023200000</v>
      </c>
      <c r="DF37">
        <v>12</v>
      </c>
      <c r="DH37">
        <v>1784023200000</v>
      </c>
      <c r="DI37">
        <v>708</v>
      </c>
      <c r="DK37">
        <v>1784023200000</v>
      </c>
      <c r="DL37">
        <v>52</v>
      </c>
      <c r="DN37">
        <v>1784023200000</v>
      </c>
      <c r="DO37">
        <v>20</v>
      </c>
      <c r="DP37" s="6"/>
      <c r="DQ37">
        <v>1784109600000</v>
      </c>
      <c r="DR37">
        <v>20</v>
      </c>
      <c r="DT37">
        <v>1784109600000</v>
      </c>
      <c r="DU37">
        <v>352</v>
      </c>
      <c r="DW37">
        <v>1784109600000</v>
      </c>
      <c r="DX37">
        <v>4</v>
      </c>
      <c r="DZ37">
        <v>1784109600000</v>
      </c>
      <c r="EA37">
        <v>28</v>
      </c>
      <c r="EC37">
        <v>1784109600000</v>
      </c>
      <c r="ED37">
        <v>24</v>
      </c>
      <c r="EF37">
        <v>1784109600000</v>
      </c>
      <c r="EG37">
        <v>508</v>
      </c>
      <c r="EI37">
        <v>1784109600000</v>
      </c>
      <c r="EJ37">
        <v>16</v>
      </c>
      <c r="EL37">
        <v>1784109600000</v>
      </c>
      <c r="EM37">
        <v>28</v>
      </c>
      <c r="EN37" s="6"/>
    </row>
    <row r="38" spans="1:144">
      <c r="A38">
        <v>1777976100000</v>
      </c>
      <c r="B38">
        <v>36</v>
      </c>
      <c r="D38">
        <v>1777976100000</v>
      </c>
      <c r="E38">
        <v>1856</v>
      </c>
      <c r="G38">
        <v>1777976100000</v>
      </c>
      <c r="H38">
        <v>4</v>
      </c>
      <c r="J38">
        <v>1777976100000</v>
      </c>
      <c r="K38">
        <v>24</v>
      </c>
      <c r="M38">
        <v>1777976100000</v>
      </c>
      <c r="N38">
        <v>4</v>
      </c>
      <c r="P38">
        <v>1777976100000</v>
      </c>
      <c r="Q38">
        <v>1244</v>
      </c>
      <c r="S38">
        <v>1777976100000</v>
      </c>
      <c r="T38">
        <v>8</v>
      </c>
      <c r="V38">
        <v>1777976100000</v>
      </c>
      <c r="W38">
        <v>28</v>
      </c>
      <c r="X38" s="6"/>
      <c r="Y38">
        <v>1778062500000</v>
      </c>
      <c r="Z38">
        <v>16</v>
      </c>
      <c r="AB38">
        <v>1778062500000</v>
      </c>
      <c r="AC38">
        <v>1224</v>
      </c>
      <c r="AE38">
        <v>1778062500000</v>
      </c>
      <c r="AF38">
        <v>0</v>
      </c>
      <c r="AH38">
        <v>1778062500000</v>
      </c>
      <c r="AI38">
        <v>24</v>
      </c>
      <c r="AK38">
        <v>1778062500000</v>
      </c>
      <c r="AL38">
        <v>4</v>
      </c>
      <c r="AN38">
        <v>1778062500000</v>
      </c>
      <c r="AO38">
        <v>1036</v>
      </c>
      <c r="AQ38">
        <v>1778062500000</v>
      </c>
      <c r="AR38">
        <v>4</v>
      </c>
      <c r="AT38">
        <v>1778062500000</v>
      </c>
      <c r="AU38">
        <v>8</v>
      </c>
      <c r="AV38" s="6"/>
      <c r="AW38">
        <v>1779099300000</v>
      </c>
      <c r="AX38">
        <v>20</v>
      </c>
      <c r="AZ38">
        <v>1779099300000</v>
      </c>
      <c r="BA38">
        <v>1044</v>
      </c>
      <c r="BC38">
        <v>1779099300000</v>
      </c>
      <c r="BD38">
        <v>16</v>
      </c>
      <c r="BF38">
        <v>1779099300000</v>
      </c>
      <c r="BG38">
        <v>56</v>
      </c>
      <c r="BI38">
        <v>1779099300000</v>
      </c>
      <c r="BJ38">
        <v>8</v>
      </c>
      <c r="BL38">
        <v>1779099300000</v>
      </c>
      <c r="BM38">
        <v>1652</v>
      </c>
      <c r="BO38">
        <v>1779099300000</v>
      </c>
      <c r="BP38">
        <v>60</v>
      </c>
      <c r="BR38">
        <v>1779099300000</v>
      </c>
      <c r="BS38">
        <v>32</v>
      </c>
      <c r="BT38" s="6"/>
      <c r="BU38">
        <v>1782209700000</v>
      </c>
      <c r="BV38">
        <v>8</v>
      </c>
      <c r="BX38">
        <v>1782209700000</v>
      </c>
      <c r="BY38">
        <v>496</v>
      </c>
      <c r="CA38">
        <v>1782209700000</v>
      </c>
      <c r="CB38">
        <v>8</v>
      </c>
      <c r="CD38">
        <v>1782209700000</v>
      </c>
      <c r="CE38">
        <v>0</v>
      </c>
      <c r="CG38">
        <v>1782209700000</v>
      </c>
      <c r="CH38">
        <v>8</v>
      </c>
      <c r="CJ38">
        <v>1782209700000</v>
      </c>
      <c r="CK38">
        <v>1104</v>
      </c>
      <c r="CM38">
        <v>1782209700000</v>
      </c>
      <c r="CN38">
        <v>0</v>
      </c>
      <c r="CP38">
        <v>1782209700000</v>
      </c>
      <c r="CQ38">
        <v>40</v>
      </c>
      <c r="CR38" s="6"/>
      <c r="CS38">
        <v>1784024100000</v>
      </c>
      <c r="CT38">
        <v>4</v>
      </c>
      <c r="CV38">
        <v>1784024100000</v>
      </c>
      <c r="CW38">
        <v>320</v>
      </c>
      <c r="CY38">
        <v>1784024100000</v>
      </c>
      <c r="CZ38">
        <v>4</v>
      </c>
      <c r="DB38">
        <v>1784024100000</v>
      </c>
      <c r="DC38">
        <v>12</v>
      </c>
      <c r="DE38">
        <v>1784024100000</v>
      </c>
      <c r="DF38">
        <v>16</v>
      </c>
      <c r="DH38">
        <v>1784024100000</v>
      </c>
      <c r="DI38">
        <v>880</v>
      </c>
      <c r="DK38">
        <v>1784024100000</v>
      </c>
      <c r="DL38">
        <v>12</v>
      </c>
      <c r="DN38">
        <v>1784024100000</v>
      </c>
      <c r="DO38">
        <v>32</v>
      </c>
      <c r="DP38" s="6"/>
      <c r="DQ38">
        <v>1784110500000</v>
      </c>
      <c r="DR38">
        <v>16</v>
      </c>
      <c r="DT38">
        <v>1784110500000</v>
      </c>
      <c r="DU38">
        <v>216</v>
      </c>
      <c r="DW38">
        <v>1784110500000</v>
      </c>
      <c r="DX38">
        <v>8</v>
      </c>
      <c r="DZ38">
        <v>1784110500000</v>
      </c>
      <c r="EA38">
        <v>24</v>
      </c>
      <c r="EC38">
        <v>1784110500000</v>
      </c>
      <c r="ED38">
        <v>20</v>
      </c>
      <c r="EF38">
        <v>1784110500000</v>
      </c>
      <c r="EG38">
        <v>668</v>
      </c>
      <c r="EI38">
        <v>1784110500000</v>
      </c>
      <c r="EJ38">
        <v>4</v>
      </c>
      <c r="EL38">
        <v>1784110500000</v>
      </c>
      <c r="EM38">
        <v>28</v>
      </c>
      <c r="EN38" s="6"/>
    </row>
    <row r="39" spans="1:144">
      <c r="A39">
        <v>1777977000000</v>
      </c>
      <c r="B39">
        <v>8</v>
      </c>
      <c r="D39">
        <v>1777977000000</v>
      </c>
      <c r="E39">
        <v>1872</v>
      </c>
      <c r="G39">
        <v>1777977000000</v>
      </c>
      <c r="H39">
        <v>12</v>
      </c>
      <c r="J39">
        <v>1777977000000</v>
      </c>
      <c r="K39">
        <v>56</v>
      </c>
      <c r="M39">
        <v>1777977000000</v>
      </c>
      <c r="N39">
        <v>28</v>
      </c>
      <c r="P39">
        <v>1777977000000</v>
      </c>
      <c r="Q39">
        <v>1524</v>
      </c>
      <c r="S39">
        <v>1777977000000</v>
      </c>
      <c r="T39">
        <v>16</v>
      </c>
      <c r="V39">
        <v>1777977000000</v>
      </c>
      <c r="W39">
        <v>60</v>
      </c>
      <c r="X39" s="6"/>
      <c r="Y39">
        <v>1778063400000</v>
      </c>
      <c r="Z39">
        <v>0</v>
      </c>
      <c r="AB39">
        <v>1778063400000</v>
      </c>
      <c r="AC39">
        <v>1444</v>
      </c>
      <c r="AE39">
        <v>1778063400000</v>
      </c>
      <c r="AF39">
        <v>24</v>
      </c>
      <c r="AH39">
        <v>1778063400000</v>
      </c>
      <c r="AI39">
        <v>68</v>
      </c>
      <c r="AK39">
        <v>1778063400000</v>
      </c>
      <c r="AL39">
        <v>24</v>
      </c>
      <c r="AN39">
        <v>1778063400000</v>
      </c>
      <c r="AO39">
        <v>1376</v>
      </c>
      <c r="AQ39">
        <v>1778063400000</v>
      </c>
      <c r="AR39">
        <v>8</v>
      </c>
      <c r="AT39">
        <v>1778063400000</v>
      </c>
      <c r="AU39">
        <v>76</v>
      </c>
      <c r="AV39" s="6"/>
      <c r="AW39">
        <v>1779100200000</v>
      </c>
      <c r="AX39">
        <v>0</v>
      </c>
      <c r="AZ39">
        <v>1779100200000</v>
      </c>
      <c r="BA39">
        <v>924</v>
      </c>
      <c r="BC39">
        <v>1779100200000</v>
      </c>
      <c r="BD39">
        <v>0</v>
      </c>
      <c r="BF39">
        <v>1779100200000</v>
      </c>
      <c r="BG39">
        <v>20</v>
      </c>
      <c r="BI39">
        <v>1779100200000</v>
      </c>
      <c r="BJ39">
        <v>32</v>
      </c>
      <c r="BL39">
        <v>1779100200000</v>
      </c>
      <c r="BM39">
        <v>1556</v>
      </c>
      <c r="BO39">
        <v>1779100200000</v>
      </c>
      <c r="BP39">
        <v>44</v>
      </c>
      <c r="BR39">
        <v>1779100200000</v>
      </c>
      <c r="BS39">
        <v>52</v>
      </c>
      <c r="BT39" s="6"/>
      <c r="BU39">
        <v>1782210600000</v>
      </c>
      <c r="BV39">
        <v>8</v>
      </c>
      <c r="BX39">
        <v>1782210600000</v>
      </c>
      <c r="BY39">
        <v>532</v>
      </c>
      <c r="CA39">
        <v>1782210600000</v>
      </c>
      <c r="CB39">
        <v>8</v>
      </c>
      <c r="CD39">
        <v>1782210600000</v>
      </c>
      <c r="CE39">
        <v>24</v>
      </c>
      <c r="CG39">
        <v>1782210600000</v>
      </c>
      <c r="CH39">
        <v>24</v>
      </c>
      <c r="CJ39">
        <v>1782210600000</v>
      </c>
      <c r="CK39">
        <v>1440</v>
      </c>
      <c r="CM39">
        <v>1782210600000</v>
      </c>
      <c r="CN39">
        <v>12</v>
      </c>
      <c r="CP39">
        <v>1782210600000</v>
      </c>
      <c r="CQ39">
        <v>76</v>
      </c>
      <c r="CR39" s="6"/>
      <c r="CS39">
        <v>1784025000000</v>
      </c>
      <c r="CT39">
        <v>12</v>
      </c>
      <c r="CV39">
        <v>1784025000000</v>
      </c>
      <c r="CW39">
        <v>376</v>
      </c>
      <c r="CY39">
        <v>1784025000000</v>
      </c>
      <c r="CZ39">
        <v>8</v>
      </c>
      <c r="DB39">
        <v>1784025000000</v>
      </c>
      <c r="DC39">
        <v>64</v>
      </c>
      <c r="DE39">
        <v>1784025000000</v>
      </c>
      <c r="DF39">
        <v>28</v>
      </c>
      <c r="DH39">
        <v>1784025000000</v>
      </c>
      <c r="DI39">
        <v>940</v>
      </c>
      <c r="DK39">
        <v>1784025000000</v>
      </c>
      <c r="DL39">
        <v>84</v>
      </c>
      <c r="DN39">
        <v>1784025000000</v>
      </c>
      <c r="DO39">
        <v>32</v>
      </c>
      <c r="DP39" s="6"/>
      <c r="DQ39">
        <v>1784111400000</v>
      </c>
      <c r="DR39">
        <v>16</v>
      </c>
      <c r="DT39">
        <v>1784111400000</v>
      </c>
      <c r="DU39">
        <v>308</v>
      </c>
      <c r="DW39">
        <v>1784111400000</v>
      </c>
      <c r="DX39">
        <v>0</v>
      </c>
      <c r="DZ39">
        <v>1784111400000</v>
      </c>
      <c r="EA39">
        <v>28</v>
      </c>
      <c r="EC39">
        <v>1784111400000</v>
      </c>
      <c r="ED39">
        <v>20</v>
      </c>
      <c r="EF39">
        <v>1784111400000</v>
      </c>
      <c r="EG39">
        <v>824</v>
      </c>
      <c r="EI39">
        <v>1784111400000</v>
      </c>
      <c r="EJ39">
        <v>32</v>
      </c>
      <c r="EL39">
        <v>1784111400000</v>
      </c>
      <c r="EM39">
        <v>48</v>
      </c>
      <c r="EN39" s="6"/>
    </row>
    <row r="40" spans="1:144">
      <c r="A40">
        <v>1777977900000</v>
      </c>
      <c r="B40">
        <v>8</v>
      </c>
      <c r="D40">
        <v>1777977900000</v>
      </c>
      <c r="E40">
        <v>2116</v>
      </c>
      <c r="G40">
        <v>1777977900000</v>
      </c>
      <c r="H40">
        <v>20</v>
      </c>
      <c r="J40">
        <v>1777977900000</v>
      </c>
      <c r="K40">
        <v>20</v>
      </c>
      <c r="M40">
        <v>1777977900000</v>
      </c>
      <c r="N40">
        <v>32</v>
      </c>
      <c r="P40">
        <v>1777977900000</v>
      </c>
      <c r="Q40">
        <v>2064</v>
      </c>
      <c r="S40">
        <v>1777977900000</v>
      </c>
      <c r="T40">
        <v>16</v>
      </c>
      <c r="V40">
        <v>1777977900000</v>
      </c>
      <c r="W40">
        <v>92</v>
      </c>
      <c r="X40" s="6"/>
      <c r="Y40">
        <v>1778064300000</v>
      </c>
      <c r="Z40">
        <v>0</v>
      </c>
      <c r="AB40">
        <v>1778064300000</v>
      </c>
      <c r="AC40">
        <v>1448</v>
      </c>
      <c r="AE40">
        <v>1778064300000</v>
      </c>
      <c r="AF40">
        <v>20</v>
      </c>
      <c r="AH40">
        <v>1778064300000</v>
      </c>
      <c r="AI40">
        <v>32</v>
      </c>
      <c r="AK40">
        <v>1778064300000</v>
      </c>
      <c r="AL40">
        <v>24</v>
      </c>
      <c r="AN40">
        <v>1778064300000</v>
      </c>
      <c r="AO40">
        <v>1372</v>
      </c>
      <c r="AQ40">
        <v>1778064300000</v>
      </c>
      <c r="AR40">
        <v>8</v>
      </c>
      <c r="AT40">
        <v>1778064300000</v>
      </c>
      <c r="AU40">
        <v>124</v>
      </c>
      <c r="AV40" s="6"/>
      <c r="AW40">
        <v>1779101100000</v>
      </c>
      <c r="AX40">
        <v>20</v>
      </c>
      <c r="AZ40">
        <v>1779101100000</v>
      </c>
      <c r="BA40">
        <v>1048</v>
      </c>
      <c r="BC40">
        <v>1779101100000</v>
      </c>
      <c r="BD40">
        <v>20</v>
      </c>
      <c r="BF40">
        <v>1779101100000</v>
      </c>
      <c r="BG40">
        <v>148</v>
      </c>
      <c r="BI40">
        <v>1779101100000</v>
      </c>
      <c r="BJ40">
        <v>40</v>
      </c>
      <c r="BL40">
        <v>1779101100000</v>
      </c>
      <c r="BM40">
        <v>1952</v>
      </c>
      <c r="BO40">
        <v>1779101100000</v>
      </c>
      <c r="BP40">
        <v>32</v>
      </c>
      <c r="BR40">
        <v>1779101100000</v>
      </c>
      <c r="BS40">
        <v>76</v>
      </c>
      <c r="BT40" s="6"/>
      <c r="BU40">
        <v>1782211500000</v>
      </c>
      <c r="BV40">
        <v>8</v>
      </c>
      <c r="BX40">
        <v>1782211500000</v>
      </c>
      <c r="BY40">
        <v>688</v>
      </c>
      <c r="CA40">
        <v>1782211500000</v>
      </c>
      <c r="CB40">
        <v>4</v>
      </c>
      <c r="CD40">
        <v>1782211500000</v>
      </c>
      <c r="CE40">
        <v>64</v>
      </c>
      <c r="CG40">
        <v>1782211500000</v>
      </c>
      <c r="CH40">
        <v>32</v>
      </c>
      <c r="CJ40">
        <v>1782211500000</v>
      </c>
      <c r="CK40">
        <v>1256</v>
      </c>
      <c r="CM40">
        <v>1782211500000</v>
      </c>
      <c r="CN40">
        <v>32</v>
      </c>
      <c r="CP40">
        <v>1782211500000</v>
      </c>
      <c r="CQ40">
        <v>76</v>
      </c>
      <c r="CR40" s="6"/>
      <c r="CS40">
        <v>1784025900000</v>
      </c>
      <c r="CT40">
        <v>44</v>
      </c>
      <c r="CV40">
        <v>1784025900000</v>
      </c>
      <c r="CW40">
        <v>372</v>
      </c>
      <c r="CY40">
        <v>1784025900000</v>
      </c>
      <c r="CZ40">
        <v>4</v>
      </c>
      <c r="DB40">
        <v>1784025900000</v>
      </c>
      <c r="DC40">
        <v>148</v>
      </c>
      <c r="DE40">
        <v>1784025900000</v>
      </c>
      <c r="DF40">
        <v>40</v>
      </c>
      <c r="DH40">
        <v>1784025900000</v>
      </c>
      <c r="DI40">
        <v>844</v>
      </c>
      <c r="DK40">
        <v>1784025900000</v>
      </c>
      <c r="DL40">
        <v>24</v>
      </c>
      <c r="DN40">
        <v>1784025900000</v>
      </c>
      <c r="DO40">
        <v>52</v>
      </c>
      <c r="DP40" s="6"/>
      <c r="DQ40">
        <v>1784112300000</v>
      </c>
      <c r="DR40">
        <v>24</v>
      </c>
      <c r="DT40">
        <v>1784112300000</v>
      </c>
      <c r="DU40">
        <v>464</v>
      </c>
      <c r="DW40">
        <v>1784112300000</v>
      </c>
      <c r="DX40">
        <v>8</v>
      </c>
      <c r="DZ40">
        <v>1784112300000</v>
      </c>
      <c r="EA40">
        <v>48</v>
      </c>
      <c r="EC40">
        <v>1784112300000</v>
      </c>
      <c r="ED40">
        <v>28</v>
      </c>
      <c r="EF40">
        <v>1784112300000</v>
      </c>
      <c r="EG40">
        <v>764</v>
      </c>
      <c r="EI40">
        <v>1784112300000</v>
      </c>
      <c r="EJ40">
        <v>20</v>
      </c>
      <c r="EL40">
        <v>1784112300000</v>
      </c>
      <c r="EM40">
        <v>116</v>
      </c>
      <c r="EN40" s="6"/>
    </row>
    <row r="41" spans="1:144">
      <c r="A41">
        <v>1777978800000</v>
      </c>
      <c r="B41">
        <v>0</v>
      </c>
      <c r="D41">
        <v>1777978800000</v>
      </c>
      <c r="E41">
        <v>2120</v>
      </c>
      <c r="G41">
        <v>1777978800000</v>
      </c>
      <c r="H41">
        <v>12</v>
      </c>
      <c r="J41">
        <v>1777978800000</v>
      </c>
      <c r="K41">
        <v>84</v>
      </c>
      <c r="M41">
        <v>1777978800000</v>
      </c>
      <c r="N41">
        <v>28</v>
      </c>
      <c r="P41">
        <v>1777978800000</v>
      </c>
      <c r="Q41">
        <v>1252</v>
      </c>
      <c r="S41">
        <v>1777978800000</v>
      </c>
      <c r="T41">
        <v>0</v>
      </c>
      <c r="V41">
        <v>1777978800000</v>
      </c>
      <c r="W41">
        <v>88</v>
      </c>
      <c r="X41" s="6"/>
      <c r="Y41">
        <v>1778065200000</v>
      </c>
      <c r="Z41">
        <v>12</v>
      </c>
      <c r="AB41">
        <v>1778065200000</v>
      </c>
      <c r="AC41">
        <v>1364</v>
      </c>
      <c r="AE41">
        <v>1778065200000</v>
      </c>
      <c r="AF41">
        <v>8</v>
      </c>
      <c r="AH41">
        <v>1778065200000</v>
      </c>
      <c r="AI41">
        <v>24</v>
      </c>
      <c r="AK41">
        <v>1778065200000</v>
      </c>
      <c r="AL41">
        <v>32</v>
      </c>
      <c r="AN41">
        <v>1778065200000</v>
      </c>
      <c r="AO41">
        <v>1112</v>
      </c>
      <c r="AQ41">
        <v>1778065200000</v>
      </c>
      <c r="AR41">
        <v>0</v>
      </c>
      <c r="AT41">
        <v>1778065200000</v>
      </c>
      <c r="AU41">
        <v>76</v>
      </c>
      <c r="AV41" s="6"/>
      <c r="AW41">
        <v>1779102000000</v>
      </c>
      <c r="AX41">
        <v>44</v>
      </c>
      <c r="AZ41">
        <v>1779102000000</v>
      </c>
      <c r="BA41">
        <v>1268</v>
      </c>
      <c r="BC41">
        <v>1779102000000</v>
      </c>
      <c r="BD41">
        <v>24</v>
      </c>
      <c r="BF41">
        <v>1779102000000</v>
      </c>
      <c r="BG41">
        <v>76</v>
      </c>
      <c r="BI41">
        <v>1779102000000</v>
      </c>
      <c r="BJ41">
        <v>48</v>
      </c>
      <c r="BL41">
        <v>1779102000000</v>
      </c>
      <c r="BM41">
        <v>1976</v>
      </c>
      <c r="BO41">
        <v>1779102000000</v>
      </c>
      <c r="BP41">
        <v>24</v>
      </c>
      <c r="BR41">
        <v>1779102000000</v>
      </c>
      <c r="BS41">
        <v>88</v>
      </c>
      <c r="BT41" s="6"/>
      <c r="BU41">
        <v>1782212400000</v>
      </c>
      <c r="BV41">
        <v>28</v>
      </c>
      <c r="BX41">
        <v>1782212400000</v>
      </c>
      <c r="BY41">
        <v>532</v>
      </c>
      <c r="CA41">
        <v>1782212400000</v>
      </c>
      <c r="CB41">
        <v>16</v>
      </c>
      <c r="CD41">
        <v>1782212400000</v>
      </c>
      <c r="CE41">
        <v>44</v>
      </c>
      <c r="CG41">
        <v>1782212400000</v>
      </c>
      <c r="CH41">
        <v>56</v>
      </c>
      <c r="CJ41">
        <v>1782212400000</v>
      </c>
      <c r="CK41">
        <v>1392</v>
      </c>
      <c r="CM41">
        <v>1782212400000</v>
      </c>
      <c r="CN41">
        <v>28</v>
      </c>
      <c r="CP41">
        <v>1782212400000</v>
      </c>
      <c r="CQ41">
        <v>84</v>
      </c>
      <c r="CR41" s="6"/>
      <c r="CS41">
        <v>1784026800000</v>
      </c>
      <c r="CT41">
        <v>24</v>
      </c>
      <c r="CV41">
        <v>1784026800000</v>
      </c>
      <c r="CW41">
        <v>448</v>
      </c>
      <c r="CY41">
        <v>1784026800000</v>
      </c>
      <c r="CZ41">
        <v>12</v>
      </c>
      <c r="DB41">
        <v>1784026800000</v>
      </c>
      <c r="DC41">
        <v>60</v>
      </c>
      <c r="DE41">
        <v>1784026800000</v>
      </c>
      <c r="DF41">
        <v>44</v>
      </c>
      <c r="DH41">
        <v>1784026800000</v>
      </c>
      <c r="DI41">
        <v>772</v>
      </c>
      <c r="DK41">
        <v>1784026800000</v>
      </c>
      <c r="DL41">
        <v>20</v>
      </c>
      <c r="DN41">
        <v>1784026800000</v>
      </c>
      <c r="DO41">
        <v>68</v>
      </c>
      <c r="DP41" s="6"/>
      <c r="DQ41">
        <v>1784113200000</v>
      </c>
      <c r="DR41">
        <v>112</v>
      </c>
      <c r="DT41">
        <v>1784113200000</v>
      </c>
      <c r="DU41">
        <v>428</v>
      </c>
      <c r="DW41">
        <v>1784113200000</v>
      </c>
      <c r="DX41">
        <v>8</v>
      </c>
      <c r="DZ41">
        <v>1784113200000</v>
      </c>
      <c r="EA41">
        <v>28</v>
      </c>
      <c r="EC41">
        <v>1784113200000</v>
      </c>
      <c r="ED41">
        <v>48</v>
      </c>
      <c r="EF41">
        <v>1784113200000</v>
      </c>
      <c r="EG41">
        <v>856</v>
      </c>
      <c r="EI41">
        <v>1784113200000</v>
      </c>
      <c r="EJ41">
        <v>44</v>
      </c>
      <c r="EL41">
        <v>1784113200000</v>
      </c>
      <c r="EM41">
        <v>56</v>
      </c>
      <c r="EN41" s="6"/>
    </row>
    <row r="42" spans="1:144">
      <c r="A42">
        <v>1777979700000</v>
      </c>
      <c r="B42">
        <v>12</v>
      </c>
      <c r="D42">
        <v>1777979700000</v>
      </c>
      <c r="E42">
        <v>1844</v>
      </c>
      <c r="G42">
        <v>1777979700000</v>
      </c>
      <c r="H42">
        <v>32</v>
      </c>
      <c r="J42">
        <v>1777979700000</v>
      </c>
      <c r="K42">
        <v>120</v>
      </c>
      <c r="M42">
        <v>1777979700000</v>
      </c>
      <c r="N42">
        <v>36</v>
      </c>
      <c r="P42">
        <v>1777979700000</v>
      </c>
      <c r="Q42">
        <v>1684</v>
      </c>
      <c r="S42">
        <v>1777979700000</v>
      </c>
      <c r="T42">
        <v>32</v>
      </c>
      <c r="V42">
        <v>1777979700000</v>
      </c>
      <c r="W42">
        <v>96</v>
      </c>
      <c r="X42" s="6"/>
      <c r="Y42">
        <v>1778066100000</v>
      </c>
      <c r="Z42">
        <v>44</v>
      </c>
      <c r="AB42">
        <v>1778066100000</v>
      </c>
      <c r="AC42">
        <v>1852</v>
      </c>
      <c r="AE42">
        <v>1778066100000</v>
      </c>
      <c r="AF42">
        <v>12</v>
      </c>
      <c r="AH42">
        <v>1778066100000</v>
      </c>
      <c r="AI42">
        <v>152</v>
      </c>
      <c r="AK42">
        <v>1778066100000</v>
      </c>
      <c r="AL42">
        <v>48</v>
      </c>
      <c r="AN42">
        <v>1778066100000</v>
      </c>
      <c r="AO42">
        <v>1728</v>
      </c>
      <c r="AQ42">
        <v>1778066100000</v>
      </c>
      <c r="AR42">
        <v>28</v>
      </c>
      <c r="AT42">
        <v>1778066100000</v>
      </c>
      <c r="AU42">
        <v>96</v>
      </c>
      <c r="AV42" s="6"/>
      <c r="AW42">
        <v>1779102900000</v>
      </c>
      <c r="AX42">
        <v>28</v>
      </c>
      <c r="AZ42">
        <v>1779102900000</v>
      </c>
      <c r="BA42">
        <v>1044</v>
      </c>
      <c r="BC42">
        <v>1779102900000</v>
      </c>
      <c r="BD42">
        <v>16</v>
      </c>
      <c r="BF42">
        <v>1779102900000</v>
      </c>
      <c r="BG42">
        <v>60</v>
      </c>
      <c r="BI42">
        <v>1779102900000</v>
      </c>
      <c r="BJ42">
        <v>28</v>
      </c>
      <c r="BL42">
        <v>1779102900000</v>
      </c>
      <c r="BM42">
        <v>1604</v>
      </c>
      <c r="BO42">
        <v>1779102900000</v>
      </c>
      <c r="BP42">
        <v>4</v>
      </c>
      <c r="BR42">
        <v>1779102900000</v>
      </c>
      <c r="BS42">
        <v>88</v>
      </c>
      <c r="BT42" s="6"/>
      <c r="BU42">
        <v>1782213300000</v>
      </c>
      <c r="BV42">
        <v>16</v>
      </c>
      <c r="BX42">
        <v>1782213300000</v>
      </c>
      <c r="BY42">
        <v>956</v>
      </c>
      <c r="CA42">
        <v>1782213300000</v>
      </c>
      <c r="CB42">
        <v>12</v>
      </c>
      <c r="CD42">
        <v>1782213300000</v>
      </c>
      <c r="CE42">
        <v>80</v>
      </c>
      <c r="CG42">
        <v>1782213300000</v>
      </c>
      <c r="CH42">
        <v>32</v>
      </c>
      <c r="CJ42">
        <v>1782213300000</v>
      </c>
      <c r="CK42">
        <v>1256</v>
      </c>
      <c r="CM42">
        <v>1782213300000</v>
      </c>
      <c r="CN42">
        <v>32</v>
      </c>
      <c r="CP42">
        <v>1782213300000</v>
      </c>
      <c r="CQ42">
        <v>100</v>
      </c>
      <c r="CR42" s="6"/>
      <c r="CS42">
        <v>1784027700000</v>
      </c>
      <c r="CT42">
        <v>16</v>
      </c>
      <c r="CV42">
        <v>1784027700000</v>
      </c>
      <c r="CW42">
        <v>648</v>
      </c>
      <c r="CY42">
        <v>1784027700000</v>
      </c>
      <c r="CZ42">
        <v>4</v>
      </c>
      <c r="DB42">
        <v>1784027700000</v>
      </c>
      <c r="DC42">
        <v>80</v>
      </c>
      <c r="DE42">
        <v>1784027700000</v>
      </c>
      <c r="DF42">
        <v>60</v>
      </c>
      <c r="DH42">
        <v>1784027700000</v>
      </c>
      <c r="DI42">
        <v>872</v>
      </c>
      <c r="DK42">
        <v>1784027700000</v>
      </c>
      <c r="DL42">
        <v>20</v>
      </c>
      <c r="DN42">
        <v>1784027700000</v>
      </c>
      <c r="DO42">
        <v>100</v>
      </c>
      <c r="DP42" s="6"/>
      <c r="DQ42">
        <v>1784114100000</v>
      </c>
      <c r="DR42">
        <v>36</v>
      </c>
      <c r="DT42">
        <v>1784114100000</v>
      </c>
      <c r="DU42">
        <v>628</v>
      </c>
      <c r="DW42">
        <v>1784114100000</v>
      </c>
      <c r="DX42">
        <v>20</v>
      </c>
      <c r="DZ42">
        <v>1784114100000</v>
      </c>
      <c r="EA42">
        <v>144</v>
      </c>
      <c r="EC42">
        <v>1784114100000</v>
      </c>
      <c r="ED42">
        <v>64</v>
      </c>
      <c r="EF42">
        <v>1784114100000</v>
      </c>
      <c r="EG42">
        <v>820</v>
      </c>
      <c r="EI42">
        <v>1784114100000</v>
      </c>
      <c r="EJ42">
        <v>28</v>
      </c>
      <c r="EL42">
        <v>1784114100000</v>
      </c>
      <c r="EM42">
        <v>108</v>
      </c>
      <c r="EN42" s="6"/>
    </row>
    <row r="43" spans="1:144">
      <c r="A43">
        <v>1777980600000</v>
      </c>
      <c r="B43">
        <v>96</v>
      </c>
      <c r="D43">
        <v>1777980600000</v>
      </c>
      <c r="E43">
        <v>1764</v>
      </c>
      <c r="G43">
        <v>1777980600000</v>
      </c>
      <c r="H43">
        <v>16</v>
      </c>
      <c r="J43">
        <v>1777980600000</v>
      </c>
      <c r="K43">
        <v>284</v>
      </c>
      <c r="M43">
        <v>1777980600000</v>
      </c>
      <c r="N43">
        <v>56</v>
      </c>
      <c r="P43">
        <v>1777980600000</v>
      </c>
      <c r="Q43">
        <v>1876</v>
      </c>
      <c r="S43">
        <v>1777980600000</v>
      </c>
      <c r="T43">
        <v>44</v>
      </c>
      <c r="V43">
        <v>1777980600000</v>
      </c>
      <c r="W43">
        <v>116</v>
      </c>
      <c r="X43" s="6"/>
      <c r="Y43">
        <v>1778067000000</v>
      </c>
      <c r="Z43">
        <v>92</v>
      </c>
      <c r="AB43">
        <v>1778067000000</v>
      </c>
      <c r="AC43">
        <v>1836</v>
      </c>
      <c r="AE43">
        <v>1778067000000</v>
      </c>
      <c r="AF43">
        <v>32</v>
      </c>
      <c r="AH43">
        <v>1778067000000</v>
      </c>
      <c r="AI43">
        <v>128</v>
      </c>
      <c r="AK43">
        <v>1778067000000</v>
      </c>
      <c r="AL43">
        <v>52</v>
      </c>
      <c r="AN43">
        <v>1778067000000</v>
      </c>
      <c r="AO43">
        <v>1928</v>
      </c>
      <c r="AQ43">
        <v>1778067000000</v>
      </c>
      <c r="AR43">
        <v>60</v>
      </c>
      <c r="AT43">
        <v>1778067000000</v>
      </c>
      <c r="AU43">
        <v>124</v>
      </c>
      <c r="AV43" s="6"/>
      <c r="AW43">
        <v>1779103800000</v>
      </c>
      <c r="AX43">
        <v>32</v>
      </c>
      <c r="AZ43">
        <v>1779103800000</v>
      </c>
      <c r="BA43">
        <v>1356</v>
      </c>
      <c r="BC43">
        <v>1779103800000</v>
      </c>
      <c r="BD43">
        <v>20</v>
      </c>
      <c r="BF43">
        <v>1779103800000</v>
      </c>
      <c r="BG43">
        <v>100</v>
      </c>
      <c r="BI43">
        <v>1779103800000</v>
      </c>
      <c r="BJ43">
        <v>40</v>
      </c>
      <c r="BL43">
        <v>1779103800000</v>
      </c>
      <c r="BM43">
        <v>1940</v>
      </c>
      <c r="BO43">
        <v>1779103800000</v>
      </c>
      <c r="BP43">
        <v>20</v>
      </c>
      <c r="BR43">
        <v>1779103800000</v>
      </c>
      <c r="BS43">
        <v>120</v>
      </c>
      <c r="BT43" s="6"/>
      <c r="BU43">
        <v>1782214200000</v>
      </c>
      <c r="BV43">
        <v>64</v>
      </c>
      <c r="BX43">
        <v>1782214200000</v>
      </c>
      <c r="BY43">
        <v>936</v>
      </c>
      <c r="CA43">
        <v>1782214200000</v>
      </c>
      <c r="CB43">
        <v>24</v>
      </c>
      <c r="CD43">
        <v>1782214200000</v>
      </c>
      <c r="CE43">
        <v>108</v>
      </c>
      <c r="CG43">
        <v>1782214200000</v>
      </c>
      <c r="CH43">
        <v>68</v>
      </c>
      <c r="CJ43">
        <v>1782214200000</v>
      </c>
      <c r="CK43">
        <v>1456</v>
      </c>
      <c r="CM43">
        <v>1782214200000</v>
      </c>
      <c r="CN43">
        <v>48</v>
      </c>
      <c r="CP43">
        <v>1782214200000</v>
      </c>
      <c r="CQ43">
        <v>116</v>
      </c>
      <c r="CR43" s="6"/>
      <c r="CS43">
        <v>1784028600000</v>
      </c>
      <c r="CT43">
        <v>16</v>
      </c>
      <c r="CV43">
        <v>1784028600000</v>
      </c>
      <c r="CW43">
        <v>936</v>
      </c>
      <c r="CY43">
        <v>1784028600000</v>
      </c>
      <c r="CZ43">
        <v>20</v>
      </c>
      <c r="DB43">
        <v>1784028600000</v>
      </c>
      <c r="DC43">
        <v>84</v>
      </c>
      <c r="DE43">
        <v>1784028600000</v>
      </c>
      <c r="DF43">
        <v>76</v>
      </c>
      <c r="DH43">
        <v>1784028600000</v>
      </c>
      <c r="DI43">
        <v>1204</v>
      </c>
      <c r="DK43">
        <v>1784028600000</v>
      </c>
      <c r="DL43">
        <v>36</v>
      </c>
      <c r="DN43">
        <v>1784028600000</v>
      </c>
      <c r="DO43">
        <v>128</v>
      </c>
      <c r="DP43" s="6"/>
      <c r="DQ43">
        <v>1784115000000</v>
      </c>
      <c r="DR43">
        <v>24</v>
      </c>
      <c r="DT43">
        <v>1784115000000</v>
      </c>
      <c r="DU43">
        <v>748</v>
      </c>
      <c r="DW43">
        <v>1784115000000</v>
      </c>
      <c r="DX43">
        <v>20</v>
      </c>
      <c r="DZ43">
        <v>1784115000000</v>
      </c>
      <c r="EA43">
        <v>64</v>
      </c>
      <c r="EC43">
        <v>1784115000000</v>
      </c>
      <c r="ED43">
        <v>72</v>
      </c>
      <c r="EF43">
        <v>1784115000000</v>
      </c>
      <c r="EG43">
        <v>1104</v>
      </c>
      <c r="EI43">
        <v>1784115000000</v>
      </c>
      <c r="EJ43">
        <v>36</v>
      </c>
      <c r="EL43">
        <v>1784115000000</v>
      </c>
      <c r="EM43">
        <v>112</v>
      </c>
      <c r="EN43" s="6"/>
    </row>
    <row r="44" spans="1:144">
      <c r="A44">
        <v>1777981500000</v>
      </c>
      <c r="B44">
        <v>96</v>
      </c>
      <c r="D44">
        <v>1777981500000</v>
      </c>
      <c r="E44">
        <v>1648</v>
      </c>
      <c r="G44">
        <v>1777981500000</v>
      </c>
      <c r="H44">
        <v>36</v>
      </c>
      <c r="J44">
        <v>1777981500000</v>
      </c>
      <c r="K44">
        <v>216</v>
      </c>
      <c r="M44">
        <v>1777981500000</v>
      </c>
      <c r="N44">
        <v>84</v>
      </c>
      <c r="P44">
        <v>1777981500000</v>
      </c>
      <c r="Q44">
        <v>1868</v>
      </c>
      <c r="S44">
        <v>1777981500000</v>
      </c>
      <c r="T44">
        <v>48</v>
      </c>
      <c r="V44">
        <v>1777981500000</v>
      </c>
      <c r="W44">
        <v>140</v>
      </c>
      <c r="X44" s="6"/>
      <c r="Y44">
        <v>1778067900000</v>
      </c>
      <c r="Z44">
        <v>284</v>
      </c>
      <c r="AB44">
        <v>1778067900000</v>
      </c>
      <c r="AC44">
        <v>2040</v>
      </c>
      <c r="AE44">
        <v>1778067900000</v>
      </c>
      <c r="AF44">
        <v>28</v>
      </c>
      <c r="AH44">
        <v>1778067900000</v>
      </c>
      <c r="AI44">
        <v>248</v>
      </c>
      <c r="AK44">
        <v>1778067900000</v>
      </c>
      <c r="AL44">
        <v>56</v>
      </c>
      <c r="AN44">
        <v>1778067900000</v>
      </c>
      <c r="AO44">
        <v>1840</v>
      </c>
      <c r="AQ44">
        <v>1778067900000</v>
      </c>
      <c r="AR44">
        <v>48</v>
      </c>
      <c r="AT44">
        <v>1778067900000</v>
      </c>
      <c r="AU44">
        <v>112</v>
      </c>
      <c r="AV44" s="6"/>
      <c r="AW44">
        <v>1779104700000</v>
      </c>
      <c r="AX44">
        <v>0</v>
      </c>
      <c r="AZ44">
        <v>1779104700000</v>
      </c>
      <c r="BA44">
        <v>0</v>
      </c>
      <c r="BC44">
        <v>1779104700000</v>
      </c>
      <c r="BD44">
        <v>0</v>
      </c>
      <c r="BF44">
        <v>1779104700000</v>
      </c>
      <c r="BG44">
        <v>0</v>
      </c>
      <c r="BI44">
        <v>1779104700000</v>
      </c>
      <c r="BJ44">
        <v>0</v>
      </c>
      <c r="BL44">
        <v>1779104700000</v>
      </c>
      <c r="BM44">
        <v>0</v>
      </c>
      <c r="BO44">
        <v>1779104700000</v>
      </c>
      <c r="BP44">
        <v>0</v>
      </c>
      <c r="BR44">
        <v>1779104700000</v>
      </c>
      <c r="BS44">
        <v>0</v>
      </c>
      <c r="BT44" s="6"/>
      <c r="BU44">
        <v>1782215100000</v>
      </c>
      <c r="BV44">
        <v>60</v>
      </c>
      <c r="BX44">
        <v>1782215100000</v>
      </c>
      <c r="BY44">
        <v>1236</v>
      </c>
      <c r="CA44">
        <v>1782215100000</v>
      </c>
      <c r="CB44">
        <v>36</v>
      </c>
      <c r="CD44">
        <v>1782215100000</v>
      </c>
      <c r="CE44">
        <v>180</v>
      </c>
      <c r="CG44">
        <v>1782215100000</v>
      </c>
      <c r="CH44">
        <v>52</v>
      </c>
      <c r="CJ44">
        <v>1782215100000</v>
      </c>
      <c r="CK44">
        <v>1596</v>
      </c>
      <c r="CM44">
        <v>1782215100000</v>
      </c>
      <c r="CN44">
        <v>52</v>
      </c>
      <c r="CP44">
        <v>1782215100000</v>
      </c>
      <c r="CQ44">
        <v>140</v>
      </c>
      <c r="CR44" s="6"/>
      <c r="CS44">
        <v>1784029500000</v>
      </c>
      <c r="CT44">
        <v>36</v>
      </c>
      <c r="CV44">
        <v>1784029500000</v>
      </c>
      <c r="CW44">
        <v>952</v>
      </c>
      <c r="CY44">
        <v>1784029500000</v>
      </c>
      <c r="CZ44">
        <v>12</v>
      </c>
      <c r="DB44">
        <v>1784029500000</v>
      </c>
      <c r="DC44">
        <v>192</v>
      </c>
      <c r="DE44">
        <v>1784029500000</v>
      </c>
      <c r="DF44">
        <v>72</v>
      </c>
      <c r="DH44">
        <v>1784029500000</v>
      </c>
      <c r="DI44">
        <v>1296</v>
      </c>
      <c r="DK44">
        <v>1784029500000</v>
      </c>
      <c r="DL44">
        <v>80</v>
      </c>
      <c r="DN44">
        <v>1784029500000</v>
      </c>
      <c r="DO44">
        <v>132</v>
      </c>
      <c r="DP44" s="6"/>
      <c r="DQ44">
        <v>1784115900000</v>
      </c>
      <c r="DR44">
        <v>96</v>
      </c>
      <c r="DT44">
        <v>1784115900000</v>
      </c>
      <c r="DU44">
        <v>944</v>
      </c>
      <c r="DW44">
        <v>1784115900000</v>
      </c>
      <c r="DX44">
        <v>24</v>
      </c>
      <c r="DZ44">
        <v>1784115900000</v>
      </c>
      <c r="EA44">
        <v>140</v>
      </c>
      <c r="EC44">
        <v>1784115900000</v>
      </c>
      <c r="ED44">
        <v>72</v>
      </c>
      <c r="EF44">
        <v>1784115900000</v>
      </c>
      <c r="EG44">
        <v>1400</v>
      </c>
      <c r="EI44">
        <v>1784115900000</v>
      </c>
      <c r="EJ44">
        <v>120</v>
      </c>
      <c r="EL44">
        <v>1784115900000</v>
      </c>
      <c r="EM44">
        <v>132</v>
      </c>
      <c r="EN44" s="6"/>
    </row>
    <row r="45" spans="1:144">
      <c r="A45">
        <v>1777982400000</v>
      </c>
      <c r="B45">
        <v>120</v>
      </c>
      <c r="D45">
        <v>1777982400000</v>
      </c>
      <c r="E45">
        <v>1464</v>
      </c>
      <c r="G45">
        <v>1777982400000</v>
      </c>
      <c r="H45">
        <v>16</v>
      </c>
      <c r="J45">
        <v>1777982400000</v>
      </c>
      <c r="K45">
        <v>168</v>
      </c>
      <c r="M45">
        <v>1777982400000</v>
      </c>
      <c r="N45">
        <v>56</v>
      </c>
      <c r="P45">
        <v>1777982400000</v>
      </c>
      <c r="Q45">
        <v>1488</v>
      </c>
      <c r="S45">
        <v>1777982400000</v>
      </c>
      <c r="T45">
        <v>92</v>
      </c>
      <c r="V45">
        <v>1777982400000</v>
      </c>
      <c r="W45">
        <v>136</v>
      </c>
      <c r="X45" s="6"/>
      <c r="Y45">
        <v>1778068800000</v>
      </c>
      <c r="Z45">
        <v>100</v>
      </c>
      <c r="AB45">
        <v>1778068800000</v>
      </c>
      <c r="AC45">
        <v>2120</v>
      </c>
      <c r="AE45">
        <v>1778068800000</v>
      </c>
      <c r="AF45">
        <v>24</v>
      </c>
      <c r="AH45">
        <v>1778068800000</v>
      </c>
      <c r="AI45">
        <v>212</v>
      </c>
      <c r="AK45">
        <v>1778068800000</v>
      </c>
      <c r="AL45">
        <v>48</v>
      </c>
      <c r="AN45">
        <v>1778068800000</v>
      </c>
      <c r="AO45">
        <v>2152</v>
      </c>
      <c r="AQ45">
        <v>1778068800000</v>
      </c>
      <c r="AR45">
        <v>56</v>
      </c>
      <c r="AT45">
        <v>1778068800000</v>
      </c>
      <c r="AU45">
        <v>128</v>
      </c>
      <c r="AV45" s="6"/>
      <c r="AW45">
        <v>1779105600000</v>
      </c>
      <c r="AX45">
        <v>36</v>
      </c>
      <c r="AZ45">
        <v>1779105600000</v>
      </c>
      <c r="BA45">
        <v>184</v>
      </c>
      <c r="BC45">
        <v>1779105600000</v>
      </c>
      <c r="BD45">
        <v>8</v>
      </c>
      <c r="BF45">
        <v>1779105600000</v>
      </c>
      <c r="BG45">
        <v>16</v>
      </c>
      <c r="BI45">
        <v>1779105600000</v>
      </c>
      <c r="BJ45">
        <v>4</v>
      </c>
      <c r="BL45">
        <v>1779105600000</v>
      </c>
      <c r="BM45">
        <v>296</v>
      </c>
      <c r="BO45">
        <v>1779105600000</v>
      </c>
      <c r="BP45">
        <v>4</v>
      </c>
      <c r="BR45">
        <v>1779105600000</v>
      </c>
      <c r="BS45">
        <v>24</v>
      </c>
      <c r="BT45" s="6"/>
      <c r="BU45">
        <v>1782216000000</v>
      </c>
      <c r="BV45">
        <v>36</v>
      </c>
      <c r="BX45">
        <v>1782216000000</v>
      </c>
      <c r="BY45">
        <v>916</v>
      </c>
      <c r="CA45">
        <v>1782216000000</v>
      </c>
      <c r="CB45">
        <v>16</v>
      </c>
      <c r="CD45">
        <v>1782216000000</v>
      </c>
      <c r="CE45">
        <v>240</v>
      </c>
      <c r="CG45">
        <v>1782216000000</v>
      </c>
      <c r="CH45">
        <v>48</v>
      </c>
      <c r="CJ45">
        <v>1782216000000</v>
      </c>
      <c r="CK45">
        <v>1532</v>
      </c>
      <c r="CM45">
        <v>1782216000000</v>
      </c>
      <c r="CN45">
        <v>92</v>
      </c>
      <c r="CP45">
        <v>1782216000000</v>
      </c>
      <c r="CQ45">
        <v>100</v>
      </c>
      <c r="CR45" s="6"/>
      <c r="CS45">
        <v>1784030400000</v>
      </c>
      <c r="CT45">
        <v>376</v>
      </c>
      <c r="CV45">
        <v>1784030400000</v>
      </c>
      <c r="CW45">
        <v>952</v>
      </c>
      <c r="CY45">
        <v>1784030400000</v>
      </c>
      <c r="CZ45">
        <v>4</v>
      </c>
      <c r="DB45">
        <v>1784030400000</v>
      </c>
      <c r="DC45">
        <v>172</v>
      </c>
      <c r="DE45">
        <v>1784030400000</v>
      </c>
      <c r="DF45">
        <v>44</v>
      </c>
      <c r="DH45">
        <v>1784030400000</v>
      </c>
      <c r="DI45">
        <v>1232</v>
      </c>
      <c r="DK45">
        <v>1784030400000</v>
      </c>
      <c r="DL45">
        <v>180</v>
      </c>
      <c r="DN45">
        <v>1784030400000</v>
      </c>
      <c r="DO45">
        <v>188</v>
      </c>
      <c r="DP45" s="6"/>
      <c r="DQ45">
        <v>1784116800000</v>
      </c>
      <c r="DR45">
        <v>24</v>
      </c>
      <c r="DT45">
        <v>1784116800000</v>
      </c>
      <c r="DU45">
        <v>956</v>
      </c>
      <c r="DW45">
        <v>1784116800000</v>
      </c>
      <c r="DX45">
        <v>84</v>
      </c>
      <c r="DZ45">
        <v>1784116800000</v>
      </c>
      <c r="EA45">
        <v>216</v>
      </c>
      <c r="EC45">
        <v>1784116800000</v>
      </c>
      <c r="ED45">
        <v>88</v>
      </c>
      <c r="EF45">
        <v>1784116800000</v>
      </c>
      <c r="EG45">
        <v>1056</v>
      </c>
      <c r="EI45">
        <v>1784116800000</v>
      </c>
      <c r="EJ45">
        <v>116</v>
      </c>
      <c r="EL45">
        <v>1784116800000</v>
      </c>
      <c r="EM45">
        <v>112</v>
      </c>
      <c r="EN45" s="6"/>
    </row>
    <row r="46" spans="1:144">
      <c r="A46">
        <v>1777983300000</v>
      </c>
      <c r="B46">
        <v>48</v>
      </c>
      <c r="D46">
        <v>1777983300000</v>
      </c>
      <c r="E46">
        <v>1612</v>
      </c>
      <c r="G46">
        <v>1777983300000</v>
      </c>
      <c r="H46">
        <v>32</v>
      </c>
      <c r="J46">
        <v>1777983300000</v>
      </c>
      <c r="K46">
        <v>236</v>
      </c>
      <c r="M46">
        <v>1777983300000</v>
      </c>
      <c r="N46">
        <v>64</v>
      </c>
      <c r="P46">
        <v>1777983300000</v>
      </c>
      <c r="Q46">
        <v>1936</v>
      </c>
      <c r="S46">
        <v>1777983300000</v>
      </c>
      <c r="T46">
        <v>52</v>
      </c>
      <c r="V46">
        <v>1777983300000</v>
      </c>
      <c r="W46">
        <v>148</v>
      </c>
      <c r="X46" s="6"/>
      <c r="Y46">
        <v>1778069700000</v>
      </c>
      <c r="Z46">
        <v>124</v>
      </c>
      <c r="AB46">
        <v>1778069700000</v>
      </c>
      <c r="AC46">
        <v>2068</v>
      </c>
      <c r="AE46">
        <v>1778069700000</v>
      </c>
      <c r="AF46">
        <v>32</v>
      </c>
      <c r="AH46">
        <v>1778069700000</v>
      </c>
      <c r="AI46">
        <v>180</v>
      </c>
      <c r="AK46">
        <v>1778069700000</v>
      </c>
      <c r="AL46">
        <v>104</v>
      </c>
      <c r="AN46">
        <v>1778069700000</v>
      </c>
      <c r="AO46">
        <v>1980</v>
      </c>
      <c r="AQ46">
        <v>1778069700000</v>
      </c>
      <c r="AR46">
        <v>104</v>
      </c>
      <c r="AT46">
        <v>1778069700000</v>
      </c>
      <c r="AU46">
        <v>164</v>
      </c>
      <c r="AV46" s="6"/>
      <c r="AW46">
        <v>1779106500000</v>
      </c>
      <c r="AX46">
        <v>68</v>
      </c>
      <c r="AZ46">
        <v>1779106500000</v>
      </c>
      <c r="BA46">
        <v>1568</v>
      </c>
      <c r="BC46">
        <v>1779106500000</v>
      </c>
      <c r="BD46">
        <v>88</v>
      </c>
      <c r="BF46">
        <v>1779106500000</v>
      </c>
      <c r="BG46">
        <v>160</v>
      </c>
      <c r="BI46">
        <v>1779106500000</v>
      </c>
      <c r="BJ46">
        <v>76</v>
      </c>
      <c r="BL46">
        <v>1779106500000</v>
      </c>
      <c r="BM46">
        <v>2180</v>
      </c>
      <c r="BO46">
        <v>1779106500000</v>
      </c>
      <c r="BP46">
        <v>32</v>
      </c>
      <c r="BR46">
        <v>1779106500000</v>
      </c>
      <c r="BS46">
        <v>128</v>
      </c>
      <c r="BT46" s="6"/>
      <c r="BU46">
        <v>1782216900000</v>
      </c>
      <c r="BV46">
        <v>104</v>
      </c>
      <c r="BX46">
        <v>1782216900000</v>
      </c>
      <c r="BY46">
        <v>1240</v>
      </c>
      <c r="CA46">
        <v>1782216900000</v>
      </c>
      <c r="CB46">
        <v>56</v>
      </c>
      <c r="CD46">
        <v>1782216900000</v>
      </c>
      <c r="CE46">
        <v>300</v>
      </c>
      <c r="CG46">
        <v>1782216900000</v>
      </c>
      <c r="CH46">
        <v>112</v>
      </c>
      <c r="CJ46">
        <v>1782216900000</v>
      </c>
      <c r="CK46">
        <v>1752</v>
      </c>
      <c r="CM46">
        <v>1782216900000</v>
      </c>
      <c r="CN46">
        <v>112</v>
      </c>
      <c r="CP46">
        <v>1782216900000</v>
      </c>
      <c r="CQ46">
        <v>156</v>
      </c>
      <c r="CR46" s="6"/>
      <c r="CS46">
        <v>1784031300000</v>
      </c>
      <c r="CT46">
        <v>40</v>
      </c>
      <c r="CV46">
        <v>1784031300000</v>
      </c>
      <c r="CW46">
        <v>960</v>
      </c>
      <c r="CY46">
        <v>1784031300000</v>
      </c>
      <c r="CZ46">
        <v>84</v>
      </c>
      <c r="DB46">
        <v>1784031300000</v>
      </c>
      <c r="DC46">
        <v>132</v>
      </c>
      <c r="DE46">
        <v>1784031300000</v>
      </c>
      <c r="DF46">
        <v>56</v>
      </c>
      <c r="DH46">
        <v>1784031300000</v>
      </c>
      <c r="DI46">
        <v>1232</v>
      </c>
      <c r="DK46">
        <v>1784031300000</v>
      </c>
      <c r="DL46">
        <v>144</v>
      </c>
      <c r="DN46">
        <v>1784031300000</v>
      </c>
      <c r="DO46">
        <v>112</v>
      </c>
      <c r="DP46" s="6"/>
      <c r="DQ46">
        <v>1784117700000</v>
      </c>
      <c r="DR46">
        <v>204</v>
      </c>
      <c r="DT46">
        <v>1784117700000</v>
      </c>
      <c r="DU46">
        <v>880</v>
      </c>
      <c r="DW46">
        <v>1784117700000</v>
      </c>
      <c r="DX46">
        <v>52</v>
      </c>
      <c r="DZ46">
        <v>1784117700000</v>
      </c>
      <c r="EA46">
        <v>120</v>
      </c>
      <c r="EC46">
        <v>1784117700000</v>
      </c>
      <c r="ED46">
        <v>72</v>
      </c>
      <c r="EF46">
        <v>1784117700000</v>
      </c>
      <c r="EG46">
        <v>1032</v>
      </c>
      <c r="EI46">
        <v>1784117700000</v>
      </c>
      <c r="EJ46">
        <v>160</v>
      </c>
      <c r="EL46">
        <v>1784117700000</v>
      </c>
      <c r="EM46">
        <v>144</v>
      </c>
      <c r="EN46" s="6"/>
    </row>
    <row r="47" spans="1:144">
      <c r="A47">
        <v>1777984200000</v>
      </c>
      <c r="B47">
        <v>84</v>
      </c>
      <c r="D47">
        <v>1777984200000</v>
      </c>
      <c r="E47">
        <v>1640</v>
      </c>
      <c r="G47">
        <v>1777984200000</v>
      </c>
      <c r="H47">
        <v>40</v>
      </c>
      <c r="J47">
        <v>1777984200000</v>
      </c>
      <c r="K47">
        <v>204</v>
      </c>
      <c r="M47">
        <v>1777984200000</v>
      </c>
      <c r="N47">
        <v>44</v>
      </c>
      <c r="P47">
        <v>1777984200000</v>
      </c>
      <c r="Q47">
        <v>2092</v>
      </c>
      <c r="S47">
        <v>1777984200000</v>
      </c>
      <c r="T47">
        <v>72</v>
      </c>
      <c r="V47">
        <v>1777984200000</v>
      </c>
      <c r="W47">
        <v>76</v>
      </c>
      <c r="X47" s="6"/>
      <c r="Y47">
        <v>1778070600000</v>
      </c>
      <c r="Z47">
        <v>0</v>
      </c>
      <c r="AB47">
        <v>1778070600000</v>
      </c>
      <c r="AC47">
        <v>1872</v>
      </c>
      <c r="AE47">
        <v>1778070600000</v>
      </c>
      <c r="AF47">
        <v>24</v>
      </c>
      <c r="AH47">
        <v>1778070600000</v>
      </c>
      <c r="AI47">
        <v>216</v>
      </c>
      <c r="AK47">
        <v>1778070600000</v>
      </c>
      <c r="AL47">
        <v>48</v>
      </c>
      <c r="AN47">
        <v>1778070600000</v>
      </c>
      <c r="AO47">
        <v>2016</v>
      </c>
      <c r="AQ47">
        <v>1778070600000</v>
      </c>
      <c r="AR47">
        <v>60</v>
      </c>
      <c r="AT47">
        <v>1778070600000</v>
      </c>
      <c r="AU47">
        <v>92</v>
      </c>
      <c r="AV47" s="6"/>
      <c r="AW47">
        <v>1779107400000</v>
      </c>
      <c r="AX47">
        <v>20</v>
      </c>
      <c r="AZ47">
        <v>1779107400000</v>
      </c>
      <c r="BA47">
        <v>1416</v>
      </c>
      <c r="BC47">
        <v>1779107400000</v>
      </c>
      <c r="BD47">
        <v>32</v>
      </c>
      <c r="BF47">
        <v>1779107400000</v>
      </c>
      <c r="BG47">
        <v>184</v>
      </c>
      <c r="BI47">
        <v>1779107400000</v>
      </c>
      <c r="BJ47">
        <v>60</v>
      </c>
      <c r="BL47">
        <v>1779107400000</v>
      </c>
      <c r="BM47">
        <v>2400</v>
      </c>
      <c r="BO47">
        <v>1779107400000</v>
      </c>
      <c r="BP47">
        <v>96</v>
      </c>
      <c r="BR47">
        <v>1779107400000</v>
      </c>
      <c r="BS47">
        <v>156</v>
      </c>
      <c r="BT47" s="6"/>
      <c r="BU47">
        <v>1782217800000</v>
      </c>
      <c r="BV47">
        <v>116</v>
      </c>
      <c r="BX47">
        <v>1782217800000</v>
      </c>
      <c r="BY47">
        <v>1424</v>
      </c>
      <c r="CA47">
        <v>1782217800000</v>
      </c>
      <c r="CB47">
        <v>52</v>
      </c>
      <c r="CD47">
        <v>1782217800000</v>
      </c>
      <c r="CE47">
        <v>252</v>
      </c>
      <c r="CG47">
        <v>1782217800000</v>
      </c>
      <c r="CH47">
        <v>64</v>
      </c>
      <c r="CJ47">
        <v>1782217800000</v>
      </c>
      <c r="CK47">
        <v>1908</v>
      </c>
      <c r="CM47">
        <v>1782217800000</v>
      </c>
      <c r="CN47">
        <v>132</v>
      </c>
      <c r="CP47">
        <v>1782217800000</v>
      </c>
      <c r="CQ47">
        <v>104</v>
      </c>
      <c r="CR47" s="6"/>
      <c r="CS47">
        <v>1784032200000</v>
      </c>
      <c r="CT47">
        <v>64</v>
      </c>
      <c r="CV47">
        <v>1784032200000</v>
      </c>
      <c r="CW47">
        <v>1052</v>
      </c>
      <c r="CY47">
        <v>1784032200000</v>
      </c>
      <c r="CZ47">
        <v>24</v>
      </c>
      <c r="DB47">
        <v>1784032200000</v>
      </c>
      <c r="DC47">
        <v>172</v>
      </c>
      <c r="DE47">
        <v>1784032200000</v>
      </c>
      <c r="DF47">
        <v>60</v>
      </c>
      <c r="DH47">
        <v>1784032200000</v>
      </c>
      <c r="DI47">
        <v>1344</v>
      </c>
      <c r="DK47">
        <v>1784032200000</v>
      </c>
      <c r="DL47">
        <v>100</v>
      </c>
      <c r="DN47">
        <v>1784032200000</v>
      </c>
      <c r="DO47">
        <v>128</v>
      </c>
      <c r="DP47" s="6"/>
      <c r="DQ47">
        <v>1784118600000</v>
      </c>
      <c r="DR47">
        <v>44</v>
      </c>
      <c r="DT47">
        <v>1784118600000</v>
      </c>
      <c r="DU47">
        <v>1044</v>
      </c>
      <c r="DW47">
        <v>1784118600000</v>
      </c>
      <c r="DX47">
        <v>16</v>
      </c>
      <c r="DZ47">
        <v>1784118600000</v>
      </c>
      <c r="EA47">
        <v>152</v>
      </c>
      <c r="EC47">
        <v>1784118600000</v>
      </c>
      <c r="ED47">
        <v>64</v>
      </c>
      <c r="EF47">
        <v>1784118600000</v>
      </c>
      <c r="EG47">
        <v>1360</v>
      </c>
      <c r="EI47">
        <v>1784118600000</v>
      </c>
      <c r="EJ47">
        <v>216</v>
      </c>
      <c r="EL47">
        <v>1784118600000</v>
      </c>
      <c r="EM47">
        <v>136</v>
      </c>
      <c r="EN47" s="6"/>
    </row>
    <row r="48" spans="1:144">
      <c r="A48">
        <v>1777985100000</v>
      </c>
      <c r="B48">
        <v>204</v>
      </c>
      <c r="D48">
        <v>1777985100000</v>
      </c>
      <c r="E48">
        <v>1848</v>
      </c>
      <c r="G48">
        <v>1777985100000</v>
      </c>
      <c r="H48">
        <v>48</v>
      </c>
      <c r="J48">
        <v>1777985100000</v>
      </c>
      <c r="K48">
        <v>312</v>
      </c>
      <c r="M48">
        <v>1777985100000</v>
      </c>
      <c r="N48">
        <v>52</v>
      </c>
      <c r="P48">
        <v>1777985100000</v>
      </c>
      <c r="Q48">
        <v>2272</v>
      </c>
      <c r="S48">
        <v>1777985100000</v>
      </c>
      <c r="T48">
        <v>116</v>
      </c>
      <c r="V48">
        <v>1777985100000</v>
      </c>
      <c r="W48">
        <v>140</v>
      </c>
      <c r="X48" s="6"/>
      <c r="Y48">
        <v>1778071500000</v>
      </c>
      <c r="Z48">
        <v>192</v>
      </c>
      <c r="AB48">
        <v>1778071500000</v>
      </c>
      <c r="AC48">
        <v>1976</v>
      </c>
      <c r="AE48">
        <v>1778071500000</v>
      </c>
      <c r="AF48">
        <v>40</v>
      </c>
      <c r="AH48">
        <v>1778071500000</v>
      </c>
      <c r="AI48">
        <v>288</v>
      </c>
      <c r="AK48">
        <v>1778071500000</v>
      </c>
      <c r="AL48">
        <v>68</v>
      </c>
      <c r="AN48">
        <v>1778071500000</v>
      </c>
      <c r="AO48">
        <v>2148</v>
      </c>
      <c r="AQ48">
        <v>1778071500000</v>
      </c>
      <c r="AR48">
        <v>140</v>
      </c>
      <c r="AT48">
        <v>1778071500000</v>
      </c>
      <c r="AU48">
        <v>120</v>
      </c>
      <c r="AV48" s="6"/>
      <c r="AW48">
        <v>1779108300000</v>
      </c>
      <c r="AX48">
        <v>64</v>
      </c>
      <c r="AZ48">
        <v>1779108300000</v>
      </c>
      <c r="BA48">
        <v>1664</v>
      </c>
      <c r="BC48">
        <v>1779108300000</v>
      </c>
      <c r="BD48">
        <v>32</v>
      </c>
      <c r="BF48">
        <v>1779108300000</v>
      </c>
      <c r="BG48">
        <v>228</v>
      </c>
      <c r="BI48">
        <v>1779108300000</v>
      </c>
      <c r="BJ48">
        <v>48</v>
      </c>
      <c r="BL48">
        <v>1779108300000</v>
      </c>
      <c r="BM48">
        <v>2352</v>
      </c>
      <c r="BO48">
        <v>1779108300000</v>
      </c>
      <c r="BP48">
        <v>72</v>
      </c>
      <c r="BR48">
        <v>1779108300000</v>
      </c>
      <c r="BS48">
        <v>108</v>
      </c>
      <c r="BT48" s="6"/>
      <c r="BU48">
        <v>1782218700000</v>
      </c>
      <c r="BV48">
        <v>300</v>
      </c>
      <c r="BX48">
        <v>1782218700000</v>
      </c>
      <c r="BY48">
        <v>1336</v>
      </c>
      <c r="CA48">
        <v>1782218700000</v>
      </c>
      <c r="CB48">
        <v>92</v>
      </c>
      <c r="CD48">
        <v>1782218700000</v>
      </c>
      <c r="CE48">
        <v>272</v>
      </c>
      <c r="CG48">
        <v>1782218700000</v>
      </c>
      <c r="CH48">
        <v>64</v>
      </c>
      <c r="CJ48">
        <v>1782218700000</v>
      </c>
      <c r="CK48">
        <v>2012</v>
      </c>
      <c r="CM48">
        <v>1782218700000</v>
      </c>
      <c r="CN48">
        <v>76</v>
      </c>
      <c r="CP48">
        <v>1782218700000</v>
      </c>
      <c r="CQ48">
        <v>124</v>
      </c>
      <c r="CR48" s="6"/>
      <c r="CS48">
        <v>1784033100000</v>
      </c>
      <c r="CT48">
        <v>100</v>
      </c>
      <c r="CV48">
        <v>1784033100000</v>
      </c>
      <c r="CW48">
        <v>964</v>
      </c>
      <c r="CY48">
        <v>1784033100000</v>
      </c>
      <c r="CZ48">
        <v>36</v>
      </c>
      <c r="DB48">
        <v>1784033100000</v>
      </c>
      <c r="DC48">
        <v>144</v>
      </c>
      <c r="DE48">
        <v>1784033100000</v>
      </c>
      <c r="DF48">
        <v>52</v>
      </c>
      <c r="DH48">
        <v>1784033100000</v>
      </c>
      <c r="DI48">
        <v>1376</v>
      </c>
      <c r="DK48">
        <v>1784033100000</v>
      </c>
      <c r="DL48">
        <v>168</v>
      </c>
      <c r="DN48">
        <v>1784033100000</v>
      </c>
      <c r="DO48">
        <v>116</v>
      </c>
      <c r="DP48" s="6"/>
      <c r="DQ48">
        <v>1784119500000</v>
      </c>
      <c r="DR48">
        <v>212</v>
      </c>
      <c r="DT48">
        <v>1784119500000</v>
      </c>
      <c r="DU48">
        <v>1288</v>
      </c>
      <c r="DW48">
        <v>1784119500000</v>
      </c>
      <c r="DX48">
        <v>36</v>
      </c>
      <c r="DZ48">
        <v>1784119500000</v>
      </c>
      <c r="EA48">
        <v>204</v>
      </c>
      <c r="EC48">
        <v>1784119500000</v>
      </c>
      <c r="ED48">
        <v>44</v>
      </c>
      <c r="EF48">
        <v>1784119500000</v>
      </c>
      <c r="EG48">
        <v>1420</v>
      </c>
      <c r="EI48">
        <v>1784119500000</v>
      </c>
      <c r="EJ48">
        <v>76</v>
      </c>
      <c r="EL48">
        <v>1784119500000</v>
      </c>
      <c r="EM48">
        <v>160</v>
      </c>
      <c r="EN48" s="6"/>
    </row>
    <row r="49" spans="1:144">
      <c r="A49">
        <v>1777986000000</v>
      </c>
      <c r="B49">
        <v>120</v>
      </c>
      <c r="D49">
        <v>1777986000000</v>
      </c>
      <c r="E49">
        <v>1612</v>
      </c>
      <c r="G49">
        <v>1777986000000</v>
      </c>
      <c r="H49">
        <v>52</v>
      </c>
      <c r="J49">
        <v>1777986000000</v>
      </c>
      <c r="K49">
        <v>268</v>
      </c>
      <c r="M49">
        <v>1777986000000</v>
      </c>
      <c r="N49">
        <v>52</v>
      </c>
      <c r="P49">
        <v>1777986000000</v>
      </c>
      <c r="Q49">
        <v>2028</v>
      </c>
      <c r="S49">
        <v>1777986000000</v>
      </c>
      <c r="T49">
        <v>128</v>
      </c>
      <c r="V49">
        <v>1777986000000</v>
      </c>
      <c r="W49">
        <v>100</v>
      </c>
      <c r="X49" s="6"/>
      <c r="Y49">
        <v>1778072400000</v>
      </c>
      <c r="Z49">
        <v>100</v>
      </c>
      <c r="AB49">
        <v>1778072400000</v>
      </c>
      <c r="AC49">
        <v>1768</v>
      </c>
      <c r="AE49">
        <v>1778072400000</v>
      </c>
      <c r="AF49">
        <v>48</v>
      </c>
      <c r="AH49">
        <v>1778072400000</v>
      </c>
      <c r="AI49">
        <v>244</v>
      </c>
      <c r="AK49">
        <v>1778072400000</v>
      </c>
      <c r="AL49">
        <v>48</v>
      </c>
      <c r="AN49">
        <v>1778072400000</v>
      </c>
      <c r="AO49">
        <v>2172</v>
      </c>
      <c r="AQ49">
        <v>1778072400000</v>
      </c>
      <c r="AR49">
        <v>92</v>
      </c>
      <c r="AT49">
        <v>1778072400000</v>
      </c>
      <c r="AU49">
        <v>140</v>
      </c>
      <c r="AV49" s="6"/>
      <c r="AW49">
        <v>1779109200000</v>
      </c>
      <c r="AX49">
        <v>224</v>
      </c>
      <c r="AZ49">
        <v>1779109200000</v>
      </c>
      <c r="BA49">
        <v>1628</v>
      </c>
      <c r="BC49">
        <v>1779109200000</v>
      </c>
      <c r="BD49">
        <v>60</v>
      </c>
      <c r="BF49">
        <v>1779109200000</v>
      </c>
      <c r="BG49">
        <v>296</v>
      </c>
      <c r="BI49">
        <v>1779109200000</v>
      </c>
      <c r="BJ49">
        <v>48</v>
      </c>
      <c r="BL49">
        <v>1779109200000</v>
      </c>
      <c r="BM49">
        <v>1956</v>
      </c>
      <c r="BO49">
        <v>1779109200000</v>
      </c>
      <c r="BP49">
        <v>48</v>
      </c>
      <c r="BR49">
        <v>1779109200000</v>
      </c>
      <c r="BS49">
        <v>116</v>
      </c>
      <c r="BT49" s="6"/>
      <c r="BU49">
        <v>1782219600000</v>
      </c>
      <c r="BV49">
        <v>84</v>
      </c>
      <c r="BX49">
        <v>1782219600000</v>
      </c>
      <c r="BY49">
        <v>1112</v>
      </c>
      <c r="CA49">
        <v>1782219600000</v>
      </c>
      <c r="CB49">
        <v>40</v>
      </c>
      <c r="CD49">
        <v>1782219600000</v>
      </c>
      <c r="CE49">
        <v>280</v>
      </c>
      <c r="CG49">
        <v>1782219600000</v>
      </c>
      <c r="CH49">
        <v>48</v>
      </c>
      <c r="CJ49">
        <v>1782219600000</v>
      </c>
      <c r="CK49">
        <v>1708</v>
      </c>
      <c r="CM49">
        <v>1782219600000</v>
      </c>
      <c r="CN49">
        <v>60</v>
      </c>
      <c r="CP49">
        <v>1782219600000</v>
      </c>
      <c r="CQ49">
        <v>144</v>
      </c>
      <c r="CR49" s="6"/>
      <c r="CS49">
        <v>1784034000000</v>
      </c>
      <c r="CT49">
        <v>108</v>
      </c>
      <c r="CV49">
        <v>1784034000000</v>
      </c>
      <c r="CW49">
        <v>1000</v>
      </c>
      <c r="CY49">
        <v>1784034000000</v>
      </c>
      <c r="CZ49">
        <v>16</v>
      </c>
      <c r="DB49">
        <v>1784034000000</v>
      </c>
      <c r="DC49">
        <v>172</v>
      </c>
      <c r="DE49">
        <v>1784034000000</v>
      </c>
      <c r="DF49">
        <v>56</v>
      </c>
      <c r="DH49">
        <v>1784034000000</v>
      </c>
      <c r="DI49">
        <v>1468</v>
      </c>
      <c r="DK49">
        <v>1784034000000</v>
      </c>
      <c r="DL49">
        <v>132</v>
      </c>
      <c r="DN49">
        <v>1784034000000</v>
      </c>
      <c r="DO49">
        <v>148</v>
      </c>
      <c r="DP49" s="6"/>
      <c r="DQ49">
        <v>1784120400000</v>
      </c>
      <c r="DR49">
        <v>304</v>
      </c>
      <c r="DT49">
        <v>1784120400000</v>
      </c>
      <c r="DU49">
        <v>912</v>
      </c>
      <c r="DW49">
        <v>1784120400000</v>
      </c>
      <c r="DX49">
        <v>28</v>
      </c>
      <c r="DZ49">
        <v>1784120400000</v>
      </c>
      <c r="EA49">
        <v>180</v>
      </c>
      <c r="EC49">
        <v>1784120400000</v>
      </c>
      <c r="ED49">
        <v>32</v>
      </c>
      <c r="EF49">
        <v>1784120400000</v>
      </c>
      <c r="EG49">
        <v>1060</v>
      </c>
      <c r="EI49">
        <v>1784120400000</v>
      </c>
      <c r="EJ49">
        <v>136</v>
      </c>
      <c r="EL49">
        <v>1784120400000</v>
      </c>
      <c r="EM49">
        <v>104</v>
      </c>
      <c r="EN49" s="6"/>
    </row>
    <row r="50" spans="1:144">
      <c r="A50">
        <v>1777986900000</v>
      </c>
      <c r="B50">
        <v>188</v>
      </c>
      <c r="D50">
        <v>1777986900000</v>
      </c>
      <c r="E50">
        <v>1964</v>
      </c>
      <c r="G50">
        <v>1777986900000</v>
      </c>
      <c r="H50">
        <v>52</v>
      </c>
      <c r="J50">
        <v>1777986900000</v>
      </c>
      <c r="K50">
        <v>368</v>
      </c>
      <c r="M50">
        <v>1777986900000</v>
      </c>
      <c r="N50">
        <v>64</v>
      </c>
      <c r="P50">
        <v>1777986900000</v>
      </c>
      <c r="Q50">
        <v>2380</v>
      </c>
      <c r="S50">
        <v>1777986900000</v>
      </c>
      <c r="T50">
        <v>112</v>
      </c>
      <c r="V50">
        <v>1777986900000</v>
      </c>
      <c r="W50">
        <v>184</v>
      </c>
      <c r="X50" s="6"/>
      <c r="Y50">
        <v>1778073300000</v>
      </c>
      <c r="Z50">
        <v>200</v>
      </c>
      <c r="AB50">
        <v>1778073300000</v>
      </c>
      <c r="AC50">
        <v>1848</v>
      </c>
      <c r="AE50">
        <v>1778073300000</v>
      </c>
      <c r="AF50">
        <v>56</v>
      </c>
      <c r="AH50">
        <v>1778073300000</v>
      </c>
      <c r="AI50">
        <v>316</v>
      </c>
      <c r="AK50">
        <v>1778073300000</v>
      </c>
      <c r="AL50">
        <v>48</v>
      </c>
      <c r="AN50">
        <v>1778073300000</v>
      </c>
      <c r="AO50">
        <v>2248</v>
      </c>
      <c r="AQ50">
        <v>1778073300000</v>
      </c>
      <c r="AR50">
        <v>92</v>
      </c>
      <c r="AT50">
        <v>1778073300000</v>
      </c>
      <c r="AU50">
        <v>120</v>
      </c>
      <c r="AV50" s="6"/>
      <c r="AW50">
        <v>1779110100000</v>
      </c>
      <c r="AX50">
        <v>176</v>
      </c>
      <c r="AZ50">
        <v>1779110100000</v>
      </c>
      <c r="BA50">
        <v>1604</v>
      </c>
      <c r="BC50">
        <v>1779110100000</v>
      </c>
      <c r="BD50">
        <v>36</v>
      </c>
      <c r="BF50">
        <v>1779110100000</v>
      </c>
      <c r="BG50">
        <v>332</v>
      </c>
      <c r="BI50">
        <v>1779110100000</v>
      </c>
      <c r="BJ50">
        <v>32</v>
      </c>
      <c r="BL50">
        <v>1779110100000</v>
      </c>
      <c r="BM50">
        <v>2280</v>
      </c>
      <c r="BO50">
        <v>1779110100000</v>
      </c>
      <c r="BP50">
        <v>68</v>
      </c>
      <c r="BR50">
        <v>1779110100000</v>
      </c>
      <c r="BS50">
        <v>140</v>
      </c>
      <c r="BT50" s="6"/>
      <c r="BU50">
        <v>1782220500000</v>
      </c>
      <c r="BV50">
        <v>188</v>
      </c>
      <c r="BX50">
        <v>1782220500000</v>
      </c>
      <c r="BY50">
        <v>1156</v>
      </c>
      <c r="CA50">
        <v>1782220500000</v>
      </c>
      <c r="CB50">
        <v>56</v>
      </c>
      <c r="CD50">
        <v>1782220500000</v>
      </c>
      <c r="CE50">
        <v>268</v>
      </c>
      <c r="CG50">
        <v>1782220500000</v>
      </c>
      <c r="CH50">
        <v>48</v>
      </c>
      <c r="CJ50">
        <v>1782220500000</v>
      </c>
      <c r="CK50">
        <v>1652</v>
      </c>
      <c r="CM50">
        <v>1782220500000</v>
      </c>
      <c r="CN50">
        <v>100</v>
      </c>
      <c r="CP50">
        <v>1782220500000</v>
      </c>
      <c r="CQ50">
        <v>104</v>
      </c>
      <c r="CR50" s="6"/>
      <c r="CS50">
        <v>1784034900000</v>
      </c>
      <c r="CT50">
        <v>200</v>
      </c>
      <c r="CV50">
        <v>1784034900000</v>
      </c>
      <c r="CW50">
        <v>1068</v>
      </c>
      <c r="CY50">
        <v>1784034900000</v>
      </c>
      <c r="CZ50">
        <v>48</v>
      </c>
      <c r="DB50">
        <v>1784034900000</v>
      </c>
      <c r="DC50">
        <v>276</v>
      </c>
      <c r="DE50">
        <v>1784034900000</v>
      </c>
      <c r="DF50">
        <v>76</v>
      </c>
      <c r="DH50">
        <v>1784034900000</v>
      </c>
      <c r="DI50">
        <v>1428</v>
      </c>
      <c r="DK50">
        <v>1784034900000</v>
      </c>
      <c r="DL50">
        <v>192</v>
      </c>
      <c r="DN50">
        <v>1784034900000</v>
      </c>
      <c r="DO50">
        <v>96</v>
      </c>
      <c r="DP50" s="6"/>
      <c r="DQ50">
        <v>1784121300000</v>
      </c>
      <c r="DR50">
        <v>80</v>
      </c>
      <c r="DT50">
        <v>1784121300000</v>
      </c>
      <c r="DU50">
        <v>1172</v>
      </c>
      <c r="DW50">
        <v>1784121300000</v>
      </c>
      <c r="DX50">
        <v>32</v>
      </c>
      <c r="DZ50">
        <v>1784121300000</v>
      </c>
      <c r="EA50">
        <v>308</v>
      </c>
      <c r="EC50">
        <v>1784121300000</v>
      </c>
      <c r="ED50">
        <v>52</v>
      </c>
      <c r="EF50">
        <v>1784121300000</v>
      </c>
      <c r="EG50">
        <v>1604</v>
      </c>
      <c r="EI50">
        <v>1784121300000</v>
      </c>
      <c r="EJ50">
        <v>140</v>
      </c>
      <c r="EL50">
        <v>1784121300000</v>
      </c>
      <c r="EM50">
        <v>160</v>
      </c>
      <c r="EN50" s="6"/>
    </row>
    <row r="51" spans="1:144">
      <c r="A51">
        <v>1777987800000</v>
      </c>
      <c r="B51">
        <v>144</v>
      </c>
      <c r="D51">
        <v>1777987800000</v>
      </c>
      <c r="E51">
        <v>1748</v>
      </c>
      <c r="G51">
        <v>1777987800000</v>
      </c>
      <c r="H51">
        <v>60</v>
      </c>
      <c r="J51">
        <v>1777987800000</v>
      </c>
      <c r="K51">
        <v>472</v>
      </c>
      <c r="M51">
        <v>1777987800000</v>
      </c>
      <c r="N51">
        <v>40</v>
      </c>
      <c r="P51">
        <v>1777987800000</v>
      </c>
      <c r="Q51">
        <v>2340</v>
      </c>
      <c r="S51">
        <v>1777987800000</v>
      </c>
      <c r="T51">
        <v>192</v>
      </c>
      <c r="V51">
        <v>1777987800000</v>
      </c>
      <c r="W51">
        <v>140</v>
      </c>
      <c r="X51" s="6"/>
      <c r="Y51">
        <v>1778074200000</v>
      </c>
      <c r="Z51">
        <v>264</v>
      </c>
      <c r="AB51">
        <v>1778074200000</v>
      </c>
      <c r="AC51">
        <v>1976</v>
      </c>
      <c r="AE51">
        <v>1778074200000</v>
      </c>
      <c r="AF51">
        <v>44</v>
      </c>
      <c r="AH51">
        <v>1778074200000</v>
      </c>
      <c r="AI51">
        <v>360</v>
      </c>
      <c r="AK51">
        <v>1778074200000</v>
      </c>
      <c r="AL51">
        <v>48</v>
      </c>
      <c r="AN51">
        <v>1778074200000</v>
      </c>
      <c r="AO51">
        <v>2392</v>
      </c>
      <c r="AQ51">
        <v>1778074200000</v>
      </c>
      <c r="AR51">
        <v>76</v>
      </c>
      <c r="AT51">
        <v>1778074200000</v>
      </c>
      <c r="AU51">
        <v>156</v>
      </c>
      <c r="AV51" s="6"/>
      <c r="AW51">
        <v>1779111000000</v>
      </c>
      <c r="AX51">
        <v>120</v>
      </c>
      <c r="AZ51">
        <v>1779111000000</v>
      </c>
      <c r="BA51">
        <v>1912</v>
      </c>
      <c r="BC51">
        <v>1779111000000</v>
      </c>
      <c r="BD51">
        <v>104</v>
      </c>
      <c r="BF51">
        <v>1779111000000</v>
      </c>
      <c r="BG51">
        <v>304</v>
      </c>
      <c r="BI51">
        <v>1779111000000</v>
      </c>
      <c r="BJ51">
        <v>48</v>
      </c>
      <c r="BL51">
        <v>1779111000000</v>
      </c>
      <c r="BM51">
        <v>2504</v>
      </c>
      <c r="BO51">
        <v>1779111000000</v>
      </c>
      <c r="BP51">
        <v>80</v>
      </c>
      <c r="BR51">
        <v>1779111000000</v>
      </c>
      <c r="BS51">
        <v>104</v>
      </c>
      <c r="BT51" s="6"/>
      <c r="BU51">
        <v>1782221400000</v>
      </c>
      <c r="BV51">
        <v>180</v>
      </c>
      <c r="BX51">
        <v>1782221400000</v>
      </c>
      <c r="BY51">
        <v>1384</v>
      </c>
      <c r="CA51">
        <v>1782221400000</v>
      </c>
      <c r="CB51">
        <v>68</v>
      </c>
      <c r="CD51">
        <v>1782221400000</v>
      </c>
      <c r="CE51">
        <v>268</v>
      </c>
      <c r="CG51">
        <v>1782221400000</v>
      </c>
      <c r="CH51">
        <v>40</v>
      </c>
      <c r="CJ51">
        <v>1782221400000</v>
      </c>
      <c r="CK51">
        <v>1780</v>
      </c>
      <c r="CM51">
        <v>1782221400000</v>
      </c>
      <c r="CN51">
        <v>80</v>
      </c>
      <c r="CP51">
        <v>1782221400000</v>
      </c>
      <c r="CQ51">
        <v>152</v>
      </c>
      <c r="CR51" s="6"/>
      <c r="CS51">
        <v>1784035800000</v>
      </c>
      <c r="CT51">
        <v>236</v>
      </c>
      <c r="CV51">
        <v>1784035800000</v>
      </c>
      <c r="CW51">
        <v>1060</v>
      </c>
      <c r="CY51">
        <v>1784035800000</v>
      </c>
      <c r="CZ51">
        <v>52</v>
      </c>
      <c r="DB51">
        <v>1784035800000</v>
      </c>
      <c r="DC51">
        <v>232</v>
      </c>
      <c r="DE51">
        <v>1784035800000</v>
      </c>
      <c r="DF51">
        <v>68</v>
      </c>
      <c r="DH51">
        <v>1784035800000</v>
      </c>
      <c r="DI51">
        <v>1664</v>
      </c>
      <c r="DK51">
        <v>1784035800000</v>
      </c>
      <c r="DL51">
        <v>152</v>
      </c>
      <c r="DN51">
        <v>1784035800000</v>
      </c>
      <c r="DO51">
        <v>164</v>
      </c>
      <c r="DP51" s="6"/>
      <c r="DQ51">
        <v>1784122200000</v>
      </c>
      <c r="DR51">
        <v>104</v>
      </c>
      <c r="DT51">
        <v>1784122200000</v>
      </c>
      <c r="DU51">
        <v>1032</v>
      </c>
      <c r="DW51">
        <v>1784122200000</v>
      </c>
      <c r="DX51">
        <v>36</v>
      </c>
      <c r="DZ51">
        <v>1784122200000</v>
      </c>
      <c r="EA51">
        <v>280</v>
      </c>
      <c r="EC51">
        <v>1784122200000</v>
      </c>
      <c r="ED51">
        <v>48</v>
      </c>
      <c r="EF51">
        <v>1784122200000</v>
      </c>
      <c r="EG51">
        <v>1380</v>
      </c>
      <c r="EI51">
        <v>1784122200000</v>
      </c>
      <c r="EJ51">
        <v>148</v>
      </c>
      <c r="EL51">
        <v>1784122200000</v>
      </c>
      <c r="EM51">
        <v>72</v>
      </c>
      <c r="EN51" s="6"/>
    </row>
    <row r="52" spans="1:144">
      <c r="A52">
        <v>1777988700000</v>
      </c>
      <c r="B52">
        <v>184</v>
      </c>
      <c r="D52">
        <v>1777988700000</v>
      </c>
      <c r="E52">
        <v>1536</v>
      </c>
      <c r="G52">
        <v>1777988700000</v>
      </c>
      <c r="H52">
        <v>68</v>
      </c>
      <c r="J52">
        <v>1777988700000</v>
      </c>
      <c r="K52">
        <v>416</v>
      </c>
      <c r="M52">
        <v>1777988700000</v>
      </c>
      <c r="N52">
        <v>44</v>
      </c>
      <c r="P52">
        <v>1777988700000</v>
      </c>
      <c r="Q52">
        <v>3036</v>
      </c>
      <c r="S52">
        <v>1777988700000</v>
      </c>
      <c r="T52">
        <v>184</v>
      </c>
      <c r="V52">
        <v>1777988700000</v>
      </c>
      <c r="W52">
        <v>208</v>
      </c>
      <c r="X52" s="6"/>
      <c r="Y52">
        <v>1778075100000</v>
      </c>
      <c r="Z52">
        <v>184</v>
      </c>
      <c r="AB52">
        <v>1778075100000</v>
      </c>
      <c r="AC52">
        <v>2312</v>
      </c>
      <c r="AE52">
        <v>1778075100000</v>
      </c>
      <c r="AF52">
        <v>80</v>
      </c>
      <c r="AH52">
        <v>1778075100000</v>
      </c>
      <c r="AI52">
        <v>484</v>
      </c>
      <c r="AK52">
        <v>1778075100000</v>
      </c>
      <c r="AL52">
        <v>64</v>
      </c>
      <c r="AN52">
        <v>1778075100000</v>
      </c>
      <c r="AO52">
        <v>2748</v>
      </c>
      <c r="AQ52">
        <v>1778075100000</v>
      </c>
      <c r="AR52">
        <v>188</v>
      </c>
      <c r="AT52">
        <v>1778075100000</v>
      </c>
      <c r="AU52">
        <v>208</v>
      </c>
      <c r="AV52" s="6"/>
      <c r="AW52">
        <v>1779111900000</v>
      </c>
      <c r="AX52">
        <v>216</v>
      </c>
      <c r="AZ52">
        <v>1779111900000</v>
      </c>
      <c r="BA52">
        <v>2288</v>
      </c>
      <c r="BC52">
        <v>1779111900000</v>
      </c>
      <c r="BD52">
        <v>88</v>
      </c>
      <c r="BF52">
        <v>1779111900000</v>
      </c>
      <c r="BG52">
        <v>544</v>
      </c>
      <c r="BI52">
        <v>1779111900000</v>
      </c>
      <c r="BJ52">
        <v>76</v>
      </c>
      <c r="BL52">
        <v>1779111900000</v>
      </c>
      <c r="BM52">
        <v>2892</v>
      </c>
      <c r="BO52">
        <v>1779111900000</v>
      </c>
      <c r="BP52">
        <v>92</v>
      </c>
      <c r="BR52">
        <v>1779111900000</v>
      </c>
      <c r="BS52">
        <v>204</v>
      </c>
      <c r="BT52" s="6"/>
      <c r="BU52">
        <v>1782222300000</v>
      </c>
      <c r="BV52">
        <v>248</v>
      </c>
      <c r="BX52">
        <v>1782222300000</v>
      </c>
      <c r="BY52">
        <v>1608</v>
      </c>
      <c r="CA52">
        <v>1782222300000</v>
      </c>
      <c r="CB52">
        <v>72</v>
      </c>
      <c r="CD52">
        <v>1782222300000</v>
      </c>
      <c r="CE52">
        <v>428</v>
      </c>
      <c r="CG52">
        <v>1782222300000</v>
      </c>
      <c r="CH52">
        <v>56</v>
      </c>
      <c r="CJ52">
        <v>1782222300000</v>
      </c>
      <c r="CK52">
        <v>2160</v>
      </c>
      <c r="CM52">
        <v>1782222300000</v>
      </c>
      <c r="CN52">
        <v>128</v>
      </c>
      <c r="CP52">
        <v>1782222300000</v>
      </c>
      <c r="CQ52">
        <v>156</v>
      </c>
      <c r="CR52" s="6"/>
      <c r="CS52">
        <v>1784036700000</v>
      </c>
      <c r="CT52">
        <v>148</v>
      </c>
      <c r="CV52">
        <v>1784036700000</v>
      </c>
      <c r="CW52">
        <v>1308</v>
      </c>
      <c r="CY52">
        <v>1784036700000</v>
      </c>
      <c r="CZ52">
        <v>124</v>
      </c>
      <c r="DB52">
        <v>1784036700000</v>
      </c>
      <c r="DC52">
        <v>348</v>
      </c>
      <c r="DE52">
        <v>1784036700000</v>
      </c>
      <c r="DF52">
        <v>60</v>
      </c>
      <c r="DH52">
        <v>1784036700000</v>
      </c>
      <c r="DI52">
        <v>1784</v>
      </c>
      <c r="DK52">
        <v>1784036700000</v>
      </c>
      <c r="DL52">
        <v>256</v>
      </c>
      <c r="DN52">
        <v>1784036700000</v>
      </c>
      <c r="DO52">
        <v>160</v>
      </c>
      <c r="DP52" s="6"/>
      <c r="DQ52">
        <v>1784123100000</v>
      </c>
      <c r="DR52">
        <v>196</v>
      </c>
      <c r="DT52">
        <v>1784123100000</v>
      </c>
      <c r="DU52">
        <v>1500</v>
      </c>
      <c r="DW52">
        <v>1784123100000</v>
      </c>
      <c r="DX52">
        <v>72</v>
      </c>
      <c r="DZ52">
        <v>1784123100000</v>
      </c>
      <c r="EA52">
        <v>336</v>
      </c>
      <c r="EC52">
        <v>1784123100000</v>
      </c>
      <c r="ED52">
        <v>56</v>
      </c>
      <c r="EF52">
        <v>1784123100000</v>
      </c>
      <c r="EG52">
        <v>1768</v>
      </c>
      <c r="EI52">
        <v>1784123100000</v>
      </c>
      <c r="EJ52">
        <v>156</v>
      </c>
      <c r="EL52">
        <v>1784123100000</v>
      </c>
      <c r="EM52">
        <v>136</v>
      </c>
      <c r="EN52" s="6"/>
    </row>
    <row r="53" spans="1:144">
      <c r="A53">
        <v>1777989600000</v>
      </c>
      <c r="B53">
        <v>148</v>
      </c>
      <c r="D53">
        <v>1777989600000</v>
      </c>
      <c r="E53">
        <v>1668</v>
      </c>
      <c r="G53">
        <v>1777989600000</v>
      </c>
      <c r="H53">
        <v>68</v>
      </c>
      <c r="J53">
        <v>1777989600000</v>
      </c>
      <c r="K53">
        <v>360</v>
      </c>
      <c r="M53">
        <v>1777989600000</v>
      </c>
      <c r="N53">
        <v>72</v>
      </c>
      <c r="P53">
        <v>1777989600000</v>
      </c>
      <c r="Q53">
        <v>2760</v>
      </c>
      <c r="S53">
        <v>1777989600000</v>
      </c>
      <c r="T53">
        <v>116</v>
      </c>
      <c r="V53">
        <v>1777989600000</v>
      </c>
      <c r="W53">
        <v>148</v>
      </c>
      <c r="X53" s="6"/>
      <c r="Y53">
        <v>1778076000000</v>
      </c>
      <c r="Z53">
        <v>192</v>
      </c>
      <c r="AB53">
        <v>1778076000000</v>
      </c>
      <c r="AC53">
        <v>2284</v>
      </c>
      <c r="AE53">
        <v>1778076000000</v>
      </c>
      <c r="AF53">
        <v>96</v>
      </c>
      <c r="AH53">
        <v>1778076000000</v>
      </c>
      <c r="AI53">
        <v>524</v>
      </c>
      <c r="AK53">
        <v>1778076000000</v>
      </c>
      <c r="AL53">
        <v>92</v>
      </c>
      <c r="AN53">
        <v>1778076000000</v>
      </c>
      <c r="AO53">
        <v>2516</v>
      </c>
      <c r="AQ53">
        <v>1778076000000</v>
      </c>
      <c r="AR53">
        <v>128</v>
      </c>
      <c r="AT53">
        <v>1778076000000</v>
      </c>
      <c r="AU53">
        <v>152</v>
      </c>
      <c r="AV53" s="6"/>
      <c r="AW53">
        <v>1779112800000</v>
      </c>
      <c r="AX53">
        <v>156</v>
      </c>
      <c r="AZ53">
        <v>1779112800000</v>
      </c>
      <c r="BA53">
        <v>2508</v>
      </c>
      <c r="BC53">
        <v>1779112800000</v>
      </c>
      <c r="BD53">
        <v>84</v>
      </c>
      <c r="BF53">
        <v>1779112800000</v>
      </c>
      <c r="BG53">
        <v>432</v>
      </c>
      <c r="BI53">
        <v>1779112800000</v>
      </c>
      <c r="BJ53">
        <v>68</v>
      </c>
      <c r="BL53">
        <v>1779112800000</v>
      </c>
      <c r="BM53">
        <v>2868</v>
      </c>
      <c r="BO53">
        <v>1779112800000</v>
      </c>
      <c r="BP53">
        <v>104</v>
      </c>
      <c r="BR53">
        <v>1779112800000</v>
      </c>
      <c r="BS53">
        <v>184</v>
      </c>
      <c r="BT53" s="6"/>
      <c r="BU53">
        <v>1782223200000</v>
      </c>
      <c r="BV53">
        <v>272</v>
      </c>
      <c r="BX53">
        <v>1782223200000</v>
      </c>
      <c r="BY53">
        <v>1516</v>
      </c>
      <c r="CA53">
        <v>1782223200000</v>
      </c>
      <c r="CB53">
        <v>96</v>
      </c>
      <c r="CD53">
        <v>1782223200000</v>
      </c>
      <c r="CE53">
        <v>344</v>
      </c>
      <c r="CG53">
        <v>1782223200000</v>
      </c>
      <c r="CH53">
        <v>48</v>
      </c>
      <c r="CJ53">
        <v>1782223200000</v>
      </c>
      <c r="CK53">
        <v>2104</v>
      </c>
      <c r="CM53">
        <v>1782223200000</v>
      </c>
      <c r="CN53">
        <v>180</v>
      </c>
      <c r="CP53">
        <v>1782223200000</v>
      </c>
      <c r="CQ53">
        <v>124</v>
      </c>
      <c r="CR53" s="6"/>
      <c r="CS53">
        <v>1784037600000</v>
      </c>
      <c r="CT53">
        <v>212</v>
      </c>
      <c r="CV53">
        <v>1784037600000</v>
      </c>
      <c r="CW53">
        <v>1144</v>
      </c>
      <c r="CY53">
        <v>1784037600000</v>
      </c>
      <c r="CZ53">
        <v>112</v>
      </c>
      <c r="DB53">
        <v>1784037600000</v>
      </c>
      <c r="DC53">
        <v>332</v>
      </c>
      <c r="DE53">
        <v>1784037600000</v>
      </c>
      <c r="DF53">
        <v>120</v>
      </c>
      <c r="DH53">
        <v>1784037600000</v>
      </c>
      <c r="DI53">
        <v>1404</v>
      </c>
      <c r="DK53">
        <v>1784037600000</v>
      </c>
      <c r="DL53">
        <v>116</v>
      </c>
      <c r="DN53">
        <v>1784037600000</v>
      </c>
      <c r="DO53">
        <v>220</v>
      </c>
      <c r="DP53" s="6"/>
      <c r="DQ53">
        <v>1784124000000</v>
      </c>
      <c r="DR53">
        <v>120</v>
      </c>
      <c r="DT53">
        <v>1784124000000</v>
      </c>
      <c r="DU53">
        <v>1260</v>
      </c>
      <c r="DW53">
        <v>1784124000000</v>
      </c>
      <c r="DX53">
        <v>60</v>
      </c>
      <c r="DZ53">
        <v>1784124000000</v>
      </c>
      <c r="EA53">
        <v>408</v>
      </c>
      <c r="EC53">
        <v>1784124000000</v>
      </c>
      <c r="ED53">
        <v>88</v>
      </c>
      <c r="EF53">
        <v>1784124000000</v>
      </c>
      <c r="EG53">
        <v>1152</v>
      </c>
      <c r="EI53">
        <v>1784124000000</v>
      </c>
      <c r="EJ53">
        <v>176</v>
      </c>
      <c r="EL53">
        <v>1784124000000</v>
      </c>
      <c r="EM53">
        <v>136</v>
      </c>
      <c r="EN53" s="6"/>
    </row>
    <row r="54" spans="1:144">
      <c r="A54">
        <v>1777990500000</v>
      </c>
      <c r="B54">
        <v>228</v>
      </c>
      <c r="D54">
        <v>1777990500000</v>
      </c>
      <c r="E54">
        <v>1944</v>
      </c>
      <c r="G54">
        <v>1777990500000</v>
      </c>
      <c r="H54">
        <v>64</v>
      </c>
      <c r="J54">
        <v>1777990500000</v>
      </c>
      <c r="K54">
        <v>636</v>
      </c>
      <c r="M54">
        <v>1777990500000</v>
      </c>
      <c r="N54">
        <v>76</v>
      </c>
      <c r="P54">
        <v>1777990500000</v>
      </c>
      <c r="Q54">
        <v>2436</v>
      </c>
      <c r="S54">
        <v>1777990500000</v>
      </c>
      <c r="T54">
        <v>144</v>
      </c>
      <c r="V54">
        <v>1777990500000</v>
      </c>
      <c r="W54">
        <v>160</v>
      </c>
      <c r="X54" s="6"/>
      <c r="Y54">
        <v>1778076900000</v>
      </c>
      <c r="Z54">
        <v>232</v>
      </c>
      <c r="AB54">
        <v>1778076900000</v>
      </c>
      <c r="AC54">
        <v>2268</v>
      </c>
      <c r="AE54">
        <v>1778076900000</v>
      </c>
      <c r="AF54">
        <v>52</v>
      </c>
      <c r="AH54">
        <v>1778076900000</v>
      </c>
      <c r="AI54">
        <v>464</v>
      </c>
      <c r="AK54">
        <v>1778076900000</v>
      </c>
      <c r="AL54">
        <v>64</v>
      </c>
      <c r="AN54">
        <v>1778076900000</v>
      </c>
      <c r="AO54">
        <v>2480</v>
      </c>
      <c r="AQ54">
        <v>1778076900000</v>
      </c>
      <c r="AR54">
        <v>96</v>
      </c>
      <c r="AT54">
        <v>1778076900000</v>
      </c>
      <c r="AU54">
        <v>176</v>
      </c>
      <c r="AV54" s="6"/>
      <c r="AW54">
        <v>1779113700000</v>
      </c>
      <c r="AX54">
        <v>224</v>
      </c>
      <c r="AZ54">
        <v>1779113700000</v>
      </c>
      <c r="BA54">
        <v>2312</v>
      </c>
      <c r="BC54">
        <v>1779113700000</v>
      </c>
      <c r="BD54">
        <v>136</v>
      </c>
      <c r="BF54">
        <v>1779113700000</v>
      </c>
      <c r="BG54">
        <v>328</v>
      </c>
      <c r="BI54">
        <v>1779113700000</v>
      </c>
      <c r="BJ54">
        <v>72</v>
      </c>
      <c r="BL54">
        <v>1779113700000</v>
      </c>
      <c r="BM54">
        <v>2980</v>
      </c>
      <c r="BO54">
        <v>1779113700000</v>
      </c>
      <c r="BP54">
        <v>96</v>
      </c>
      <c r="BR54">
        <v>1779113700000</v>
      </c>
      <c r="BS54">
        <v>180</v>
      </c>
      <c r="BT54" s="6"/>
      <c r="BU54">
        <v>1782224100000</v>
      </c>
      <c r="BV54">
        <v>308</v>
      </c>
      <c r="BX54">
        <v>1782224100000</v>
      </c>
      <c r="BY54">
        <v>1772</v>
      </c>
      <c r="CA54">
        <v>1782224100000</v>
      </c>
      <c r="CB54">
        <v>128</v>
      </c>
      <c r="CD54">
        <v>1782224100000</v>
      </c>
      <c r="CE54">
        <v>368</v>
      </c>
      <c r="CG54">
        <v>1782224100000</v>
      </c>
      <c r="CH54">
        <v>68</v>
      </c>
      <c r="CJ54">
        <v>1782224100000</v>
      </c>
      <c r="CK54">
        <v>2232</v>
      </c>
      <c r="CM54">
        <v>1782224100000</v>
      </c>
      <c r="CN54">
        <v>104</v>
      </c>
      <c r="CP54">
        <v>1782224100000</v>
      </c>
      <c r="CQ54">
        <v>168</v>
      </c>
      <c r="CR54" s="6"/>
      <c r="CS54">
        <v>1784038500000</v>
      </c>
      <c r="CT54">
        <v>140</v>
      </c>
      <c r="CV54">
        <v>1784038500000</v>
      </c>
      <c r="CW54">
        <v>1248</v>
      </c>
      <c r="CY54">
        <v>1784038500000</v>
      </c>
      <c r="CZ54">
        <v>64</v>
      </c>
      <c r="DB54">
        <v>1784038500000</v>
      </c>
      <c r="DC54">
        <v>376</v>
      </c>
      <c r="DE54">
        <v>1784038500000</v>
      </c>
      <c r="DF54">
        <v>56</v>
      </c>
      <c r="DH54">
        <v>1784038500000</v>
      </c>
      <c r="DI54">
        <v>1452</v>
      </c>
      <c r="DK54">
        <v>1784038500000</v>
      </c>
      <c r="DL54">
        <v>160</v>
      </c>
      <c r="DN54">
        <v>1784038500000</v>
      </c>
      <c r="DO54">
        <v>172</v>
      </c>
      <c r="DP54" s="6"/>
      <c r="DQ54">
        <v>1784124900000</v>
      </c>
      <c r="DR54">
        <v>284</v>
      </c>
      <c r="DT54">
        <v>1784124900000</v>
      </c>
      <c r="DU54">
        <v>1072</v>
      </c>
      <c r="DW54">
        <v>1784124900000</v>
      </c>
      <c r="DX54">
        <v>60</v>
      </c>
      <c r="DZ54">
        <v>1784124900000</v>
      </c>
      <c r="EA54">
        <v>328</v>
      </c>
      <c r="EC54">
        <v>1784124900000</v>
      </c>
      <c r="ED54">
        <v>64</v>
      </c>
      <c r="EF54">
        <v>1784124900000</v>
      </c>
      <c r="EG54">
        <v>1428</v>
      </c>
      <c r="EI54">
        <v>1784124900000</v>
      </c>
      <c r="EJ54">
        <v>116</v>
      </c>
      <c r="EL54">
        <v>1784124900000</v>
      </c>
      <c r="EM54">
        <v>160</v>
      </c>
      <c r="EN54" s="6"/>
    </row>
    <row r="55" spans="1:144">
      <c r="A55">
        <v>1777991400000</v>
      </c>
      <c r="B55">
        <v>268</v>
      </c>
      <c r="D55">
        <v>1777991400000</v>
      </c>
      <c r="E55">
        <v>1600</v>
      </c>
      <c r="G55">
        <v>1777991400000</v>
      </c>
      <c r="H55">
        <v>56</v>
      </c>
      <c r="J55">
        <v>1777991400000</v>
      </c>
      <c r="K55">
        <v>360</v>
      </c>
      <c r="M55">
        <v>1777991400000</v>
      </c>
      <c r="N55">
        <v>52</v>
      </c>
      <c r="P55">
        <v>1777991400000</v>
      </c>
      <c r="Q55">
        <v>2260</v>
      </c>
      <c r="S55">
        <v>1777991400000</v>
      </c>
      <c r="T55">
        <v>148</v>
      </c>
      <c r="V55">
        <v>1777991400000</v>
      </c>
      <c r="W55">
        <v>180</v>
      </c>
      <c r="X55" s="6"/>
      <c r="Y55">
        <v>1778077800000</v>
      </c>
      <c r="Z55">
        <v>140</v>
      </c>
      <c r="AB55">
        <v>1778077800000</v>
      </c>
      <c r="AC55">
        <v>1920</v>
      </c>
      <c r="AE55">
        <v>1778077800000</v>
      </c>
      <c r="AF55">
        <v>64</v>
      </c>
      <c r="AH55">
        <v>1778077800000</v>
      </c>
      <c r="AI55">
        <v>504</v>
      </c>
      <c r="AK55">
        <v>1778077800000</v>
      </c>
      <c r="AL55">
        <v>52</v>
      </c>
      <c r="AN55">
        <v>1778077800000</v>
      </c>
      <c r="AO55">
        <v>2476</v>
      </c>
      <c r="AQ55">
        <v>1778077800000</v>
      </c>
      <c r="AR55">
        <v>120</v>
      </c>
      <c r="AT55">
        <v>1778077800000</v>
      </c>
      <c r="AU55">
        <v>148</v>
      </c>
      <c r="AV55" s="6"/>
      <c r="AW55">
        <v>1779114600000</v>
      </c>
      <c r="AX55">
        <v>108</v>
      </c>
      <c r="AZ55">
        <v>1779114600000</v>
      </c>
      <c r="BA55">
        <v>1792</v>
      </c>
      <c r="BC55">
        <v>1779114600000</v>
      </c>
      <c r="BD55">
        <v>88</v>
      </c>
      <c r="BF55">
        <v>1779114600000</v>
      </c>
      <c r="BG55">
        <v>472</v>
      </c>
      <c r="BI55">
        <v>1779114600000</v>
      </c>
      <c r="BJ55">
        <v>52</v>
      </c>
      <c r="BL55">
        <v>1779114600000</v>
      </c>
      <c r="BM55">
        <v>2540</v>
      </c>
      <c r="BO55">
        <v>1779114600000</v>
      </c>
      <c r="BP55">
        <v>124</v>
      </c>
      <c r="BR55">
        <v>1779114600000</v>
      </c>
      <c r="BS55">
        <v>172</v>
      </c>
      <c r="BT55" s="6"/>
      <c r="BU55">
        <v>1782225000000</v>
      </c>
      <c r="BV55">
        <v>176</v>
      </c>
      <c r="BX55">
        <v>1782225000000</v>
      </c>
      <c r="BY55">
        <v>1580</v>
      </c>
      <c r="CA55">
        <v>1782225000000</v>
      </c>
      <c r="CB55">
        <v>100</v>
      </c>
      <c r="CD55">
        <v>1782225000000</v>
      </c>
      <c r="CE55">
        <v>424</v>
      </c>
      <c r="CG55">
        <v>1782225000000</v>
      </c>
      <c r="CH55">
        <v>60</v>
      </c>
      <c r="CJ55">
        <v>1782225000000</v>
      </c>
      <c r="CK55">
        <v>1692</v>
      </c>
      <c r="CM55">
        <v>1782225000000</v>
      </c>
      <c r="CN55">
        <v>108</v>
      </c>
      <c r="CP55">
        <v>1782225000000</v>
      </c>
      <c r="CQ55">
        <v>172</v>
      </c>
      <c r="CR55" s="6"/>
      <c r="CS55">
        <v>1784039400000</v>
      </c>
      <c r="CT55">
        <v>156</v>
      </c>
      <c r="CV55">
        <v>1784039400000</v>
      </c>
      <c r="CW55">
        <v>1220</v>
      </c>
      <c r="CY55">
        <v>1784039400000</v>
      </c>
      <c r="CZ55">
        <v>52</v>
      </c>
      <c r="DB55">
        <v>1784039400000</v>
      </c>
      <c r="DC55">
        <v>336</v>
      </c>
      <c r="DE55">
        <v>1784039400000</v>
      </c>
      <c r="DF55">
        <v>52</v>
      </c>
      <c r="DH55">
        <v>1784039400000</v>
      </c>
      <c r="DI55">
        <v>1468</v>
      </c>
      <c r="DK55">
        <v>1784039400000</v>
      </c>
      <c r="DL55">
        <v>148</v>
      </c>
      <c r="DN55">
        <v>1784039400000</v>
      </c>
      <c r="DO55">
        <v>176</v>
      </c>
      <c r="DP55" s="6"/>
      <c r="DQ55">
        <v>1784125800000</v>
      </c>
      <c r="DR55">
        <v>124</v>
      </c>
      <c r="DT55">
        <v>1784125800000</v>
      </c>
      <c r="DU55">
        <v>1092</v>
      </c>
      <c r="DW55">
        <v>1784125800000</v>
      </c>
      <c r="DX55">
        <v>72</v>
      </c>
      <c r="DZ55">
        <v>1784125800000</v>
      </c>
      <c r="EA55">
        <v>392</v>
      </c>
      <c r="EC55">
        <v>1784125800000</v>
      </c>
      <c r="ED55">
        <v>68</v>
      </c>
      <c r="EF55">
        <v>1784125800000</v>
      </c>
      <c r="EG55">
        <v>1272</v>
      </c>
      <c r="EI55">
        <v>1784125800000</v>
      </c>
      <c r="EJ55">
        <v>176</v>
      </c>
      <c r="EL55">
        <v>1784125800000</v>
      </c>
      <c r="EM55">
        <v>128</v>
      </c>
      <c r="EN55" s="6"/>
    </row>
    <row r="56" spans="1:144">
      <c r="A56">
        <v>1777992300000</v>
      </c>
      <c r="B56">
        <v>184</v>
      </c>
      <c r="D56">
        <v>1777992300000</v>
      </c>
      <c r="E56">
        <v>2376</v>
      </c>
      <c r="G56">
        <v>1777992300000</v>
      </c>
      <c r="H56">
        <v>52</v>
      </c>
      <c r="J56">
        <v>1777992300000</v>
      </c>
      <c r="K56">
        <v>492</v>
      </c>
      <c r="M56">
        <v>1777992300000</v>
      </c>
      <c r="N56">
        <v>52</v>
      </c>
      <c r="P56">
        <v>1777992300000</v>
      </c>
      <c r="Q56">
        <v>2584</v>
      </c>
      <c r="S56">
        <v>1777992300000</v>
      </c>
      <c r="T56">
        <v>164</v>
      </c>
      <c r="V56">
        <v>1777992300000</v>
      </c>
      <c r="W56">
        <v>244</v>
      </c>
      <c r="X56" s="6"/>
      <c r="Y56">
        <v>1778078700000</v>
      </c>
      <c r="Z56">
        <v>192</v>
      </c>
      <c r="AB56">
        <v>1778078700000</v>
      </c>
      <c r="AC56">
        <v>2000</v>
      </c>
      <c r="AE56">
        <v>1778078700000</v>
      </c>
      <c r="AF56">
        <v>124</v>
      </c>
      <c r="AH56">
        <v>1778078700000</v>
      </c>
      <c r="AI56">
        <v>424</v>
      </c>
      <c r="AK56">
        <v>1778078700000</v>
      </c>
      <c r="AL56">
        <v>56</v>
      </c>
      <c r="AN56">
        <v>1778078700000</v>
      </c>
      <c r="AO56">
        <v>2756</v>
      </c>
      <c r="AQ56">
        <v>1778078700000</v>
      </c>
      <c r="AR56">
        <v>108</v>
      </c>
      <c r="AT56">
        <v>1778078700000</v>
      </c>
      <c r="AU56">
        <v>208</v>
      </c>
      <c r="AV56" s="6"/>
      <c r="AW56">
        <v>1779115500000</v>
      </c>
      <c r="AX56">
        <v>232</v>
      </c>
      <c r="AZ56">
        <v>1779115500000</v>
      </c>
      <c r="BA56">
        <v>2372</v>
      </c>
      <c r="BC56">
        <v>1779115500000</v>
      </c>
      <c r="BD56">
        <v>144</v>
      </c>
      <c r="BF56">
        <v>1779115500000</v>
      </c>
      <c r="BG56">
        <v>524</v>
      </c>
      <c r="BI56">
        <v>1779115500000</v>
      </c>
      <c r="BJ56">
        <v>44</v>
      </c>
      <c r="BL56">
        <v>1779115500000</v>
      </c>
      <c r="BM56">
        <v>3076</v>
      </c>
      <c r="BO56">
        <v>1779115500000</v>
      </c>
      <c r="BP56">
        <v>164</v>
      </c>
      <c r="BR56">
        <v>1779115500000</v>
      </c>
      <c r="BS56">
        <v>208</v>
      </c>
      <c r="BT56" s="6"/>
      <c r="BU56">
        <v>1782225900000</v>
      </c>
      <c r="BV56">
        <v>268</v>
      </c>
      <c r="BX56">
        <v>1782225900000</v>
      </c>
      <c r="BY56">
        <v>1664</v>
      </c>
      <c r="CA56">
        <v>1782225900000</v>
      </c>
      <c r="CB56">
        <v>92</v>
      </c>
      <c r="CD56">
        <v>1782225900000</v>
      </c>
      <c r="CE56">
        <v>456</v>
      </c>
      <c r="CG56">
        <v>1782225900000</v>
      </c>
      <c r="CH56">
        <v>76</v>
      </c>
      <c r="CJ56">
        <v>1782225900000</v>
      </c>
      <c r="CK56">
        <v>2324</v>
      </c>
      <c r="CM56">
        <v>1782225900000</v>
      </c>
      <c r="CN56">
        <v>92</v>
      </c>
      <c r="CP56">
        <v>1782225900000</v>
      </c>
      <c r="CQ56">
        <v>184</v>
      </c>
      <c r="CR56" s="6"/>
      <c r="CS56">
        <v>1784040300000</v>
      </c>
      <c r="CT56">
        <v>148</v>
      </c>
      <c r="CV56">
        <v>1784040300000</v>
      </c>
      <c r="CW56">
        <v>1424</v>
      </c>
      <c r="CY56">
        <v>1784040300000</v>
      </c>
      <c r="CZ56">
        <v>92</v>
      </c>
      <c r="DB56">
        <v>1784040300000</v>
      </c>
      <c r="DC56">
        <v>544</v>
      </c>
      <c r="DE56">
        <v>1784040300000</v>
      </c>
      <c r="DF56">
        <v>76</v>
      </c>
      <c r="DH56">
        <v>1784040300000</v>
      </c>
      <c r="DI56">
        <v>1956</v>
      </c>
      <c r="DK56">
        <v>1784040300000</v>
      </c>
      <c r="DL56">
        <v>136</v>
      </c>
      <c r="DN56">
        <v>1784040300000</v>
      </c>
      <c r="DO56">
        <v>248</v>
      </c>
      <c r="DP56" s="6"/>
      <c r="DQ56">
        <v>1784126700000</v>
      </c>
      <c r="DR56">
        <v>208</v>
      </c>
      <c r="DT56">
        <v>1784126700000</v>
      </c>
      <c r="DU56">
        <v>1400</v>
      </c>
      <c r="DW56">
        <v>1784126700000</v>
      </c>
      <c r="DX56">
        <v>104</v>
      </c>
      <c r="DZ56">
        <v>1784126700000</v>
      </c>
      <c r="EA56">
        <v>360</v>
      </c>
      <c r="EC56">
        <v>1784126700000</v>
      </c>
      <c r="ED56">
        <v>44</v>
      </c>
      <c r="EF56">
        <v>1784126700000</v>
      </c>
      <c r="EG56">
        <v>1828</v>
      </c>
      <c r="EI56">
        <v>1784126700000</v>
      </c>
      <c r="EJ56">
        <v>164</v>
      </c>
      <c r="EL56">
        <v>1784126700000</v>
      </c>
      <c r="EM56">
        <v>240</v>
      </c>
      <c r="EN56" s="6"/>
    </row>
    <row r="57" spans="1:144">
      <c r="A57">
        <v>1777993200000</v>
      </c>
      <c r="B57">
        <v>256</v>
      </c>
      <c r="D57">
        <v>1777993200000</v>
      </c>
      <c r="E57">
        <v>1624</v>
      </c>
      <c r="G57">
        <v>1777993200000</v>
      </c>
      <c r="H57">
        <v>48</v>
      </c>
      <c r="J57">
        <v>1777993200000</v>
      </c>
      <c r="K57">
        <v>472</v>
      </c>
      <c r="M57">
        <v>1777993200000</v>
      </c>
      <c r="N57">
        <v>64</v>
      </c>
      <c r="P57">
        <v>1777993200000</v>
      </c>
      <c r="Q57">
        <v>2500</v>
      </c>
      <c r="S57">
        <v>1777993200000</v>
      </c>
      <c r="T57">
        <v>152</v>
      </c>
      <c r="V57">
        <v>1777993200000</v>
      </c>
      <c r="W57">
        <v>148</v>
      </c>
      <c r="X57" s="6"/>
      <c r="Y57">
        <v>1778079600000</v>
      </c>
      <c r="Z57">
        <v>152</v>
      </c>
      <c r="AB57">
        <v>1778079600000</v>
      </c>
      <c r="AC57">
        <v>2144</v>
      </c>
      <c r="AE57">
        <v>1778079600000</v>
      </c>
      <c r="AF57">
        <v>80</v>
      </c>
      <c r="AH57">
        <v>1778079600000</v>
      </c>
      <c r="AI57">
        <v>360</v>
      </c>
      <c r="AK57">
        <v>1778079600000</v>
      </c>
      <c r="AL57">
        <v>44</v>
      </c>
      <c r="AN57">
        <v>1778079600000</v>
      </c>
      <c r="AO57">
        <v>2552</v>
      </c>
      <c r="AQ57">
        <v>1778079600000</v>
      </c>
      <c r="AR57">
        <v>112</v>
      </c>
      <c r="AT57">
        <v>1778079600000</v>
      </c>
      <c r="AU57">
        <v>132</v>
      </c>
      <c r="AV57" s="6"/>
      <c r="AW57">
        <v>1779116400000</v>
      </c>
      <c r="AX57">
        <v>304</v>
      </c>
      <c r="AZ57">
        <v>1779116400000</v>
      </c>
      <c r="BA57">
        <v>2196</v>
      </c>
      <c r="BC57">
        <v>1779116400000</v>
      </c>
      <c r="BD57">
        <v>116</v>
      </c>
      <c r="BF57">
        <v>1779116400000</v>
      </c>
      <c r="BG57">
        <v>448</v>
      </c>
      <c r="BI57">
        <v>1779116400000</v>
      </c>
      <c r="BJ57">
        <v>72</v>
      </c>
      <c r="BL57">
        <v>1779116400000</v>
      </c>
      <c r="BM57">
        <v>2912</v>
      </c>
      <c r="BO57">
        <v>1779116400000</v>
      </c>
      <c r="BP57">
        <v>84</v>
      </c>
      <c r="BR57">
        <v>1779116400000</v>
      </c>
      <c r="BS57">
        <v>144</v>
      </c>
      <c r="BT57" s="6"/>
      <c r="BU57">
        <v>1782226800000</v>
      </c>
      <c r="BV57">
        <v>160</v>
      </c>
      <c r="BX57">
        <v>1782226800000</v>
      </c>
      <c r="BY57">
        <v>1724</v>
      </c>
      <c r="CA57">
        <v>1782226800000</v>
      </c>
      <c r="CB57">
        <v>64</v>
      </c>
      <c r="CD57">
        <v>1782226800000</v>
      </c>
      <c r="CE57">
        <v>520</v>
      </c>
      <c r="CG57">
        <v>1782226800000</v>
      </c>
      <c r="CH57">
        <v>76</v>
      </c>
      <c r="CJ57">
        <v>1782226800000</v>
      </c>
      <c r="CK57">
        <v>1912</v>
      </c>
      <c r="CM57">
        <v>1782226800000</v>
      </c>
      <c r="CN57">
        <v>124</v>
      </c>
      <c r="CP57">
        <v>1782226800000</v>
      </c>
      <c r="CQ57">
        <v>176</v>
      </c>
      <c r="CR57" s="6"/>
      <c r="CS57">
        <v>1784041200000</v>
      </c>
      <c r="CT57">
        <v>288</v>
      </c>
      <c r="CV57">
        <v>1784041200000</v>
      </c>
      <c r="CW57">
        <v>1428</v>
      </c>
      <c r="CY57">
        <v>1784041200000</v>
      </c>
      <c r="CZ57">
        <v>152</v>
      </c>
      <c r="DB57">
        <v>1784041200000</v>
      </c>
      <c r="DC57">
        <v>476</v>
      </c>
      <c r="DE57">
        <v>1784041200000</v>
      </c>
      <c r="DF57">
        <v>64</v>
      </c>
      <c r="DH57">
        <v>1784041200000</v>
      </c>
      <c r="DI57">
        <v>1620</v>
      </c>
      <c r="DK57">
        <v>1784041200000</v>
      </c>
      <c r="DL57">
        <v>256</v>
      </c>
      <c r="DN57">
        <v>1784041200000</v>
      </c>
      <c r="DO57">
        <v>224</v>
      </c>
      <c r="DP57" s="6"/>
      <c r="DQ57">
        <v>1784127600000</v>
      </c>
      <c r="DR57">
        <v>248</v>
      </c>
      <c r="DT57">
        <v>1784127600000</v>
      </c>
      <c r="DU57">
        <v>1368</v>
      </c>
      <c r="DW57">
        <v>1784127600000</v>
      </c>
      <c r="DX57">
        <v>60</v>
      </c>
      <c r="DZ57">
        <v>1784127600000</v>
      </c>
      <c r="EA57">
        <v>372</v>
      </c>
      <c r="EC57">
        <v>1784127600000</v>
      </c>
      <c r="ED57">
        <v>52</v>
      </c>
      <c r="EF57">
        <v>1784127600000</v>
      </c>
      <c r="EG57">
        <v>1804</v>
      </c>
      <c r="EI57">
        <v>1784127600000</v>
      </c>
      <c r="EJ57">
        <v>248</v>
      </c>
      <c r="EL57">
        <v>1784127600000</v>
      </c>
      <c r="EM57">
        <v>224</v>
      </c>
      <c r="EN57" s="6"/>
    </row>
    <row r="58" spans="1:144">
      <c r="A58">
        <v>1777994100000</v>
      </c>
      <c r="B58">
        <v>300</v>
      </c>
      <c r="D58">
        <v>1777994100000</v>
      </c>
      <c r="E58">
        <v>1476</v>
      </c>
      <c r="G58">
        <v>1777994100000</v>
      </c>
      <c r="H58">
        <v>56</v>
      </c>
      <c r="J58">
        <v>1777994100000</v>
      </c>
      <c r="K58">
        <v>412</v>
      </c>
      <c r="M58">
        <v>1777994100000</v>
      </c>
      <c r="N58">
        <v>56</v>
      </c>
      <c r="P58">
        <v>1777994100000</v>
      </c>
      <c r="Q58">
        <v>2352</v>
      </c>
      <c r="S58">
        <v>1777994100000</v>
      </c>
      <c r="T58">
        <v>120</v>
      </c>
      <c r="V58">
        <v>1777994100000</v>
      </c>
      <c r="W58">
        <v>168</v>
      </c>
      <c r="X58" s="6"/>
      <c r="Y58">
        <v>1778080500000</v>
      </c>
      <c r="Z58">
        <v>184</v>
      </c>
      <c r="AB58">
        <v>1778080500000</v>
      </c>
      <c r="AC58">
        <v>1804</v>
      </c>
      <c r="AE58">
        <v>1778080500000</v>
      </c>
      <c r="AF58">
        <v>100</v>
      </c>
      <c r="AH58">
        <v>1778080500000</v>
      </c>
      <c r="AI58">
        <v>320</v>
      </c>
      <c r="AK58">
        <v>1778080500000</v>
      </c>
      <c r="AL58">
        <v>88</v>
      </c>
      <c r="AN58">
        <v>1778080500000</v>
      </c>
      <c r="AO58">
        <v>2624</v>
      </c>
      <c r="AQ58">
        <v>1778080500000</v>
      </c>
      <c r="AR58">
        <v>108</v>
      </c>
      <c r="AT58">
        <v>1778080500000</v>
      </c>
      <c r="AU58">
        <v>160</v>
      </c>
      <c r="AV58" s="6"/>
      <c r="AW58">
        <v>1779117300000</v>
      </c>
      <c r="AX58">
        <v>160</v>
      </c>
      <c r="AZ58">
        <v>1779117300000</v>
      </c>
      <c r="BA58">
        <v>2120</v>
      </c>
      <c r="BC58">
        <v>1779117300000</v>
      </c>
      <c r="BD58">
        <v>196</v>
      </c>
      <c r="BF58">
        <v>1779117300000</v>
      </c>
      <c r="BG58">
        <v>384</v>
      </c>
      <c r="BI58">
        <v>1779117300000</v>
      </c>
      <c r="BJ58">
        <v>52</v>
      </c>
      <c r="BL58">
        <v>1779117300000</v>
      </c>
      <c r="BM58">
        <v>2736</v>
      </c>
      <c r="BO58">
        <v>1779117300000</v>
      </c>
      <c r="BP58">
        <v>116</v>
      </c>
      <c r="BR58">
        <v>1779117300000</v>
      </c>
      <c r="BS58">
        <v>184</v>
      </c>
      <c r="BT58" s="6"/>
      <c r="BU58">
        <v>1782227700000</v>
      </c>
      <c r="BV58">
        <v>220</v>
      </c>
      <c r="BX58">
        <v>1782227700000</v>
      </c>
      <c r="BY58">
        <v>1544</v>
      </c>
      <c r="CA58">
        <v>1782227700000</v>
      </c>
      <c r="CB58">
        <v>100</v>
      </c>
      <c r="CD58">
        <v>1782227700000</v>
      </c>
      <c r="CE58">
        <v>284</v>
      </c>
      <c r="CG58">
        <v>1782227700000</v>
      </c>
      <c r="CH58">
        <v>72</v>
      </c>
      <c r="CJ58">
        <v>1782227700000</v>
      </c>
      <c r="CK58">
        <v>1888</v>
      </c>
      <c r="CM58">
        <v>1782227700000</v>
      </c>
      <c r="CN58">
        <v>152</v>
      </c>
      <c r="CP58">
        <v>1782227700000</v>
      </c>
      <c r="CQ58">
        <v>160</v>
      </c>
      <c r="CR58" s="6"/>
      <c r="CS58">
        <v>1784042100000</v>
      </c>
      <c r="CT58">
        <v>268</v>
      </c>
      <c r="CV58">
        <v>1784042100000</v>
      </c>
      <c r="CW58">
        <v>1508</v>
      </c>
      <c r="CY58">
        <v>1784042100000</v>
      </c>
      <c r="CZ58">
        <v>92</v>
      </c>
      <c r="DB58">
        <v>1784042100000</v>
      </c>
      <c r="DC58">
        <v>360</v>
      </c>
      <c r="DE58">
        <v>1784042100000</v>
      </c>
      <c r="DF58">
        <v>56</v>
      </c>
      <c r="DH58">
        <v>1784042100000</v>
      </c>
      <c r="DI58">
        <v>1540</v>
      </c>
      <c r="DK58">
        <v>1784042100000</v>
      </c>
      <c r="DL58">
        <v>128</v>
      </c>
      <c r="DN58">
        <v>1784042100000</v>
      </c>
      <c r="DO58">
        <v>172</v>
      </c>
      <c r="DP58" s="6"/>
      <c r="DQ58">
        <v>1784128500000</v>
      </c>
      <c r="DR58">
        <v>220</v>
      </c>
      <c r="DT58">
        <v>1784128500000</v>
      </c>
      <c r="DU58">
        <v>1380</v>
      </c>
      <c r="DW58">
        <v>1784128500000</v>
      </c>
      <c r="DX58">
        <v>128</v>
      </c>
      <c r="DZ58">
        <v>1784128500000</v>
      </c>
      <c r="EA58">
        <v>308</v>
      </c>
      <c r="EC58">
        <v>1784128500000</v>
      </c>
      <c r="ED58">
        <v>88</v>
      </c>
      <c r="EF58">
        <v>1784128500000</v>
      </c>
      <c r="EG58">
        <v>1444</v>
      </c>
      <c r="EI58">
        <v>1784128500000</v>
      </c>
      <c r="EJ58">
        <v>144</v>
      </c>
      <c r="EL58">
        <v>1784128500000</v>
      </c>
      <c r="EM58">
        <v>148</v>
      </c>
      <c r="EN58" s="6"/>
    </row>
    <row r="59" spans="1:144">
      <c r="A59">
        <v>1777995000000</v>
      </c>
      <c r="B59">
        <v>160</v>
      </c>
      <c r="D59">
        <v>1777995000000</v>
      </c>
      <c r="E59">
        <v>1252</v>
      </c>
      <c r="G59">
        <v>1777995000000</v>
      </c>
      <c r="H59">
        <v>68</v>
      </c>
      <c r="J59">
        <v>1777995000000</v>
      </c>
      <c r="K59">
        <v>584</v>
      </c>
      <c r="M59">
        <v>1777995000000</v>
      </c>
      <c r="N59">
        <v>60</v>
      </c>
      <c r="P59">
        <v>1777995000000</v>
      </c>
      <c r="Q59">
        <v>2168</v>
      </c>
      <c r="S59">
        <v>1777995000000</v>
      </c>
      <c r="T59">
        <v>212</v>
      </c>
      <c r="V59">
        <v>1777995000000</v>
      </c>
      <c r="W59">
        <v>124</v>
      </c>
      <c r="X59" s="6"/>
      <c r="Y59">
        <v>1778081400000</v>
      </c>
      <c r="Z59">
        <v>200</v>
      </c>
      <c r="AB59">
        <v>1778081400000</v>
      </c>
      <c r="AC59">
        <v>1820</v>
      </c>
      <c r="AE59">
        <v>1778081400000</v>
      </c>
      <c r="AF59">
        <v>64</v>
      </c>
      <c r="AH59">
        <v>1778081400000</v>
      </c>
      <c r="AI59">
        <v>312</v>
      </c>
      <c r="AK59">
        <v>1778081400000</v>
      </c>
      <c r="AL59">
        <v>80</v>
      </c>
      <c r="AN59">
        <v>1778081400000</v>
      </c>
      <c r="AO59">
        <v>2232</v>
      </c>
      <c r="AQ59">
        <v>1778081400000</v>
      </c>
      <c r="AR59">
        <v>112</v>
      </c>
      <c r="AT59">
        <v>1778081400000</v>
      </c>
      <c r="AU59">
        <v>156</v>
      </c>
      <c r="AV59" s="6"/>
      <c r="AW59">
        <v>1779118200000</v>
      </c>
      <c r="AX59">
        <v>336</v>
      </c>
      <c r="AZ59">
        <v>1779118200000</v>
      </c>
      <c r="BA59">
        <v>2048</v>
      </c>
      <c r="BC59">
        <v>1779118200000</v>
      </c>
      <c r="BD59">
        <v>60</v>
      </c>
      <c r="BF59">
        <v>1779118200000</v>
      </c>
      <c r="BG59">
        <v>428</v>
      </c>
      <c r="BI59">
        <v>1779118200000</v>
      </c>
      <c r="BJ59">
        <v>64</v>
      </c>
      <c r="BL59">
        <v>1779118200000</v>
      </c>
      <c r="BM59">
        <v>2960</v>
      </c>
      <c r="BO59">
        <v>1779118200000</v>
      </c>
      <c r="BP59">
        <v>152</v>
      </c>
      <c r="BR59">
        <v>1779118200000</v>
      </c>
      <c r="BS59">
        <v>188</v>
      </c>
      <c r="BT59" s="6"/>
      <c r="BU59">
        <v>1782228600000</v>
      </c>
      <c r="BV59">
        <v>176</v>
      </c>
      <c r="BX59">
        <v>1782228600000</v>
      </c>
      <c r="BY59">
        <v>1568</v>
      </c>
      <c r="CA59">
        <v>1782228600000</v>
      </c>
      <c r="CB59">
        <v>92</v>
      </c>
      <c r="CD59">
        <v>1782228600000</v>
      </c>
      <c r="CE59">
        <v>456</v>
      </c>
      <c r="CG59">
        <v>1782228600000</v>
      </c>
      <c r="CH59">
        <v>72</v>
      </c>
      <c r="CJ59">
        <v>1782228600000</v>
      </c>
      <c r="CK59">
        <v>1904</v>
      </c>
      <c r="CM59">
        <v>1782228600000</v>
      </c>
      <c r="CN59">
        <v>168</v>
      </c>
      <c r="CP59">
        <v>1782228600000</v>
      </c>
      <c r="CQ59">
        <v>168</v>
      </c>
      <c r="CR59" s="6"/>
      <c r="CS59">
        <v>1784043000000</v>
      </c>
      <c r="CT59">
        <v>160</v>
      </c>
      <c r="CV59">
        <v>1784043000000</v>
      </c>
      <c r="CW59">
        <v>1452</v>
      </c>
      <c r="CY59">
        <v>1784043000000</v>
      </c>
      <c r="CZ59">
        <v>80</v>
      </c>
      <c r="DB59">
        <v>1784043000000</v>
      </c>
      <c r="DC59">
        <v>420</v>
      </c>
      <c r="DE59">
        <v>1784043000000</v>
      </c>
      <c r="DF59">
        <v>68</v>
      </c>
      <c r="DH59">
        <v>1784043000000</v>
      </c>
      <c r="DI59">
        <v>1428</v>
      </c>
      <c r="DK59">
        <v>1784043000000</v>
      </c>
      <c r="DL59">
        <v>128</v>
      </c>
      <c r="DN59">
        <v>1784043000000</v>
      </c>
      <c r="DO59">
        <v>208</v>
      </c>
      <c r="DP59" s="6"/>
      <c r="DQ59">
        <v>1784129400000</v>
      </c>
      <c r="DR59">
        <v>372</v>
      </c>
      <c r="DT59">
        <v>1784129400000</v>
      </c>
      <c r="DU59">
        <v>1420</v>
      </c>
      <c r="DW59">
        <v>1784129400000</v>
      </c>
      <c r="DX59">
        <v>104</v>
      </c>
      <c r="DZ59">
        <v>1784129400000</v>
      </c>
      <c r="EA59">
        <v>296</v>
      </c>
      <c r="EC59">
        <v>1784129400000</v>
      </c>
      <c r="ED59">
        <v>52</v>
      </c>
      <c r="EF59">
        <v>1784129400000</v>
      </c>
      <c r="EG59">
        <v>1744</v>
      </c>
      <c r="EI59">
        <v>1784129400000</v>
      </c>
      <c r="EJ59">
        <v>164</v>
      </c>
      <c r="EL59">
        <v>1784129400000</v>
      </c>
      <c r="EM59">
        <v>196</v>
      </c>
      <c r="EN59" s="6"/>
    </row>
    <row r="60" spans="1:144">
      <c r="A60">
        <v>1777995900000</v>
      </c>
      <c r="B60">
        <v>136</v>
      </c>
      <c r="D60">
        <v>1777995900000</v>
      </c>
      <c r="E60">
        <v>1460</v>
      </c>
      <c r="G60">
        <v>1777995900000</v>
      </c>
      <c r="H60">
        <v>264</v>
      </c>
      <c r="J60">
        <v>1777995900000</v>
      </c>
      <c r="K60">
        <v>436</v>
      </c>
      <c r="M60">
        <v>1777995900000</v>
      </c>
      <c r="N60">
        <v>36</v>
      </c>
      <c r="P60">
        <v>1777995900000</v>
      </c>
      <c r="Q60">
        <v>2408</v>
      </c>
      <c r="S60">
        <v>1777995900000</v>
      </c>
      <c r="T60">
        <v>220</v>
      </c>
      <c r="V60">
        <v>1777995900000</v>
      </c>
      <c r="W60">
        <v>220</v>
      </c>
      <c r="X60" s="6"/>
      <c r="Y60">
        <v>1778082300000</v>
      </c>
      <c r="Z60">
        <v>320</v>
      </c>
      <c r="AB60">
        <v>1778082300000</v>
      </c>
      <c r="AC60">
        <v>2096</v>
      </c>
      <c r="AE60">
        <v>1778082300000</v>
      </c>
      <c r="AF60">
        <v>88</v>
      </c>
      <c r="AH60">
        <v>1778082300000</v>
      </c>
      <c r="AI60">
        <v>416</v>
      </c>
      <c r="AK60">
        <v>1778082300000</v>
      </c>
      <c r="AL60">
        <v>60</v>
      </c>
      <c r="AN60">
        <v>1778082300000</v>
      </c>
      <c r="AO60">
        <v>2876</v>
      </c>
      <c r="AQ60">
        <v>1778082300000</v>
      </c>
      <c r="AR60">
        <v>172</v>
      </c>
      <c r="AT60">
        <v>1778082300000</v>
      </c>
      <c r="AU60">
        <v>176</v>
      </c>
      <c r="AV60" s="6"/>
      <c r="AW60">
        <v>1779119100000</v>
      </c>
      <c r="AX60">
        <v>164</v>
      </c>
      <c r="AZ60">
        <v>1779119100000</v>
      </c>
      <c r="BA60">
        <v>2284</v>
      </c>
      <c r="BC60">
        <v>1779119100000</v>
      </c>
      <c r="BD60">
        <v>116</v>
      </c>
      <c r="BF60">
        <v>1779119100000</v>
      </c>
      <c r="BG60">
        <v>440</v>
      </c>
      <c r="BI60">
        <v>1779119100000</v>
      </c>
      <c r="BJ60">
        <v>52</v>
      </c>
      <c r="BL60">
        <v>1779119100000</v>
      </c>
      <c r="BM60">
        <v>2888</v>
      </c>
      <c r="BO60">
        <v>1779119100000</v>
      </c>
      <c r="BP60">
        <v>236</v>
      </c>
      <c r="BR60">
        <v>1779119100000</v>
      </c>
      <c r="BS60">
        <v>216</v>
      </c>
      <c r="BT60" s="6"/>
      <c r="BU60">
        <v>1782229500000</v>
      </c>
      <c r="BV60">
        <v>192</v>
      </c>
      <c r="BX60">
        <v>1782229500000</v>
      </c>
      <c r="BY60">
        <v>1476</v>
      </c>
      <c r="CA60">
        <v>1782229500000</v>
      </c>
      <c r="CB60">
        <v>128</v>
      </c>
      <c r="CD60">
        <v>1782229500000</v>
      </c>
      <c r="CE60">
        <v>392</v>
      </c>
      <c r="CG60">
        <v>1782229500000</v>
      </c>
      <c r="CH60">
        <v>84</v>
      </c>
      <c r="CJ60">
        <v>1782229500000</v>
      </c>
      <c r="CK60">
        <v>1944</v>
      </c>
      <c r="CM60">
        <v>1782229500000</v>
      </c>
      <c r="CN60">
        <v>140</v>
      </c>
      <c r="CP60">
        <v>1782229500000</v>
      </c>
      <c r="CQ60">
        <v>216</v>
      </c>
      <c r="CR60" s="6"/>
      <c r="CS60">
        <v>1784043900000</v>
      </c>
      <c r="CT60">
        <v>272</v>
      </c>
      <c r="CV60">
        <v>1784043900000</v>
      </c>
      <c r="CW60">
        <v>1212</v>
      </c>
      <c r="CY60">
        <v>1784043900000</v>
      </c>
      <c r="CZ60">
        <v>92</v>
      </c>
      <c r="DB60">
        <v>1784043900000</v>
      </c>
      <c r="DC60">
        <v>356</v>
      </c>
      <c r="DE60">
        <v>1784043900000</v>
      </c>
      <c r="DF60">
        <v>52</v>
      </c>
      <c r="DH60">
        <v>1784043900000</v>
      </c>
      <c r="DI60">
        <v>1672</v>
      </c>
      <c r="DK60">
        <v>1784043900000</v>
      </c>
      <c r="DL60">
        <v>168</v>
      </c>
      <c r="DN60">
        <v>1784043900000</v>
      </c>
      <c r="DO60">
        <v>216</v>
      </c>
      <c r="DP60" s="6"/>
      <c r="DQ60">
        <v>1784130300000</v>
      </c>
      <c r="DR60">
        <v>120</v>
      </c>
      <c r="DT60">
        <v>1784130300000</v>
      </c>
      <c r="DU60">
        <v>1396</v>
      </c>
      <c r="DW60">
        <v>1784130300000</v>
      </c>
      <c r="DX60">
        <v>96</v>
      </c>
      <c r="DZ60">
        <v>1784130300000</v>
      </c>
      <c r="EA60">
        <v>264</v>
      </c>
      <c r="EC60">
        <v>1784130300000</v>
      </c>
      <c r="ED60">
        <v>84</v>
      </c>
      <c r="EF60">
        <v>1784130300000</v>
      </c>
      <c r="EG60">
        <v>1764</v>
      </c>
      <c r="EI60">
        <v>1784130300000</v>
      </c>
      <c r="EJ60">
        <v>168</v>
      </c>
      <c r="EL60">
        <v>1784130300000</v>
      </c>
      <c r="EM60">
        <v>180</v>
      </c>
      <c r="EN60" s="6"/>
    </row>
    <row r="61" spans="1:144">
      <c r="A61">
        <v>1777996800000</v>
      </c>
      <c r="B61">
        <v>160</v>
      </c>
      <c r="D61">
        <v>1777996800000</v>
      </c>
      <c r="E61">
        <v>1308</v>
      </c>
      <c r="G61">
        <v>1777996800000</v>
      </c>
      <c r="H61">
        <v>100</v>
      </c>
      <c r="J61">
        <v>1777996800000</v>
      </c>
      <c r="K61">
        <v>400</v>
      </c>
      <c r="M61">
        <v>1777996800000</v>
      </c>
      <c r="N61">
        <v>68</v>
      </c>
      <c r="P61">
        <v>1777996800000</v>
      </c>
      <c r="Q61">
        <v>2344</v>
      </c>
      <c r="S61">
        <v>1777996800000</v>
      </c>
      <c r="T61">
        <v>160</v>
      </c>
      <c r="V61">
        <v>1777996800000</v>
      </c>
      <c r="W61">
        <v>180</v>
      </c>
      <c r="X61" s="6"/>
      <c r="Y61">
        <v>1778083200000</v>
      </c>
      <c r="Z61">
        <v>244</v>
      </c>
      <c r="AB61">
        <v>1778083200000</v>
      </c>
      <c r="AC61">
        <v>1956</v>
      </c>
      <c r="AE61">
        <v>1778083200000</v>
      </c>
      <c r="AF61">
        <v>120</v>
      </c>
      <c r="AH61">
        <v>1778083200000</v>
      </c>
      <c r="AI61">
        <v>408</v>
      </c>
      <c r="AK61">
        <v>1778083200000</v>
      </c>
      <c r="AL61">
        <v>64</v>
      </c>
      <c r="AN61">
        <v>1778083200000</v>
      </c>
      <c r="AO61">
        <v>2608</v>
      </c>
      <c r="AQ61">
        <v>1778083200000</v>
      </c>
      <c r="AR61">
        <v>136</v>
      </c>
      <c r="AT61">
        <v>1778083200000</v>
      </c>
      <c r="AU61">
        <v>168</v>
      </c>
      <c r="AV61" s="6"/>
      <c r="AW61">
        <v>1779120000000</v>
      </c>
      <c r="AX61">
        <v>156</v>
      </c>
      <c r="AZ61">
        <v>1779120000000</v>
      </c>
      <c r="BA61">
        <v>2020</v>
      </c>
      <c r="BC61">
        <v>1779120000000</v>
      </c>
      <c r="BD61">
        <v>112</v>
      </c>
      <c r="BF61">
        <v>1779120000000</v>
      </c>
      <c r="BG61">
        <v>424</v>
      </c>
      <c r="BI61">
        <v>1779120000000</v>
      </c>
      <c r="BJ61">
        <v>68</v>
      </c>
      <c r="BL61">
        <v>1779120000000</v>
      </c>
      <c r="BM61">
        <v>2916</v>
      </c>
      <c r="BO61">
        <v>1779120000000</v>
      </c>
      <c r="BP61">
        <v>196</v>
      </c>
      <c r="BR61">
        <v>1779120000000</v>
      </c>
      <c r="BS61">
        <v>156</v>
      </c>
      <c r="BT61" s="6"/>
      <c r="BU61">
        <v>1782230400000</v>
      </c>
      <c r="BV61">
        <v>372</v>
      </c>
      <c r="BX61">
        <v>1782230400000</v>
      </c>
      <c r="BY61">
        <v>1556</v>
      </c>
      <c r="CA61">
        <v>1782230400000</v>
      </c>
      <c r="CB61">
        <v>52</v>
      </c>
      <c r="CD61">
        <v>1782230400000</v>
      </c>
      <c r="CE61">
        <v>348</v>
      </c>
      <c r="CG61">
        <v>1782230400000</v>
      </c>
      <c r="CH61">
        <v>92</v>
      </c>
      <c r="CJ61">
        <v>1782230400000</v>
      </c>
      <c r="CK61">
        <v>2040</v>
      </c>
      <c r="CM61">
        <v>1782230400000</v>
      </c>
      <c r="CN61">
        <v>172</v>
      </c>
      <c r="CP61">
        <v>1782230400000</v>
      </c>
      <c r="CQ61">
        <v>236</v>
      </c>
      <c r="CR61" s="6"/>
      <c r="CS61">
        <v>1784044800000</v>
      </c>
      <c r="CT61">
        <v>168</v>
      </c>
      <c r="CV61">
        <v>1784044800000</v>
      </c>
      <c r="CW61">
        <v>1300</v>
      </c>
      <c r="CY61">
        <v>1784044800000</v>
      </c>
      <c r="CZ61">
        <v>96</v>
      </c>
      <c r="DB61">
        <v>1784044800000</v>
      </c>
      <c r="DC61">
        <v>344</v>
      </c>
      <c r="DE61">
        <v>1784044800000</v>
      </c>
      <c r="DF61">
        <v>80</v>
      </c>
      <c r="DH61">
        <v>1784044800000</v>
      </c>
      <c r="DI61">
        <v>1524</v>
      </c>
      <c r="DK61">
        <v>1784044800000</v>
      </c>
      <c r="DL61">
        <v>176</v>
      </c>
      <c r="DN61">
        <v>1784044800000</v>
      </c>
      <c r="DO61">
        <v>152</v>
      </c>
      <c r="DP61" s="6"/>
      <c r="DQ61">
        <v>1784131200000</v>
      </c>
      <c r="DR61">
        <v>264</v>
      </c>
      <c r="DT61">
        <v>1784131200000</v>
      </c>
      <c r="DU61">
        <v>1332</v>
      </c>
      <c r="DW61">
        <v>1784131200000</v>
      </c>
      <c r="DX61">
        <v>144</v>
      </c>
      <c r="DZ61">
        <v>1784131200000</v>
      </c>
      <c r="EA61">
        <v>368</v>
      </c>
      <c r="EC61">
        <v>1784131200000</v>
      </c>
      <c r="ED61">
        <v>88</v>
      </c>
      <c r="EF61">
        <v>1784131200000</v>
      </c>
      <c r="EG61">
        <v>1620</v>
      </c>
      <c r="EI61">
        <v>1784131200000</v>
      </c>
      <c r="EJ61">
        <v>240</v>
      </c>
      <c r="EL61">
        <v>1784131200000</v>
      </c>
      <c r="EM61">
        <v>204</v>
      </c>
      <c r="EN61" s="6"/>
    </row>
    <row r="62" spans="1:144">
      <c r="A62">
        <v>1777997700000</v>
      </c>
      <c r="B62">
        <v>196</v>
      </c>
      <c r="D62">
        <v>1777997700000</v>
      </c>
      <c r="E62">
        <v>1240</v>
      </c>
      <c r="G62">
        <v>1777997700000</v>
      </c>
      <c r="H62">
        <v>72</v>
      </c>
      <c r="J62">
        <v>1777997700000</v>
      </c>
      <c r="K62">
        <v>232</v>
      </c>
      <c r="M62">
        <v>1777997700000</v>
      </c>
      <c r="N62">
        <v>64</v>
      </c>
      <c r="P62">
        <v>1777997700000</v>
      </c>
      <c r="Q62">
        <v>2372</v>
      </c>
      <c r="S62">
        <v>1777997700000</v>
      </c>
      <c r="T62">
        <v>92</v>
      </c>
      <c r="V62">
        <v>1777997700000</v>
      </c>
      <c r="W62">
        <v>124</v>
      </c>
      <c r="X62" s="6"/>
      <c r="Y62">
        <v>1778084100000</v>
      </c>
      <c r="Z62">
        <v>172</v>
      </c>
      <c r="AB62">
        <v>1778084100000</v>
      </c>
      <c r="AC62">
        <v>1936</v>
      </c>
      <c r="AE62">
        <v>1778084100000</v>
      </c>
      <c r="AF62">
        <v>96</v>
      </c>
      <c r="AH62">
        <v>1778084100000</v>
      </c>
      <c r="AI62">
        <v>304</v>
      </c>
      <c r="AK62">
        <v>1778084100000</v>
      </c>
      <c r="AL62">
        <v>64</v>
      </c>
      <c r="AN62">
        <v>1778084100000</v>
      </c>
      <c r="AO62">
        <v>2524</v>
      </c>
      <c r="AQ62">
        <v>1778084100000</v>
      </c>
      <c r="AR62">
        <v>124</v>
      </c>
      <c r="AT62">
        <v>1778084100000</v>
      </c>
      <c r="AU62">
        <v>180</v>
      </c>
      <c r="AV62" s="6"/>
      <c r="AW62">
        <v>1779120900000</v>
      </c>
      <c r="AX62">
        <v>272</v>
      </c>
      <c r="AZ62">
        <v>1779120900000</v>
      </c>
      <c r="BA62">
        <v>2412</v>
      </c>
      <c r="BC62">
        <v>1779120900000</v>
      </c>
      <c r="BD62">
        <v>132</v>
      </c>
      <c r="BF62">
        <v>1779120900000</v>
      </c>
      <c r="BG62">
        <v>284</v>
      </c>
      <c r="BI62">
        <v>1779120900000</v>
      </c>
      <c r="BJ62">
        <v>44</v>
      </c>
      <c r="BL62">
        <v>1779120900000</v>
      </c>
      <c r="BM62">
        <v>2868</v>
      </c>
      <c r="BO62">
        <v>1779120900000</v>
      </c>
      <c r="BP62">
        <v>128</v>
      </c>
      <c r="BR62">
        <v>1779120900000</v>
      </c>
      <c r="BS62">
        <v>180</v>
      </c>
      <c r="BT62" s="6"/>
      <c r="BU62">
        <v>1782231300000</v>
      </c>
      <c r="BV62">
        <v>232</v>
      </c>
      <c r="BX62">
        <v>1782231300000</v>
      </c>
      <c r="BY62">
        <v>1540</v>
      </c>
      <c r="CA62">
        <v>1782231300000</v>
      </c>
      <c r="CB62">
        <v>112</v>
      </c>
      <c r="CD62">
        <v>1782231300000</v>
      </c>
      <c r="CE62">
        <v>472</v>
      </c>
      <c r="CG62">
        <v>1782231300000</v>
      </c>
      <c r="CH62">
        <v>76</v>
      </c>
      <c r="CJ62">
        <v>1782231300000</v>
      </c>
      <c r="CK62">
        <v>1956</v>
      </c>
      <c r="CM62">
        <v>1782231300000</v>
      </c>
      <c r="CN62">
        <v>124</v>
      </c>
      <c r="CP62">
        <v>1782231300000</v>
      </c>
      <c r="CQ62">
        <v>168</v>
      </c>
      <c r="CR62" s="6"/>
      <c r="CS62">
        <v>1784045700000</v>
      </c>
      <c r="CT62">
        <v>144</v>
      </c>
      <c r="CV62">
        <v>1784045700000</v>
      </c>
      <c r="CW62">
        <v>1304</v>
      </c>
      <c r="CY62">
        <v>1784045700000</v>
      </c>
      <c r="CZ62">
        <v>188</v>
      </c>
      <c r="DB62">
        <v>1784045700000</v>
      </c>
      <c r="DC62">
        <v>308</v>
      </c>
      <c r="DE62">
        <v>1784045700000</v>
      </c>
      <c r="DF62">
        <v>64</v>
      </c>
      <c r="DH62">
        <v>1784045700000</v>
      </c>
      <c r="DI62">
        <v>1432</v>
      </c>
      <c r="DK62">
        <v>1784045700000</v>
      </c>
      <c r="DL62">
        <v>136</v>
      </c>
      <c r="DN62">
        <v>1784045700000</v>
      </c>
      <c r="DO62">
        <v>216</v>
      </c>
      <c r="DP62" s="6"/>
      <c r="DQ62">
        <v>1784132100000</v>
      </c>
      <c r="DR62">
        <v>260</v>
      </c>
      <c r="DT62">
        <v>1784132100000</v>
      </c>
      <c r="DU62">
        <v>1244</v>
      </c>
      <c r="DW62">
        <v>1784132100000</v>
      </c>
      <c r="DX62">
        <v>88</v>
      </c>
      <c r="DZ62">
        <v>1784132100000</v>
      </c>
      <c r="EA62">
        <v>340</v>
      </c>
      <c r="EC62">
        <v>1784132100000</v>
      </c>
      <c r="ED62">
        <v>68</v>
      </c>
      <c r="EF62">
        <v>1784132100000</v>
      </c>
      <c r="EG62">
        <v>1740</v>
      </c>
      <c r="EI62">
        <v>1784132100000</v>
      </c>
      <c r="EJ62">
        <v>140</v>
      </c>
      <c r="EL62">
        <v>1784132100000</v>
      </c>
      <c r="EM62">
        <v>136</v>
      </c>
      <c r="EN62" s="6"/>
    </row>
    <row r="63" spans="1:144">
      <c r="A63">
        <v>1777998600000</v>
      </c>
      <c r="B63">
        <v>220</v>
      </c>
      <c r="D63">
        <v>1777998600000</v>
      </c>
      <c r="E63">
        <v>1192</v>
      </c>
      <c r="G63">
        <v>1777998600000</v>
      </c>
      <c r="H63">
        <v>100</v>
      </c>
      <c r="J63">
        <v>1777998600000</v>
      </c>
      <c r="K63">
        <v>268</v>
      </c>
      <c r="M63">
        <v>1777998600000</v>
      </c>
      <c r="N63">
        <v>68</v>
      </c>
      <c r="P63">
        <v>1777998600000</v>
      </c>
      <c r="Q63">
        <v>2528</v>
      </c>
      <c r="S63">
        <v>1777998600000</v>
      </c>
      <c r="T63">
        <v>176</v>
      </c>
      <c r="V63">
        <v>1777998600000</v>
      </c>
      <c r="W63">
        <v>96</v>
      </c>
      <c r="X63" s="6"/>
      <c r="Y63">
        <v>1778085000000</v>
      </c>
      <c r="Z63">
        <v>340</v>
      </c>
      <c r="AB63">
        <v>1778085000000</v>
      </c>
      <c r="AC63">
        <v>1912</v>
      </c>
      <c r="AE63">
        <v>1778085000000</v>
      </c>
      <c r="AF63">
        <v>104</v>
      </c>
      <c r="AH63">
        <v>1778085000000</v>
      </c>
      <c r="AI63">
        <v>280</v>
      </c>
      <c r="AK63">
        <v>1778085000000</v>
      </c>
      <c r="AL63">
        <v>72</v>
      </c>
      <c r="AN63">
        <v>1778085000000</v>
      </c>
      <c r="AO63">
        <v>2636</v>
      </c>
      <c r="AQ63">
        <v>1778085000000</v>
      </c>
      <c r="AR63">
        <v>120</v>
      </c>
      <c r="AT63">
        <v>1778085000000</v>
      </c>
      <c r="AU63">
        <v>144</v>
      </c>
      <c r="AV63" s="6"/>
      <c r="AW63">
        <v>1779121800000</v>
      </c>
      <c r="AX63">
        <v>220</v>
      </c>
      <c r="AZ63">
        <v>1779121800000</v>
      </c>
      <c r="BA63">
        <v>2132</v>
      </c>
      <c r="BC63">
        <v>1779121800000</v>
      </c>
      <c r="BD63">
        <v>132</v>
      </c>
      <c r="BF63">
        <v>1779121800000</v>
      </c>
      <c r="BG63">
        <v>376</v>
      </c>
      <c r="BI63">
        <v>1779121800000</v>
      </c>
      <c r="BJ63">
        <v>76</v>
      </c>
      <c r="BL63">
        <v>1779121800000</v>
      </c>
      <c r="BM63">
        <v>2888</v>
      </c>
      <c r="BO63">
        <v>1779121800000</v>
      </c>
      <c r="BP63">
        <v>200</v>
      </c>
      <c r="BR63">
        <v>1779121800000</v>
      </c>
      <c r="BS63">
        <v>156</v>
      </c>
      <c r="BT63" s="6"/>
      <c r="BU63">
        <v>1782232200000</v>
      </c>
      <c r="BV63">
        <v>104</v>
      </c>
      <c r="BX63">
        <v>1782232200000</v>
      </c>
      <c r="BY63">
        <v>1376</v>
      </c>
      <c r="CA63">
        <v>1782232200000</v>
      </c>
      <c r="CB63">
        <v>104</v>
      </c>
      <c r="CD63">
        <v>1782232200000</v>
      </c>
      <c r="CE63">
        <v>312</v>
      </c>
      <c r="CG63">
        <v>1782232200000</v>
      </c>
      <c r="CH63">
        <v>76</v>
      </c>
      <c r="CJ63">
        <v>1782232200000</v>
      </c>
      <c r="CK63">
        <v>1868</v>
      </c>
      <c r="CM63">
        <v>1782232200000</v>
      </c>
      <c r="CN63">
        <v>124</v>
      </c>
      <c r="CP63">
        <v>1782232200000</v>
      </c>
      <c r="CQ63">
        <v>168</v>
      </c>
      <c r="CR63" s="6"/>
      <c r="CS63">
        <v>1784046600000</v>
      </c>
      <c r="CT63">
        <v>160</v>
      </c>
      <c r="CV63">
        <v>1784046600000</v>
      </c>
      <c r="CW63">
        <v>1284</v>
      </c>
      <c r="CY63">
        <v>1784046600000</v>
      </c>
      <c r="CZ63">
        <v>104</v>
      </c>
      <c r="DB63">
        <v>1784046600000</v>
      </c>
      <c r="DC63">
        <v>236</v>
      </c>
      <c r="DE63">
        <v>1784046600000</v>
      </c>
      <c r="DF63">
        <v>64</v>
      </c>
      <c r="DH63">
        <v>1784046600000</v>
      </c>
      <c r="DI63">
        <v>1484</v>
      </c>
      <c r="DK63">
        <v>1784046600000</v>
      </c>
      <c r="DL63">
        <v>156</v>
      </c>
      <c r="DN63">
        <v>1784046600000</v>
      </c>
      <c r="DO63">
        <v>184</v>
      </c>
      <c r="DP63" s="6"/>
      <c r="DQ63">
        <v>1784133000000</v>
      </c>
      <c r="DR63">
        <v>196</v>
      </c>
      <c r="DT63">
        <v>1784133000000</v>
      </c>
      <c r="DU63">
        <v>1320</v>
      </c>
      <c r="DW63">
        <v>1784133000000</v>
      </c>
      <c r="DX63">
        <v>112</v>
      </c>
      <c r="DZ63">
        <v>1784133000000</v>
      </c>
      <c r="EA63">
        <v>272</v>
      </c>
      <c r="EC63">
        <v>1784133000000</v>
      </c>
      <c r="ED63">
        <v>56</v>
      </c>
      <c r="EF63">
        <v>1784133000000</v>
      </c>
      <c r="EG63">
        <v>1404</v>
      </c>
      <c r="EI63">
        <v>1784133000000</v>
      </c>
      <c r="EJ63">
        <v>188</v>
      </c>
      <c r="EL63">
        <v>1784133000000</v>
      </c>
      <c r="EM63">
        <v>148</v>
      </c>
      <c r="EN63" s="6"/>
    </row>
    <row r="64" spans="1:144">
      <c r="A64">
        <v>1777999500000</v>
      </c>
      <c r="B64">
        <v>168</v>
      </c>
      <c r="D64">
        <v>1777999500000</v>
      </c>
      <c r="E64">
        <v>1560</v>
      </c>
      <c r="G64">
        <v>1777999500000</v>
      </c>
      <c r="H64">
        <v>76</v>
      </c>
      <c r="J64">
        <v>1777999500000</v>
      </c>
      <c r="K64">
        <v>408</v>
      </c>
      <c r="M64">
        <v>1777999500000</v>
      </c>
      <c r="N64">
        <v>92</v>
      </c>
      <c r="P64">
        <v>1777999500000</v>
      </c>
      <c r="Q64">
        <v>2652</v>
      </c>
      <c r="S64">
        <v>1777999500000</v>
      </c>
      <c r="T64">
        <v>232</v>
      </c>
      <c r="V64">
        <v>1777999500000</v>
      </c>
      <c r="W64">
        <v>208</v>
      </c>
      <c r="X64" s="6"/>
      <c r="Y64">
        <v>1778085900000</v>
      </c>
      <c r="Z64">
        <v>200</v>
      </c>
      <c r="AB64">
        <v>1778085900000</v>
      </c>
      <c r="AC64">
        <v>1924</v>
      </c>
      <c r="AE64">
        <v>1778085900000</v>
      </c>
      <c r="AF64">
        <v>68</v>
      </c>
      <c r="AH64">
        <v>1778085900000</v>
      </c>
      <c r="AI64">
        <v>344</v>
      </c>
      <c r="AK64">
        <v>1778085900000</v>
      </c>
      <c r="AL64">
        <v>68</v>
      </c>
      <c r="AN64">
        <v>1778085900000</v>
      </c>
      <c r="AO64">
        <v>2304</v>
      </c>
      <c r="AQ64">
        <v>1778085900000</v>
      </c>
      <c r="AR64">
        <v>120</v>
      </c>
      <c r="AT64">
        <v>1778085900000</v>
      </c>
      <c r="AU64">
        <v>128</v>
      </c>
      <c r="AV64" s="6"/>
      <c r="AW64">
        <v>1779122700000</v>
      </c>
      <c r="AX64">
        <v>80</v>
      </c>
      <c r="AZ64">
        <v>1779122700000</v>
      </c>
      <c r="BA64">
        <v>2132</v>
      </c>
      <c r="BC64">
        <v>1779122700000</v>
      </c>
      <c r="BD64">
        <v>140</v>
      </c>
      <c r="BF64">
        <v>1779122700000</v>
      </c>
      <c r="BG64">
        <v>248</v>
      </c>
      <c r="BI64">
        <v>1779122700000</v>
      </c>
      <c r="BJ64">
        <v>76</v>
      </c>
      <c r="BL64">
        <v>1779122700000</v>
      </c>
      <c r="BM64">
        <v>2704</v>
      </c>
      <c r="BO64">
        <v>1779122700000</v>
      </c>
      <c r="BP64">
        <v>112</v>
      </c>
      <c r="BR64">
        <v>1779122700000</v>
      </c>
      <c r="BS64">
        <v>120</v>
      </c>
      <c r="BT64" s="6"/>
      <c r="BU64">
        <v>1782233100000</v>
      </c>
      <c r="BV64">
        <v>84</v>
      </c>
      <c r="BX64">
        <v>1782233100000</v>
      </c>
      <c r="BY64">
        <v>1508</v>
      </c>
      <c r="CA64">
        <v>1782233100000</v>
      </c>
      <c r="CB64">
        <v>100</v>
      </c>
      <c r="CD64">
        <v>1782233100000</v>
      </c>
      <c r="CE64">
        <v>452</v>
      </c>
      <c r="CG64">
        <v>1782233100000</v>
      </c>
      <c r="CH64">
        <v>84</v>
      </c>
      <c r="CJ64">
        <v>1782233100000</v>
      </c>
      <c r="CK64">
        <v>1704</v>
      </c>
      <c r="CM64">
        <v>1782233100000</v>
      </c>
      <c r="CN64">
        <v>164</v>
      </c>
      <c r="CP64">
        <v>1782233100000</v>
      </c>
      <c r="CQ64">
        <v>208</v>
      </c>
      <c r="CR64" s="6"/>
      <c r="CS64">
        <v>1784047500000</v>
      </c>
      <c r="CT64">
        <v>416</v>
      </c>
      <c r="CV64">
        <v>1784047500000</v>
      </c>
      <c r="CW64">
        <v>1324</v>
      </c>
      <c r="CY64">
        <v>1784047500000</v>
      </c>
      <c r="CZ64">
        <v>88</v>
      </c>
      <c r="DB64">
        <v>1784047500000</v>
      </c>
      <c r="DC64">
        <v>412</v>
      </c>
      <c r="DE64">
        <v>1784047500000</v>
      </c>
      <c r="DF64">
        <v>88</v>
      </c>
      <c r="DH64">
        <v>1784047500000</v>
      </c>
      <c r="DI64">
        <v>1624</v>
      </c>
      <c r="DK64">
        <v>1784047500000</v>
      </c>
      <c r="DL64">
        <v>188</v>
      </c>
      <c r="DN64">
        <v>1784047500000</v>
      </c>
      <c r="DO64">
        <v>164</v>
      </c>
      <c r="DP64" s="6"/>
      <c r="DQ64">
        <v>1784133900000</v>
      </c>
      <c r="DR64">
        <v>224</v>
      </c>
      <c r="DT64">
        <v>1784133900000</v>
      </c>
      <c r="DU64">
        <v>1316</v>
      </c>
      <c r="DW64">
        <v>1784133900000</v>
      </c>
      <c r="DX64">
        <v>96</v>
      </c>
      <c r="DZ64">
        <v>1784133900000</v>
      </c>
      <c r="EA64">
        <v>348</v>
      </c>
      <c r="EC64">
        <v>1784133900000</v>
      </c>
      <c r="ED64">
        <v>52</v>
      </c>
      <c r="EF64">
        <v>1784133900000</v>
      </c>
      <c r="EG64">
        <v>1520</v>
      </c>
      <c r="EI64">
        <v>1784133900000</v>
      </c>
      <c r="EJ64">
        <v>216</v>
      </c>
      <c r="EL64">
        <v>1784133900000</v>
      </c>
      <c r="EM64">
        <v>248</v>
      </c>
      <c r="EN64" s="6"/>
    </row>
    <row r="65" spans="1:144">
      <c r="A65">
        <v>1778000400000</v>
      </c>
      <c r="B65">
        <v>208</v>
      </c>
      <c r="D65">
        <v>1778000400000</v>
      </c>
      <c r="E65">
        <v>1624</v>
      </c>
      <c r="G65">
        <v>1778000400000</v>
      </c>
      <c r="H65">
        <v>140</v>
      </c>
      <c r="J65">
        <v>1778000400000</v>
      </c>
      <c r="K65">
        <v>364</v>
      </c>
      <c r="M65">
        <v>1778000400000</v>
      </c>
      <c r="N65">
        <v>52</v>
      </c>
      <c r="P65">
        <v>1778000400000</v>
      </c>
      <c r="Q65">
        <v>2628</v>
      </c>
      <c r="S65">
        <v>1778000400000</v>
      </c>
      <c r="T65">
        <v>288</v>
      </c>
      <c r="V65">
        <v>1778000400000</v>
      </c>
      <c r="W65">
        <v>196</v>
      </c>
      <c r="X65" s="6"/>
      <c r="Y65">
        <v>1778086800000</v>
      </c>
      <c r="Z65">
        <v>156</v>
      </c>
      <c r="AB65">
        <v>1778086800000</v>
      </c>
      <c r="AC65">
        <v>2252</v>
      </c>
      <c r="AE65">
        <v>1778086800000</v>
      </c>
      <c r="AF65">
        <v>144</v>
      </c>
      <c r="AH65">
        <v>1778086800000</v>
      </c>
      <c r="AI65">
        <v>400</v>
      </c>
      <c r="AK65">
        <v>1778086800000</v>
      </c>
      <c r="AL65">
        <v>64</v>
      </c>
      <c r="AN65">
        <v>1778086800000</v>
      </c>
      <c r="AO65">
        <v>2700</v>
      </c>
      <c r="AQ65">
        <v>1778086800000</v>
      </c>
      <c r="AR65">
        <v>144</v>
      </c>
      <c r="AT65">
        <v>1778086800000</v>
      </c>
      <c r="AU65">
        <v>204</v>
      </c>
      <c r="AV65" s="6"/>
      <c r="AW65">
        <v>1779123600000</v>
      </c>
      <c r="AX65">
        <v>172</v>
      </c>
      <c r="AZ65">
        <v>1779123600000</v>
      </c>
      <c r="BA65">
        <v>2716</v>
      </c>
      <c r="BC65">
        <v>1779123600000</v>
      </c>
      <c r="BD65">
        <v>80</v>
      </c>
      <c r="BF65">
        <v>1779123600000</v>
      </c>
      <c r="BG65">
        <v>292</v>
      </c>
      <c r="BI65">
        <v>1779123600000</v>
      </c>
      <c r="BJ65">
        <v>72</v>
      </c>
      <c r="BL65">
        <v>1779123600000</v>
      </c>
      <c r="BM65">
        <v>3300</v>
      </c>
      <c r="BO65">
        <v>1779123600000</v>
      </c>
      <c r="BP65">
        <v>180</v>
      </c>
      <c r="BR65">
        <v>1779123600000</v>
      </c>
      <c r="BS65">
        <v>184</v>
      </c>
      <c r="BT65" s="6"/>
      <c r="BU65">
        <v>1782234000000</v>
      </c>
      <c r="BV65">
        <v>100</v>
      </c>
      <c r="BX65">
        <v>1782234000000</v>
      </c>
      <c r="BY65">
        <v>1532</v>
      </c>
      <c r="CA65">
        <v>1782234000000</v>
      </c>
      <c r="CB65">
        <v>84</v>
      </c>
      <c r="CD65">
        <v>1782234000000</v>
      </c>
      <c r="CE65">
        <v>448</v>
      </c>
      <c r="CG65">
        <v>1782234000000</v>
      </c>
      <c r="CH65">
        <v>184</v>
      </c>
      <c r="CJ65">
        <v>1782234000000</v>
      </c>
      <c r="CK65">
        <v>1712</v>
      </c>
      <c r="CM65">
        <v>1782234000000</v>
      </c>
      <c r="CN65">
        <v>140</v>
      </c>
      <c r="CP65">
        <v>1782234000000</v>
      </c>
      <c r="CQ65">
        <v>140</v>
      </c>
      <c r="CR65" s="6"/>
      <c r="CS65">
        <v>1784048400000</v>
      </c>
      <c r="CT65">
        <v>184</v>
      </c>
      <c r="CV65">
        <v>1784048400000</v>
      </c>
      <c r="CW65">
        <v>1532</v>
      </c>
      <c r="CY65">
        <v>1784048400000</v>
      </c>
      <c r="CZ65">
        <v>60</v>
      </c>
      <c r="DB65">
        <v>1784048400000</v>
      </c>
      <c r="DC65">
        <v>344</v>
      </c>
      <c r="DE65">
        <v>1784048400000</v>
      </c>
      <c r="DF65">
        <v>60</v>
      </c>
      <c r="DH65">
        <v>1784048400000</v>
      </c>
      <c r="DI65">
        <v>1512</v>
      </c>
      <c r="DK65">
        <v>1784048400000</v>
      </c>
      <c r="DL65">
        <v>228</v>
      </c>
      <c r="DN65">
        <v>1784048400000</v>
      </c>
      <c r="DO65">
        <v>188</v>
      </c>
      <c r="DP65" s="6"/>
      <c r="DQ65">
        <v>1784134800000</v>
      </c>
      <c r="DR65">
        <v>144</v>
      </c>
      <c r="DT65">
        <v>1784134800000</v>
      </c>
      <c r="DU65">
        <v>1628</v>
      </c>
      <c r="DW65">
        <v>1784134800000</v>
      </c>
      <c r="DX65">
        <v>116</v>
      </c>
      <c r="DZ65">
        <v>1784134800000</v>
      </c>
      <c r="EA65">
        <v>316</v>
      </c>
      <c r="EC65">
        <v>1784134800000</v>
      </c>
      <c r="ED65">
        <v>88</v>
      </c>
      <c r="EF65">
        <v>1784134800000</v>
      </c>
      <c r="EG65">
        <v>1736</v>
      </c>
      <c r="EI65">
        <v>1784134800000</v>
      </c>
      <c r="EJ65">
        <v>148</v>
      </c>
      <c r="EL65">
        <v>1784134800000</v>
      </c>
      <c r="EM65">
        <v>248</v>
      </c>
      <c r="EN65" s="6"/>
    </row>
    <row r="66" spans="1:144">
      <c r="A66">
        <v>1778001300000</v>
      </c>
      <c r="B66">
        <v>244</v>
      </c>
      <c r="D66">
        <v>1778001300000</v>
      </c>
      <c r="E66">
        <v>1692</v>
      </c>
      <c r="G66">
        <v>1778001300000</v>
      </c>
      <c r="H66">
        <v>108</v>
      </c>
      <c r="J66">
        <v>1778001300000</v>
      </c>
      <c r="K66">
        <v>396</v>
      </c>
      <c r="M66">
        <v>1778001300000</v>
      </c>
      <c r="N66">
        <v>100</v>
      </c>
      <c r="P66">
        <v>1778001300000</v>
      </c>
      <c r="Q66">
        <v>2632</v>
      </c>
      <c r="S66">
        <v>1778001300000</v>
      </c>
      <c r="T66">
        <v>212</v>
      </c>
      <c r="V66">
        <v>1778001300000</v>
      </c>
      <c r="W66">
        <v>220</v>
      </c>
      <c r="X66" s="6"/>
      <c r="Y66">
        <v>1778087700000</v>
      </c>
      <c r="Z66">
        <v>196</v>
      </c>
      <c r="AB66">
        <v>1778087700000</v>
      </c>
      <c r="AC66">
        <v>2164</v>
      </c>
      <c r="AE66">
        <v>1778087700000</v>
      </c>
      <c r="AF66">
        <v>132</v>
      </c>
      <c r="AH66">
        <v>1778087700000</v>
      </c>
      <c r="AI66">
        <v>332</v>
      </c>
      <c r="AK66">
        <v>1778087700000</v>
      </c>
      <c r="AL66">
        <v>52</v>
      </c>
      <c r="AN66">
        <v>1778087700000</v>
      </c>
      <c r="AO66">
        <v>2612</v>
      </c>
      <c r="AQ66">
        <v>1778087700000</v>
      </c>
      <c r="AR66">
        <v>148</v>
      </c>
      <c r="AT66">
        <v>1778087700000</v>
      </c>
      <c r="AU66">
        <v>208</v>
      </c>
      <c r="AV66" s="6"/>
      <c r="AW66">
        <v>1779124500000</v>
      </c>
      <c r="AX66">
        <v>156</v>
      </c>
      <c r="AZ66">
        <v>1779124500000</v>
      </c>
      <c r="BA66">
        <v>2400</v>
      </c>
      <c r="BC66">
        <v>1779124500000</v>
      </c>
      <c r="BD66">
        <v>112</v>
      </c>
      <c r="BF66">
        <v>1779124500000</v>
      </c>
      <c r="BG66">
        <v>384</v>
      </c>
      <c r="BI66">
        <v>1779124500000</v>
      </c>
      <c r="BJ66">
        <v>72</v>
      </c>
      <c r="BL66">
        <v>1779124500000</v>
      </c>
      <c r="BM66">
        <v>2732</v>
      </c>
      <c r="BO66">
        <v>1779124500000</v>
      </c>
      <c r="BP66">
        <v>196</v>
      </c>
      <c r="BR66">
        <v>1779124500000</v>
      </c>
      <c r="BS66">
        <v>256</v>
      </c>
      <c r="BT66" s="6"/>
      <c r="BU66">
        <v>1782234900000</v>
      </c>
      <c r="BV66">
        <v>140</v>
      </c>
      <c r="BX66">
        <v>1782234900000</v>
      </c>
      <c r="BY66">
        <v>1784</v>
      </c>
      <c r="CA66">
        <v>1782234900000</v>
      </c>
      <c r="CB66">
        <v>148</v>
      </c>
      <c r="CD66">
        <v>1782234900000</v>
      </c>
      <c r="CE66">
        <v>280</v>
      </c>
      <c r="CG66">
        <v>1782234900000</v>
      </c>
      <c r="CH66">
        <v>76</v>
      </c>
      <c r="CJ66">
        <v>1782234900000</v>
      </c>
      <c r="CK66">
        <v>1764</v>
      </c>
      <c r="CM66">
        <v>1782234900000</v>
      </c>
      <c r="CN66">
        <v>152</v>
      </c>
      <c r="CP66">
        <v>1782234900000</v>
      </c>
      <c r="CQ66">
        <v>220</v>
      </c>
      <c r="CR66" s="6"/>
      <c r="CS66">
        <v>1784049300000</v>
      </c>
      <c r="CT66">
        <v>228</v>
      </c>
      <c r="CV66">
        <v>1784049300000</v>
      </c>
      <c r="CW66">
        <v>1440</v>
      </c>
      <c r="CY66">
        <v>1784049300000</v>
      </c>
      <c r="CZ66">
        <v>120</v>
      </c>
      <c r="DB66">
        <v>1784049300000</v>
      </c>
      <c r="DC66">
        <v>292</v>
      </c>
      <c r="DE66">
        <v>1784049300000</v>
      </c>
      <c r="DF66">
        <v>44</v>
      </c>
      <c r="DH66">
        <v>1784049300000</v>
      </c>
      <c r="DI66">
        <v>1600</v>
      </c>
      <c r="DK66">
        <v>1784049300000</v>
      </c>
      <c r="DL66">
        <v>196</v>
      </c>
      <c r="DN66">
        <v>1784049300000</v>
      </c>
      <c r="DO66">
        <v>188</v>
      </c>
      <c r="DP66" s="6"/>
      <c r="DQ66">
        <v>1784135700000</v>
      </c>
      <c r="DR66">
        <v>252</v>
      </c>
      <c r="DT66">
        <v>1784135700000</v>
      </c>
      <c r="DU66">
        <v>1496</v>
      </c>
      <c r="DW66">
        <v>1784135700000</v>
      </c>
      <c r="DX66">
        <v>168</v>
      </c>
      <c r="DZ66">
        <v>1784135700000</v>
      </c>
      <c r="EA66">
        <v>352</v>
      </c>
      <c r="EC66">
        <v>1784135700000</v>
      </c>
      <c r="ED66">
        <v>84</v>
      </c>
      <c r="EF66">
        <v>1784135700000</v>
      </c>
      <c r="EG66">
        <v>1684</v>
      </c>
      <c r="EI66">
        <v>1784135700000</v>
      </c>
      <c r="EJ66">
        <v>172</v>
      </c>
      <c r="EL66">
        <v>1784135700000</v>
      </c>
      <c r="EM66">
        <v>188</v>
      </c>
      <c r="EN66" s="6"/>
    </row>
    <row r="67" spans="1:144">
      <c r="A67">
        <v>1778002200000</v>
      </c>
      <c r="B67">
        <v>140</v>
      </c>
      <c r="D67">
        <v>1778002200000</v>
      </c>
      <c r="E67">
        <v>1596</v>
      </c>
      <c r="G67">
        <v>1778002200000</v>
      </c>
      <c r="H67">
        <v>100</v>
      </c>
      <c r="J67">
        <v>1778002200000</v>
      </c>
      <c r="K67">
        <v>464</v>
      </c>
      <c r="M67">
        <v>1778002200000</v>
      </c>
      <c r="N67">
        <v>56</v>
      </c>
      <c r="P67">
        <v>1778002200000</v>
      </c>
      <c r="Q67">
        <v>2596</v>
      </c>
      <c r="S67">
        <v>1778002200000</v>
      </c>
      <c r="T67">
        <v>144</v>
      </c>
      <c r="V67">
        <v>1778002200000</v>
      </c>
      <c r="W67">
        <v>212</v>
      </c>
      <c r="X67" s="6"/>
      <c r="Y67">
        <v>1778088600000</v>
      </c>
      <c r="Z67">
        <v>268</v>
      </c>
      <c r="AB67">
        <v>1778088600000</v>
      </c>
      <c r="AC67">
        <v>1836</v>
      </c>
      <c r="AE67">
        <v>1778088600000</v>
      </c>
      <c r="AF67">
        <v>84</v>
      </c>
      <c r="AH67">
        <v>1778088600000</v>
      </c>
      <c r="AI67">
        <v>456</v>
      </c>
      <c r="AK67">
        <v>1778088600000</v>
      </c>
      <c r="AL67">
        <v>44</v>
      </c>
      <c r="AN67">
        <v>1778088600000</v>
      </c>
      <c r="AO67">
        <v>2328</v>
      </c>
      <c r="AQ67">
        <v>1778088600000</v>
      </c>
      <c r="AR67">
        <v>172</v>
      </c>
      <c r="AT67">
        <v>1778088600000</v>
      </c>
      <c r="AU67">
        <v>180</v>
      </c>
      <c r="AV67" s="6"/>
      <c r="AW67">
        <v>1779125400000</v>
      </c>
      <c r="AX67">
        <v>208</v>
      </c>
      <c r="AZ67">
        <v>1779125400000</v>
      </c>
      <c r="BA67">
        <v>2308</v>
      </c>
      <c r="BC67">
        <v>1779125400000</v>
      </c>
      <c r="BD67">
        <v>88</v>
      </c>
      <c r="BF67">
        <v>1779125400000</v>
      </c>
      <c r="BG67">
        <v>476</v>
      </c>
      <c r="BI67">
        <v>1779125400000</v>
      </c>
      <c r="BJ67">
        <v>92</v>
      </c>
      <c r="BL67">
        <v>1779125400000</v>
      </c>
      <c r="BM67">
        <v>3020</v>
      </c>
      <c r="BO67">
        <v>1779125400000</v>
      </c>
      <c r="BP67">
        <v>164</v>
      </c>
      <c r="BR67">
        <v>1779125400000</v>
      </c>
      <c r="BS67">
        <v>200</v>
      </c>
      <c r="BT67" s="6"/>
      <c r="BU67">
        <v>1782235800000</v>
      </c>
      <c r="BV67">
        <v>140</v>
      </c>
      <c r="BX67">
        <v>1782235800000</v>
      </c>
      <c r="BY67">
        <v>1820</v>
      </c>
      <c r="CA67">
        <v>1782235800000</v>
      </c>
      <c r="CB67">
        <v>128</v>
      </c>
      <c r="CD67">
        <v>1782235800000</v>
      </c>
      <c r="CE67">
        <v>420</v>
      </c>
      <c r="CG67">
        <v>1782235800000</v>
      </c>
      <c r="CH67">
        <v>76</v>
      </c>
      <c r="CJ67">
        <v>1782235800000</v>
      </c>
      <c r="CK67">
        <v>1960</v>
      </c>
      <c r="CM67">
        <v>1782235800000</v>
      </c>
      <c r="CN67">
        <v>168</v>
      </c>
      <c r="CP67">
        <v>1782235800000</v>
      </c>
      <c r="CQ67">
        <v>204</v>
      </c>
      <c r="CR67" s="6"/>
      <c r="CS67">
        <v>1784050200000</v>
      </c>
      <c r="CT67">
        <v>404</v>
      </c>
      <c r="CV67">
        <v>1784050200000</v>
      </c>
      <c r="CW67">
        <v>1780</v>
      </c>
      <c r="CY67">
        <v>1784050200000</v>
      </c>
      <c r="CZ67">
        <v>148</v>
      </c>
      <c r="DB67">
        <v>1784050200000</v>
      </c>
      <c r="DC67">
        <v>356</v>
      </c>
      <c r="DE67">
        <v>1784050200000</v>
      </c>
      <c r="DF67">
        <v>84</v>
      </c>
      <c r="DH67">
        <v>1784050200000</v>
      </c>
      <c r="DI67">
        <v>1696</v>
      </c>
      <c r="DK67">
        <v>1784050200000</v>
      </c>
      <c r="DL67">
        <v>452</v>
      </c>
      <c r="DN67">
        <v>1784050200000</v>
      </c>
      <c r="DO67">
        <v>204</v>
      </c>
      <c r="DP67" s="6"/>
      <c r="DQ67">
        <v>1784136600000</v>
      </c>
      <c r="DR67">
        <v>140</v>
      </c>
      <c r="DT67">
        <v>1784136600000</v>
      </c>
      <c r="DU67">
        <v>1588</v>
      </c>
      <c r="DW67">
        <v>1784136600000</v>
      </c>
      <c r="DX67">
        <v>132</v>
      </c>
      <c r="DZ67">
        <v>1784136600000</v>
      </c>
      <c r="EA67">
        <v>408</v>
      </c>
      <c r="EC67">
        <v>1784136600000</v>
      </c>
      <c r="ED67">
        <v>64</v>
      </c>
      <c r="EF67">
        <v>1784136600000</v>
      </c>
      <c r="EG67">
        <v>1572</v>
      </c>
      <c r="EI67">
        <v>1784136600000</v>
      </c>
      <c r="EJ67">
        <v>192</v>
      </c>
      <c r="EL67">
        <v>1784136600000</v>
      </c>
      <c r="EM67">
        <v>292</v>
      </c>
      <c r="EN67" s="6"/>
    </row>
    <row r="68" spans="1:144">
      <c r="A68">
        <v>1778003100000</v>
      </c>
      <c r="B68">
        <v>180</v>
      </c>
      <c r="D68">
        <v>1778003100000</v>
      </c>
      <c r="E68">
        <v>1720</v>
      </c>
      <c r="G68">
        <v>1778003100000</v>
      </c>
      <c r="H68">
        <v>104</v>
      </c>
      <c r="J68">
        <v>1778003100000</v>
      </c>
      <c r="K68">
        <v>552</v>
      </c>
      <c r="M68">
        <v>1778003100000</v>
      </c>
      <c r="N68">
        <v>72</v>
      </c>
      <c r="P68">
        <v>1778003100000</v>
      </c>
      <c r="Q68">
        <v>2832</v>
      </c>
      <c r="S68">
        <v>1778003100000</v>
      </c>
      <c r="T68">
        <v>148</v>
      </c>
      <c r="V68">
        <v>1778003100000</v>
      </c>
      <c r="W68">
        <v>244</v>
      </c>
      <c r="X68" s="6"/>
      <c r="Y68">
        <v>1778089500000</v>
      </c>
      <c r="Z68">
        <v>144</v>
      </c>
      <c r="AB68">
        <v>1778089500000</v>
      </c>
      <c r="AC68">
        <v>2172</v>
      </c>
      <c r="AE68">
        <v>1778089500000</v>
      </c>
      <c r="AF68">
        <v>96</v>
      </c>
      <c r="AH68">
        <v>1778089500000</v>
      </c>
      <c r="AI68">
        <v>444</v>
      </c>
      <c r="AK68">
        <v>1778089500000</v>
      </c>
      <c r="AL68">
        <v>96</v>
      </c>
      <c r="AN68">
        <v>1778089500000</v>
      </c>
      <c r="AO68">
        <v>2456</v>
      </c>
      <c r="AQ68">
        <v>1778089500000</v>
      </c>
      <c r="AR68">
        <v>148</v>
      </c>
      <c r="AT68">
        <v>1778089500000</v>
      </c>
      <c r="AU68">
        <v>164</v>
      </c>
      <c r="AV68" s="6"/>
      <c r="AW68">
        <v>1779126300000</v>
      </c>
      <c r="AX68">
        <v>160</v>
      </c>
      <c r="AZ68">
        <v>1779126300000</v>
      </c>
      <c r="BA68">
        <v>2432</v>
      </c>
      <c r="BC68">
        <v>1779126300000</v>
      </c>
      <c r="BD68">
        <v>104</v>
      </c>
      <c r="BF68">
        <v>1779126300000</v>
      </c>
      <c r="BG68">
        <v>388</v>
      </c>
      <c r="BI68">
        <v>1779126300000</v>
      </c>
      <c r="BJ68">
        <v>64</v>
      </c>
      <c r="BL68">
        <v>1779126300000</v>
      </c>
      <c r="BM68">
        <v>2772</v>
      </c>
      <c r="BO68">
        <v>1779126300000</v>
      </c>
      <c r="BP68">
        <v>196</v>
      </c>
      <c r="BR68">
        <v>1779126300000</v>
      </c>
      <c r="BS68">
        <v>228</v>
      </c>
      <c r="BT68" s="6"/>
      <c r="BU68">
        <v>1782236700000</v>
      </c>
      <c r="BV68">
        <v>140</v>
      </c>
      <c r="BX68">
        <v>1782236700000</v>
      </c>
      <c r="BY68">
        <v>1692</v>
      </c>
      <c r="CA68">
        <v>1782236700000</v>
      </c>
      <c r="CB68">
        <v>104</v>
      </c>
      <c r="CD68">
        <v>1782236700000</v>
      </c>
      <c r="CE68">
        <v>372</v>
      </c>
      <c r="CG68">
        <v>1782236700000</v>
      </c>
      <c r="CH68">
        <v>88</v>
      </c>
      <c r="CJ68">
        <v>1782236700000</v>
      </c>
      <c r="CK68">
        <v>1732</v>
      </c>
      <c r="CM68">
        <v>1782236700000</v>
      </c>
      <c r="CN68">
        <v>152</v>
      </c>
      <c r="CP68">
        <v>1782236700000</v>
      </c>
      <c r="CQ68">
        <v>204</v>
      </c>
      <c r="CR68" s="6"/>
      <c r="CS68">
        <v>1784051100000</v>
      </c>
      <c r="CT68">
        <v>112</v>
      </c>
      <c r="CV68">
        <v>1784051100000</v>
      </c>
      <c r="CW68">
        <v>1616</v>
      </c>
      <c r="CY68">
        <v>1784051100000</v>
      </c>
      <c r="CZ68">
        <v>128</v>
      </c>
      <c r="DB68">
        <v>1784051100000</v>
      </c>
      <c r="DC68">
        <v>316</v>
      </c>
      <c r="DE68">
        <v>1784051100000</v>
      </c>
      <c r="DF68">
        <v>128</v>
      </c>
      <c r="DH68">
        <v>1784051100000</v>
      </c>
      <c r="DI68">
        <v>1704</v>
      </c>
      <c r="DK68">
        <v>1784051100000</v>
      </c>
      <c r="DL68">
        <v>376</v>
      </c>
      <c r="DN68">
        <v>1784051100000</v>
      </c>
      <c r="DO68">
        <v>316</v>
      </c>
      <c r="DP68" s="6"/>
      <c r="DQ68">
        <v>1784137500000</v>
      </c>
      <c r="DR68">
        <v>256</v>
      </c>
      <c r="DT68">
        <v>1784137500000</v>
      </c>
      <c r="DU68">
        <v>1516</v>
      </c>
      <c r="DW68">
        <v>1784137500000</v>
      </c>
      <c r="DX68">
        <v>176</v>
      </c>
      <c r="DZ68">
        <v>1784137500000</v>
      </c>
      <c r="EA68">
        <v>284</v>
      </c>
      <c r="EC68">
        <v>1784137500000</v>
      </c>
      <c r="ED68">
        <v>92</v>
      </c>
      <c r="EF68">
        <v>1784137500000</v>
      </c>
      <c r="EG68">
        <v>1876</v>
      </c>
      <c r="EI68">
        <v>1784137500000</v>
      </c>
      <c r="EJ68">
        <v>156</v>
      </c>
      <c r="EL68">
        <v>1784137500000</v>
      </c>
      <c r="EM68">
        <v>200</v>
      </c>
      <c r="EN68" s="6"/>
    </row>
    <row r="69" spans="1:144">
      <c r="A69">
        <v>1778004000000</v>
      </c>
      <c r="B69">
        <v>420</v>
      </c>
      <c r="D69">
        <v>1778004000000</v>
      </c>
      <c r="E69">
        <v>2088</v>
      </c>
      <c r="G69">
        <v>1778004000000</v>
      </c>
      <c r="H69">
        <v>68</v>
      </c>
      <c r="J69">
        <v>1778004000000</v>
      </c>
      <c r="K69">
        <v>320</v>
      </c>
      <c r="M69">
        <v>1778004000000</v>
      </c>
      <c r="N69">
        <v>60</v>
      </c>
      <c r="P69">
        <v>1778004000000</v>
      </c>
      <c r="Q69">
        <v>2528</v>
      </c>
      <c r="S69">
        <v>1778004000000</v>
      </c>
      <c r="T69">
        <v>152</v>
      </c>
      <c r="V69">
        <v>1778004000000</v>
      </c>
      <c r="W69">
        <v>204</v>
      </c>
      <c r="X69" s="6"/>
      <c r="Y69">
        <v>1778090400000</v>
      </c>
      <c r="Z69">
        <v>288</v>
      </c>
      <c r="AB69">
        <v>1778090400000</v>
      </c>
      <c r="AC69">
        <v>2320</v>
      </c>
      <c r="AE69">
        <v>1778090400000</v>
      </c>
      <c r="AF69">
        <v>96</v>
      </c>
      <c r="AH69">
        <v>1778090400000</v>
      </c>
      <c r="AI69">
        <v>300</v>
      </c>
      <c r="AK69">
        <v>1778090400000</v>
      </c>
      <c r="AL69">
        <v>68</v>
      </c>
      <c r="AN69">
        <v>1778090400000</v>
      </c>
      <c r="AO69">
        <v>2604</v>
      </c>
      <c r="AQ69">
        <v>1778090400000</v>
      </c>
      <c r="AR69">
        <v>116</v>
      </c>
      <c r="AT69">
        <v>1778090400000</v>
      </c>
      <c r="AU69">
        <v>224</v>
      </c>
      <c r="AV69" s="6"/>
      <c r="AW69">
        <v>1779127200000</v>
      </c>
      <c r="AX69">
        <v>204</v>
      </c>
      <c r="AZ69">
        <v>1779127200000</v>
      </c>
      <c r="BA69">
        <v>2276</v>
      </c>
      <c r="BC69">
        <v>1779127200000</v>
      </c>
      <c r="BD69">
        <v>124</v>
      </c>
      <c r="BF69">
        <v>1779127200000</v>
      </c>
      <c r="BG69">
        <v>372</v>
      </c>
      <c r="BI69">
        <v>1779127200000</v>
      </c>
      <c r="BJ69">
        <v>72</v>
      </c>
      <c r="BL69">
        <v>1779127200000</v>
      </c>
      <c r="BM69">
        <v>2868</v>
      </c>
      <c r="BO69">
        <v>1779127200000</v>
      </c>
      <c r="BP69">
        <v>180</v>
      </c>
      <c r="BR69">
        <v>1779127200000</v>
      </c>
      <c r="BS69">
        <v>252</v>
      </c>
      <c r="BT69" s="6"/>
      <c r="BU69">
        <v>1782237600000</v>
      </c>
      <c r="BV69">
        <v>144</v>
      </c>
      <c r="BX69">
        <v>1782237600000</v>
      </c>
      <c r="BY69">
        <v>1636</v>
      </c>
      <c r="CA69">
        <v>1782237600000</v>
      </c>
      <c r="CB69">
        <v>152</v>
      </c>
      <c r="CD69">
        <v>1782237600000</v>
      </c>
      <c r="CE69">
        <v>268</v>
      </c>
      <c r="CG69">
        <v>1782237600000</v>
      </c>
      <c r="CH69">
        <v>92</v>
      </c>
      <c r="CJ69">
        <v>1782237600000</v>
      </c>
      <c r="CK69">
        <v>1860</v>
      </c>
      <c r="CM69">
        <v>1782237600000</v>
      </c>
      <c r="CN69">
        <v>160</v>
      </c>
      <c r="CP69">
        <v>1782237600000</v>
      </c>
      <c r="CQ69">
        <v>188</v>
      </c>
      <c r="CR69" s="6"/>
      <c r="CS69">
        <v>1784052000000</v>
      </c>
      <c r="CT69">
        <v>280</v>
      </c>
      <c r="CV69">
        <v>1784052000000</v>
      </c>
      <c r="CW69">
        <v>1604</v>
      </c>
      <c r="CY69">
        <v>1784052000000</v>
      </c>
      <c r="CZ69">
        <v>120</v>
      </c>
      <c r="DB69">
        <v>1784052000000</v>
      </c>
      <c r="DC69">
        <v>292</v>
      </c>
      <c r="DE69">
        <v>1784052000000</v>
      </c>
      <c r="DF69">
        <v>108</v>
      </c>
      <c r="DH69">
        <v>1784052000000</v>
      </c>
      <c r="DI69">
        <v>1668</v>
      </c>
      <c r="DK69">
        <v>1784052000000</v>
      </c>
      <c r="DL69">
        <v>228</v>
      </c>
      <c r="DN69">
        <v>1784052000000</v>
      </c>
      <c r="DO69">
        <v>232</v>
      </c>
      <c r="DP69" s="6"/>
      <c r="DQ69">
        <v>1784138400000</v>
      </c>
      <c r="DR69">
        <v>196</v>
      </c>
      <c r="DT69">
        <v>1784138400000</v>
      </c>
      <c r="DU69">
        <v>1592</v>
      </c>
      <c r="DW69">
        <v>1784138400000</v>
      </c>
      <c r="DX69">
        <v>128</v>
      </c>
      <c r="DZ69">
        <v>1784138400000</v>
      </c>
      <c r="EA69">
        <v>300</v>
      </c>
      <c r="EC69">
        <v>1784138400000</v>
      </c>
      <c r="ED69">
        <v>108</v>
      </c>
      <c r="EF69">
        <v>1784138400000</v>
      </c>
      <c r="EG69">
        <v>1576</v>
      </c>
      <c r="EI69">
        <v>1784138400000</v>
      </c>
      <c r="EJ69">
        <v>316</v>
      </c>
      <c r="EL69">
        <v>1784138400000</v>
      </c>
      <c r="EM69">
        <v>232</v>
      </c>
      <c r="EN69" s="6"/>
    </row>
    <row r="70" spans="1:144">
      <c r="A70">
        <v>1778004900000</v>
      </c>
      <c r="B70">
        <v>268</v>
      </c>
      <c r="D70">
        <v>1778004900000</v>
      </c>
      <c r="E70">
        <v>2140</v>
      </c>
      <c r="G70">
        <v>1778004900000</v>
      </c>
      <c r="H70">
        <v>120</v>
      </c>
      <c r="J70">
        <v>1778004900000</v>
      </c>
      <c r="K70">
        <v>372</v>
      </c>
      <c r="M70">
        <v>1778004900000</v>
      </c>
      <c r="N70">
        <v>56</v>
      </c>
      <c r="P70">
        <v>1778004900000</v>
      </c>
      <c r="Q70">
        <v>2580</v>
      </c>
      <c r="S70">
        <v>1778004900000</v>
      </c>
      <c r="T70">
        <v>152</v>
      </c>
      <c r="V70">
        <v>1778004900000</v>
      </c>
      <c r="W70">
        <v>184</v>
      </c>
      <c r="X70" s="6"/>
      <c r="Y70">
        <v>1778091300000</v>
      </c>
      <c r="Z70">
        <v>260</v>
      </c>
      <c r="AB70">
        <v>1778091300000</v>
      </c>
      <c r="AC70">
        <v>2008</v>
      </c>
      <c r="AE70">
        <v>1778091300000</v>
      </c>
      <c r="AF70">
        <v>76</v>
      </c>
      <c r="AH70">
        <v>1778091300000</v>
      </c>
      <c r="AI70">
        <v>348</v>
      </c>
      <c r="AK70">
        <v>1778091300000</v>
      </c>
      <c r="AL70">
        <v>56</v>
      </c>
      <c r="AN70">
        <v>1778091300000</v>
      </c>
      <c r="AO70">
        <v>2548</v>
      </c>
      <c r="AQ70">
        <v>1778091300000</v>
      </c>
      <c r="AR70">
        <v>148</v>
      </c>
      <c r="AT70">
        <v>1778091300000</v>
      </c>
      <c r="AU70">
        <v>208</v>
      </c>
      <c r="AV70" s="6"/>
      <c r="AW70">
        <v>1779128100000</v>
      </c>
      <c r="AX70">
        <v>228</v>
      </c>
      <c r="AZ70">
        <v>1779128100000</v>
      </c>
      <c r="BA70">
        <v>2644</v>
      </c>
      <c r="BC70">
        <v>1779128100000</v>
      </c>
      <c r="BD70">
        <v>104</v>
      </c>
      <c r="BF70">
        <v>1779128100000</v>
      </c>
      <c r="BG70">
        <v>460</v>
      </c>
      <c r="BI70">
        <v>1779128100000</v>
      </c>
      <c r="BJ70">
        <v>92</v>
      </c>
      <c r="BL70">
        <v>1779128100000</v>
      </c>
      <c r="BM70">
        <v>2960</v>
      </c>
      <c r="BO70">
        <v>1779128100000</v>
      </c>
      <c r="BP70">
        <v>164</v>
      </c>
      <c r="BR70">
        <v>1779128100000</v>
      </c>
      <c r="BS70">
        <v>192</v>
      </c>
      <c r="BT70" s="6"/>
      <c r="BU70">
        <v>1782238500000</v>
      </c>
      <c r="BV70">
        <v>316</v>
      </c>
      <c r="BX70">
        <v>1782238500000</v>
      </c>
      <c r="BY70">
        <v>2076</v>
      </c>
      <c r="CA70">
        <v>1782238500000</v>
      </c>
      <c r="CB70">
        <v>140</v>
      </c>
      <c r="CD70">
        <v>1782238500000</v>
      </c>
      <c r="CE70">
        <v>448</v>
      </c>
      <c r="CG70">
        <v>1782238500000</v>
      </c>
      <c r="CH70">
        <v>76</v>
      </c>
      <c r="CJ70">
        <v>1782238500000</v>
      </c>
      <c r="CK70">
        <v>1948</v>
      </c>
      <c r="CM70">
        <v>1782238500000</v>
      </c>
      <c r="CN70">
        <v>224</v>
      </c>
      <c r="CP70">
        <v>1782238500000</v>
      </c>
      <c r="CQ70">
        <v>224</v>
      </c>
      <c r="CR70" s="6"/>
      <c r="CS70">
        <v>1784052900000</v>
      </c>
      <c r="CT70">
        <v>304</v>
      </c>
      <c r="CV70">
        <v>1784052900000</v>
      </c>
      <c r="CW70">
        <v>1716</v>
      </c>
      <c r="CY70">
        <v>1784052900000</v>
      </c>
      <c r="CZ70">
        <v>48</v>
      </c>
      <c r="DB70">
        <v>1784052900000</v>
      </c>
      <c r="DC70">
        <v>352</v>
      </c>
      <c r="DE70">
        <v>1784052900000</v>
      </c>
      <c r="DF70">
        <v>92</v>
      </c>
      <c r="DH70">
        <v>1784052900000</v>
      </c>
      <c r="DI70">
        <v>1552</v>
      </c>
      <c r="DK70">
        <v>1784052900000</v>
      </c>
      <c r="DL70">
        <v>236</v>
      </c>
      <c r="DN70">
        <v>1784052900000</v>
      </c>
      <c r="DO70">
        <v>268</v>
      </c>
      <c r="DP70" s="6"/>
      <c r="DQ70">
        <v>1784139300000</v>
      </c>
      <c r="DR70">
        <v>140</v>
      </c>
      <c r="DT70">
        <v>1784139300000</v>
      </c>
      <c r="DU70">
        <v>1620</v>
      </c>
      <c r="DW70">
        <v>1784139300000</v>
      </c>
      <c r="DX70">
        <v>68</v>
      </c>
      <c r="DZ70">
        <v>1784139300000</v>
      </c>
      <c r="EA70">
        <v>388</v>
      </c>
      <c r="EC70">
        <v>1784139300000</v>
      </c>
      <c r="ED70">
        <v>104</v>
      </c>
      <c r="EF70">
        <v>1784139300000</v>
      </c>
      <c r="EG70">
        <v>1620</v>
      </c>
      <c r="EI70">
        <v>1784139300000</v>
      </c>
      <c r="EJ70">
        <v>212</v>
      </c>
      <c r="EL70">
        <v>1784139300000</v>
      </c>
      <c r="EM70">
        <v>196</v>
      </c>
      <c r="EN70" s="6"/>
    </row>
    <row r="71" spans="1:144">
      <c r="A71">
        <v>1778005800000</v>
      </c>
      <c r="B71">
        <v>300</v>
      </c>
      <c r="D71">
        <v>1778005800000</v>
      </c>
      <c r="E71">
        <v>2312</v>
      </c>
      <c r="G71">
        <v>1778005800000</v>
      </c>
      <c r="H71">
        <v>72</v>
      </c>
      <c r="J71">
        <v>1778005800000</v>
      </c>
      <c r="K71">
        <v>388</v>
      </c>
      <c r="M71">
        <v>1778005800000</v>
      </c>
      <c r="N71">
        <v>72</v>
      </c>
      <c r="P71">
        <v>1778005800000</v>
      </c>
      <c r="Q71">
        <v>2620</v>
      </c>
      <c r="S71">
        <v>1778005800000</v>
      </c>
      <c r="T71">
        <v>184</v>
      </c>
      <c r="V71">
        <v>1778005800000</v>
      </c>
      <c r="W71">
        <v>224</v>
      </c>
      <c r="X71" s="6"/>
      <c r="Y71">
        <v>1778092200000</v>
      </c>
      <c r="Z71">
        <v>320</v>
      </c>
      <c r="AB71">
        <v>1778092200000</v>
      </c>
      <c r="AC71">
        <v>2228</v>
      </c>
      <c r="AE71">
        <v>1778092200000</v>
      </c>
      <c r="AF71">
        <v>116</v>
      </c>
      <c r="AH71">
        <v>1778092200000</v>
      </c>
      <c r="AI71">
        <v>428</v>
      </c>
      <c r="AK71">
        <v>1778092200000</v>
      </c>
      <c r="AL71">
        <v>64</v>
      </c>
      <c r="AN71">
        <v>1778092200000</v>
      </c>
      <c r="AO71">
        <v>2564</v>
      </c>
      <c r="AQ71">
        <v>1778092200000</v>
      </c>
      <c r="AR71">
        <v>188</v>
      </c>
      <c r="AT71">
        <v>1778092200000</v>
      </c>
      <c r="AU71">
        <v>196</v>
      </c>
      <c r="AV71" s="6"/>
      <c r="AW71">
        <v>1779129000000</v>
      </c>
      <c r="AX71">
        <v>176</v>
      </c>
      <c r="AZ71">
        <v>1779129000000</v>
      </c>
      <c r="BA71">
        <v>2524</v>
      </c>
      <c r="BC71">
        <v>1779129000000</v>
      </c>
      <c r="BD71">
        <v>148</v>
      </c>
      <c r="BF71">
        <v>1779129000000</v>
      </c>
      <c r="BG71">
        <v>448</v>
      </c>
      <c r="BI71">
        <v>1779129000000</v>
      </c>
      <c r="BJ71">
        <v>88</v>
      </c>
      <c r="BL71">
        <v>1779129000000</v>
      </c>
      <c r="BM71">
        <v>2864</v>
      </c>
      <c r="BO71">
        <v>1779129000000</v>
      </c>
      <c r="BP71">
        <v>220</v>
      </c>
      <c r="BR71">
        <v>1779129000000</v>
      </c>
      <c r="BS71">
        <v>164</v>
      </c>
      <c r="BT71" s="6"/>
      <c r="BU71">
        <v>1782239400000</v>
      </c>
      <c r="BV71">
        <v>204</v>
      </c>
      <c r="BX71">
        <v>1782239400000</v>
      </c>
      <c r="BY71">
        <v>1916</v>
      </c>
      <c r="CA71">
        <v>1782239400000</v>
      </c>
      <c r="CB71">
        <v>188</v>
      </c>
      <c r="CD71">
        <v>1782239400000</v>
      </c>
      <c r="CE71">
        <v>432</v>
      </c>
      <c r="CG71">
        <v>1782239400000</v>
      </c>
      <c r="CH71">
        <v>76</v>
      </c>
      <c r="CJ71">
        <v>1782239400000</v>
      </c>
      <c r="CK71">
        <v>1912</v>
      </c>
      <c r="CM71">
        <v>1782239400000</v>
      </c>
      <c r="CN71">
        <v>140</v>
      </c>
      <c r="CP71">
        <v>1782239400000</v>
      </c>
      <c r="CQ71">
        <v>244</v>
      </c>
      <c r="CR71" s="6"/>
      <c r="CS71">
        <v>1784053800000</v>
      </c>
      <c r="CT71">
        <v>212</v>
      </c>
      <c r="CV71">
        <v>1784053800000</v>
      </c>
      <c r="CW71">
        <v>1880</v>
      </c>
      <c r="CY71">
        <v>1784053800000</v>
      </c>
      <c r="CZ71">
        <v>92</v>
      </c>
      <c r="DB71">
        <v>1784053800000</v>
      </c>
      <c r="DC71">
        <v>368</v>
      </c>
      <c r="DE71">
        <v>1784053800000</v>
      </c>
      <c r="DF71">
        <v>80</v>
      </c>
      <c r="DH71">
        <v>1784053800000</v>
      </c>
      <c r="DI71">
        <v>1588</v>
      </c>
      <c r="DK71">
        <v>1784053800000</v>
      </c>
      <c r="DL71">
        <v>208</v>
      </c>
      <c r="DN71">
        <v>1784053800000</v>
      </c>
      <c r="DO71">
        <v>232</v>
      </c>
      <c r="DP71" s="6"/>
      <c r="DQ71">
        <v>1784140200000</v>
      </c>
      <c r="DR71">
        <v>224</v>
      </c>
      <c r="DT71">
        <v>1784140200000</v>
      </c>
      <c r="DU71">
        <v>1664</v>
      </c>
      <c r="DW71">
        <v>1784140200000</v>
      </c>
      <c r="DX71">
        <v>104</v>
      </c>
      <c r="DZ71">
        <v>1784140200000</v>
      </c>
      <c r="EA71">
        <v>344</v>
      </c>
      <c r="EC71">
        <v>1784140200000</v>
      </c>
      <c r="ED71">
        <v>64</v>
      </c>
      <c r="EF71">
        <v>1784140200000</v>
      </c>
      <c r="EG71">
        <v>1712</v>
      </c>
      <c r="EI71">
        <v>1784140200000</v>
      </c>
      <c r="EJ71">
        <v>140</v>
      </c>
      <c r="EL71">
        <v>1784140200000</v>
      </c>
      <c r="EM71">
        <v>256</v>
      </c>
      <c r="EN71" s="6"/>
    </row>
    <row r="72" spans="1:144">
      <c r="A72">
        <v>1778006700000</v>
      </c>
      <c r="B72">
        <v>268</v>
      </c>
      <c r="D72">
        <v>1778006700000</v>
      </c>
      <c r="E72">
        <v>2296</v>
      </c>
      <c r="G72">
        <v>1778006700000</v>
      </c>
      <c r="H72">
        <v>92</v>
      </c>
      <c r="J72">
        <v>1778006700000</v>
      </c>
      <c r="K72">
        <v>440</v>
      </c>
      <c r="M72">
        <v>1778006700000</v>
      </c>
      <c r="N72">
        <v>68</v>
      </c>
      <c r="P72">
        <v>1778006700000</v>
      </c>
      <c r="Q72">
        <v>2672</v>
      </c>
      <c r="S72">
        <v>1778006700000</v>
      </c>
      <c r="T72">
        <v>240</v>
      </c>
      <c r="V72">
        <v>1778006700000</v>
      </c>
      <c r="W72">
        <v>228</v>
      </c>
      <c r="X72" s="6"/>
      <c r="Y72">
        <v>1778093100000</v>
      </c>
      <c r="Z72">
        <v>156</v>
      </c>
      <c r="AB72">
        <v>1778093100000</v>
      </c>
      <c r="AC72">
        <v>2260</v>
      </c>
      <c r="AE72">
        <v>1778093100000</v>
      </c>
      <c r="AF72">
        <v>152</v>
      </c>
      <c r="AH72">
        <v>1778093100000</v>
      </c>
      <c r="AI72">
        <v>264</v>
      </c>
      <c r="AK72">
        <v>1778093100000</v>
      </c>
      <c r="AL72">
        <v>72</v>
      </c>
      <c r="AN72">
        <v>1778093100000</v>
      </c>
      <c r="AO72">
        <v>2440</v>
      </c>
      <c r="AQ72">
        <v>1778093100000</v>
      </c>
      <c r="AR72">
        <v>152</v>
      </c>
      <c r="AT72">
        <v>1778093100000</v>
      </c>
      <c r="AU72">
        <v>224</v>
      </c>
      <c r="AV72" s="6"/>
      <c r="AW72">
        <v>1779129900000</v>
      </c>
      <c r="AX72">
        <v>276</v>
      </c>
      <c r="AZ72">
        <v>1779129900000</v>
      </c>
      <c r="BA72">
        <v>2536</v>
      </c>
      <c r="BC72">
        <v>1779129900000</v>
      </c>
      <c r="BD72">
        <v>132</v>
      </c>
      <c r="BF72">
        <v>1779129900000</v>
      </c>
      <c r="BG72">
        <v>496</v>
      </c>
      <c r="BI72">
        <v>1779129900000</v>
      </c>
      <c r="BJ72">
        <v>48</v>
      </c>
      <c r="BL72">
        <v>1779129900000</v>
      </c>
      <c r="BM72">
        <v>3056</v>
      </c>
      <c r="BO72">
        <v>1779129900000</v>
      </c>
      <c r="BP72">
        <v>140</v>
      </c>
      <c r="BR72">
        <v>1779129900000</v>
      </c>
      <c r="BS72">
        <v>204</v>
      </c>
      <c r="BT72" s="6"/>
      <c r="BU72">
        <v>1782240300000</v>
      </c>
      <c r="BV72">
        <v>204</v>
      </c>
      <c r="BX72">
        <v>1782240300000</v>
      </c>
      <c r="BY72">
        <v>1956</v>
      </c>
      <c r="CA72">
        <v>1782240300000</v>
      </c>
      <c r="CB72">
        <v>152</v>
      </c>
      <c r="CD72">
        <v>1782240300000</v>
      </c>
      <c r="CE72">
        <v>532</v>
      </c>
      <c r="CG72">
        <v>1782240300000</v>
      </c>
      <c r="CH72">
        <v>108</v>
      </c>
      <c r="CJ72">
        <v>1782240300000</v>
      </c>
      <c r="CK72">
        <v>1952</v>
      </c>
      <c r="CM72">
        <v>1782240300000</v>
      </c>
      <c r="CN72">
        <v>216</v>
      </c>
      <c r="CP72">
        <v>1782240300000</v>
      </c>
      <c r="CQ72">
        <v>240</v>
      </c>
      <c r="CR72" s="6"/>
      <c r="CS72">
        <v>1784054700000</v>
      </c>
      <c r="CT72">
        <v>124</v>
      </c>
      <c r="CV72">
        <v>1784054700000</v>
      </c>
      <c r="CW72">
        <v>1760</v>
      </c>
      <c r="CY72">
        <v>1784054700000</v>
      </c>
      <c r="CZ72">
        <v>144</v>
      </c>
      <c r="DB72">
        <v>1784054700000</v>
      </c>
      <c r="DC72">
        <v>420</v>
      </c>
      <c r="DE72">
        <v>1784054700000</v>
      </c>
      <c r="DF72">
        <v>72</v>
      </c>
      <c r="DH72">
        <v>1784054700000</v>
      </c>
      <c r="DI72">
        <v>1624</v>
      </c>
      <c r="DK72">
        <v>1784054700000</v>
      </c>
      <c r="DL72">
        <v>176</v>
      </c>
      <c r="DN72">
        <v>1784054700000</v>
      </c>
      <c r="DO72">
        <v>272</v>
      </c>
      <c r="DP72" s="6"/>
      <c r="DQ72">
        <v>1784141100000</v>
      </c>
      <c r="DR72">
        <v>184</v>
      </c>
      <c r="DT72">
        <v>1784141100000</v>
      </c>
      <c r="DU72">
        <v>1884</v>
      </c>
      <c r="DW72">
        <v>1784141100000</v>
      </c>
      <c r="DX72">
        <v>144</v>
      </c>
      <c r="DZ72">
        <v>1784141100000</v>
      </c>
      <c r="EA72">
        <v>272</v>
      </c>
      <c r="EC72">
        <v>1784141100000</v>
      </c>
      <c r="ED72">
        <v>68</v>
      </c>
      <c r="EF72">
        <v>1784141100000</v>
      </c>
      <c r="EG72">
        <v>1700</v>
      </c>
      <c r="EI72">
        <v>1784141100000</v>
      </c>
      <c r="EJ72">
        <v>148</v>
      </c>
      <c r="EL72">
        <v>1784141100000</v>
      </c>
      <c r="EM72">
        <v>176</v>
      </c>
      <c r="EN72" s="6"/>
    </row>
    <row r="73" spans="1:144">
      <c r="A73">
        <v>1778007600000</v>
      </c>
      <c r="B73">
        <v>132</v>
      </c>
      <c r="D73">
        <v>1778007600000</v>
      </c>
      <c r="E73">
        <v>2376</v>
      </c>
      <c r="G73">
        <v>1778007600000</v>
      </c>
      <c r="H73">
        <v>128</v>
      </c>
      <c r="J73">
        <v>1778007600000</v>
      </c>
      <c r="K73">
        <v>384</v>
      </c>
      <c r="M73">
        <v>1778007600000</v>
      </c>
      <c r="N73">
        <v>68</v>
      </c>
      <c r="P73">
        <v>1778007600000</v>
      </c>
      <c r="Q73">
        <v>2756</v>
      </c>
      <c r="S73">
        <v>1778007600000</v>
      </c>
      <c r="T73">
        <v>184</v>
      </c>
      <c r="V73">
        <v>1778007600000</v>
      </c>
      <c r="W73">
        <v>188</v>
      </c>
      <c r="X73" s="6"/>
      <c r="Y73">
        <v>1778094000000</v>
      </c>
      <c r="Z73">
        <v>164</v>
      </c>
      <c r="AB73">
        <v>1778094000000</v>
      </c>
      <c r="AC73">
        <v>2220</v>
      </c>
      <c r="AE73">
        <v>1778094000000</v>
      </c>
      <c r="AF73">
        <v>76</v>
      </c>
      <c r="AH73">
        <v>1778094000000</v>
      </c>
      <c r="AI73">
        <v>392</v>
      </c>
      <c r="AK73">
        <v>1778094000000</v>
      </c>
      <c r="AL73">
        <v>144</v>
      </c>
      <c r="AN73">
        <v>1778094000000</v>
      </c>
      <c r="AO73">
        <v>2576</v>
      </c>
      <c r="AQ73">
        <v>1778094000000</v>
      </c>
      <c r="AR73">
        <v>256</v>
      </c>
      <c r="AT73">
        <v>1778094000000</v>
      </c>
      <c r="AU73">
        <v>248</v>
      </c>
      <c r="AV73" s="6"/>
      <c r="AW73">
        <v>1779130800000</v>
      </c>
      <c r="AX73">
        <v>144</v>
      </c>
      <c r="AZ73">
        <v>1779130800000</v>
      </c>
      <c r="BA73">
        <v>2444</v>
      </c>
      <c r="BC73">
        <v>1779130800000</v>
      </c>
      <c r="BD73">
        <v>120</v>
      </c>
      <c r="BF73">
        <v>1779130800000</v>
      </c>
      <c r="BG73">
        <v>408</v>
      </c>
      <c r="BI73">
        <v>1779130800000</v>
      </c>
      <c r="BJ73">
        <v>68</v>
      </c>
      <c r="BL73">
        <v>1779130800000</v>
      </c>
      <c r="BM73">
        <v>2892</v>
      </c>
      <c r="BO73">
        <v>1779130800000</v>
      </c>
      <c r="BP73">
        <v>164</v>
      </c>
      <c r="BR73">
        <v>1779130800000</v>
      </c>
      <c r="BS73">
        <v>232</v>
      </c>
      <c r="BT73" s="6"/>
      <c r="BU73">
        <v>1782241200000</v>
      </c>
      <c r="BV73">
        <v>156</v>
      </c>
      <c r="BX73">
        <v>1782241200000</v>
      </c>
      <c r="BY73">
        <v>2028</v>
      </c>
      <c r="CA73">
        <v>1782241200000</v>
      </c>
      <c r="CB73">
        <v>152</v>
      </c>
      <c r="CD73">
        <v>1782241200000</v>
      </c>
      <c r="CE73">
        <v>332</v>
      </c>
      <c r="CG73">
        <v>1782241200000</v>
      </c>
      <c r="CH73">
        <v>88</v>
      </c>
      <c r="CJ73">
        <v>1782241200000</v>
      </c>
      <c r="CK73">
        <v>1868</v>
      </c>
      <c r="CM73">
        <v>1782241200000</v>
      </c>
      <c r="CN73">
        <v>156</v>
      </c>
      <c r="CP73">
        <v>1782241200000</v>
      </c>
      <c r="CQ73">
        <v>240</v>
      </c>
      <c r="CR73" s="6"/>
      <c r="CS73">
        <v>1784055600000</v>
      </c>
      <c r="CT73">
        <v>264</v>
      </c>
      <c r="CV73">
        <v>1784055600000</v>
      </c>
      <c r="CW73">
        <v>1732</v>
      </c>
      <c r="CY73">
        <v>1784055600000</v>
      </c>
      <c r="CZ73">
        <v>96</v>
      </c>
      <c r="DB73">
        <v>1784055600000</v>
      </c>
      <c r="DC73">
        <v>332</v>
      </c>
      <c r="DE73">
        <v>1784055600000</v>
      </c>
      <c r="DF73">
        <v>72</v>
      </c>
      <c r="DH73">
        <v>1784055600000</v>
      </c>
      <c r="DI73">
        <v>1460</v>
      </c>
      <c r="DK73">
        <v>1784055600000</v>
      </c>
      <c r="DL73">
        <v>212</v>
      </c>
      <c r="DN73">
        <v>1784055600000</v>
      </c>
      <c r="DO73">
        <v>220</v>
      </c>
      <c r="DP73" s="6"/>
      <c r="DQ73">
        <v>1784142000000</v>
      </c>
      <c r="DR73">
        <v>160</v>
      </c>
      <c r="DT73">
        <v>1784142000000</v>
      </c>
      <c r="DU73">
        <v>1632</v>
      </c>
      <c r="DW73">
        <v>1784142000000</v>
      </c>
      <c r="DX73">
        <v>104</v>
      </c>
      <c r="DZ73">
        <v>1784142000000</v>
      </c>
      <c r="EA73">
        <v>356</v>
      </c>
      <c r="EC73">
        <v>1784142000000</v>
      </c>
      <c r="ED73">
        <v>52</v>
      </c>
      <c r="EF73">
        <v>1784142000000</v>
      </c>
      <c r="EG73">
        <v>1764</v>
      </c>
      <c r="EI73">
        <v>1784142000000</v>
      </c>
      <c r="EJ73">
        <v>188</v>
      </c>
      <c r="EL73">
        <v>1784142000000</v>
      </c>
      <c r="EM73">
        <v>228</v>
      </c>
      <c r="EN73" s="6"/>
    </row>
    <row r="74" spans="1:144">
      <c r="A74">
        <v>1778008500000</v>
      </c>
      <c r="B74">
        <v>212</v>
      </c>
      <c r="D74">
        <v>1778008500000</v>
      </c>
      <c r="E74">
        <v>2624</v>
      </c>
      <c r="G74">
        <v>1778008500000</v>
      </c>
      <c r="H74">
        <v>88</v>
      </c>
      <c r="J74">
        <v>1778008500000</v>
      </c>
      <c r="K74">
        <v>444</v>
      </c>
      <c r="M74">
        <v>1778008500000</v>
      </c>
      <c r="N74">
        <v>68</v>
      </c>
      <c r="P74">
        <v>1778008500000</v>
      </c>
      <c r="Q74">
        <v>2564</v>
      </c>
      <c r="S74">
        <v>1778008500000</v>
      </c>
      <c r="T74">
        <v>160</v>
      </c>
      <c r="V74">
        <v>1778008500000</v>
      </c>
      <c r="W74">
        <v>200</v>
      </c>
      <c r="X74" s="6"/>
      <c r="Y74">
        <v>1778094900000</v>
      </c>
      <c r="Z74">
        <v>356</v>
      </c>
      <c r="AB74">
        <v>1778094900000</v>
      </c>
      <c r="AC74">
        <v>2340</v>
      </c>
      <c r="AE74">
        <v>1778094900000</v>
      </c>
      <c r="AF74">
        <v>72</v>
      </c>
      <c r="AH74">
        <v>1778094900000</v>
      </c>
      <c r="AI74">
        <v>452</v>
      </c>
      <c r="AK74">
        <v>1778094900000</v>
      </c>
      <c r="AL74">
        <v>76</v>
      </c>
      <c r="AN74">
        <v>1778094900000</v>
      </c>
      <c r="AO74">
        <v>2560</v>
      </c>
      <c r="AQ74">
        <v>1778094900000</v>
      </c>
      <c r="AR74">
        <v>128</v>
      </c>
      <c r="AT74">
        <v>1778094900000</v>
      </c>
      <c r="AU74">
        <v>236</v>
      </c>
      <c r="AV74" s="6"/>
      <c r="AW74">
        <v>1779131700000</v>
      </c>
      <c r="AX74">
        <v>180</v>
      </c>
      <c r="AZ74">
        <v>1779131700000</v>
      </c>
      <c r="BA74">
        <v>2648</v>
      </c>
      <c r="BC74">
        <v>1779131700000</v>
      </c>
      <c r="BD74">
        <v>112</v>
      </c>
      <c r="BF74">
        <v>1779131700000</v>
      </c>
      <c r="BG74">
        <v>392</v>
      </c>
      <c r="BI74">
        <v>1779131700000</v>
      </c>
      <c r="BJ74">
        <v>80</v>
      </c>
      <c r="BL74">
        <v>1779131700000</v>
      </c>
      <c r="BM74">
        <v>2876</v>
      </c>
      <c r="BO74">
        <v>1779131700000</v>
      </c>
      <c r="BP74">
        <v>236</v>
      </c>
      <c r="BR74">
        <v>1779131700000</v>
      </c>
      <c r="BS74">
        <v>196</v>
      </c>
      <c r="BT74" s="6"/>
      <c r="BU74">
        <v>1782242100000</v>
      </c>
      <c r="BV74">
        <v>316</v>
      </c>
      <c r="BX74">
        <v>1782242100000</v>
      </c>
      <c r="BY74">
        <v>1956</v>
      </c>
      <c r="CA74">
        <v>1782242100000</v>
      </c>
      <c r="CB74">
        <v>104</v>
      </c>
      <c r="CD74">
        <v>1782242100000</v>
      </c>
      <c r="CE74">
        <v>364</v>
      </c>
      <c r="CG74">
        <v>1782242100000</v>
      </c>
      <c r="CH74">
        <v>88</v>
      </c>
      <c r="CJ74">
        <v>1782242100000</v>
      </c>
      <c r="CK74">
        <v>1792</v>
      </c>
      <c r="CM74">
        <v>1782242100000</v>
      </c>
      <c r="CN74">
        <v>160</v>
      </c>
      <c r="CP74">
        <v>1782242100000</v>
      </c>
      <c r="CQ74">
        <v>256</v>
      </c>
      <c r="CR74" s="6"/>
      <c r="CS74">
        <v>1784056500000</v>
      </c>
      <c r="CT74">
        <v>140</v>
      </c>
      <c r="CV74">
        <v>1784056500000</v>
      </c>
      <c r="CW74">
        <v>1788</v>
      </c>
      <c r="CY74">
        <v>1784056500000</v>
      </c>
      <c r="CZ74">
        <v>132</v>
      </c>
      <c r="DB74">
        <v>1784056500000</v>
      </c>
      <c r="DC74">
        <v>368</v>
      </c>
      <c r="DE74">
        <v>1784056500000</v>
      </c>
      <c r="DF74">
        <v>152</v>
      </c>
      <c r="DH74">
        <v>1784056500000</v>
      </c>
      <c r="DI74">
        <v>1728</v>
      </c>
      <c r="DK74">
        <v>1784056500000</v>
      </c>
      <c r="DL74">
        <v>144</v>
      </c>
      <c r="DN74">
        <v>1784056500000</v>
      </c>
      <c r="DO74">
        <v>232</v>
      </c>
      <c r="DP74" s="6"/>
      <c r="DQ74">
        <v>1784142900000</v>
      </c>
      <c r="DR74">
        <v>312</v>
      </c>
      <c r="DT74">
        <v>1784142900000</v>
      </c>
      <c r="DU74">
        <v>1444</v>
      </c>
      <c r="DW74">
        <v>1784142900000</v>
      </c>
      <c r="DX74">
        <v>140</v>
      </c>
      <c r="DZ74">
        <v>1784142900000</v>
      </c>
      <c r="EA74">
        <v>328</v>
      </c>
      <c r="EC74">
        <v>1784142900000</v>
      </c>
      <c r="ED74">
        <v>64</v>
      </c>
      <c r="EF74">
        <v>1784142900000</v>
      </c>
      <c r="EG74">
        <v>1520</v>
      </c>
      <c r="EI74">
        <v>1784142900000</v>
      </c>
      <c r="EJ74">
        <v>288</v>
      </c>
      <c r="EL74">
        <v>1784142900000</v>
      </c>
      <c r="EM74">
        <v>256</v>
      </c>
      <c r="EN74" s="6"/>
    </row>
    <row r="75" spans="1:144">
      <c r="A75">
        <v>1778009400000</v>
      </c>
      <c r="B75">
        <v>260</v>
      </c>
      <c r="D75">
        <v>1778009400000</v>
      </c>
      <c r="E75">
        <v>2184</v>
      </c>
      <c r="G75">
        <v>1778009400000</v>
      </c>
      <c r="H75">
        <v>84</v>
      </c>
      <c r="J75">
        <v>1778009400000</v>
      </c>
      <c r="K75">
        <v>364</v>
      </c>
      <c r="M75">
        <v>1778009400000</v>
      </c>
      <c r="N75">
        <v>88</v>
      </c>
      <c r="P75">
        <v>1778009400000</v>
      </c>
      <c r="Q75">
        <v>2372</v>
      </c>
      <c r="S75">
        <v>1778009400000</v>
      </c>
      <c r="T75">
        <v>228</v>
      </c>
      <c r="V75">
        <v>1778009400000</v>
      </c>
      <c r="W75">
        <v>180</v>
      </c>
      <c r="X75" s="6"/>
      <c r="Y75">
        <v>1778095800000</v>
      </c>
      <c r="Z75">
        <v>356</v>
      </c>
      <c r="AB75">
        <v>1778095800000</v>
      </c>
      <c r="AC75">
        <v>2488</v>
      </c>
      <c r="AE75">
        <v>1778095800000</v>
      </c>
      <c r="AF75">
        <v>100</v>
      </c>
      <c r="AH75">
        <v>1778095800000</v>
      </c>
      <c r="AI75">
        <v>476</v>
      </c>
      <c r="AK75">
        <v>1778095800000</v>
      </c>
      <c r="AL75">
        <v>76</v>
      </c>
      <c r="AN75">
        <v>1778095800000</v>
      </c>
      <c r="AO75">
        <v>2196</v>
      </c>
      <c r="AQ75">
        <v>1778095800000</v>
      </c>
      <c r="AR75">
        <v>168</v>
      </c>
      <c r="AT75">
        <v>1778095800000</v>
      </c>
      <c r="AU75">
        <v>200</v>
      </c>
      <c r="AV75" s="6"/>
      <c r="AW75">
        <v>1779132600000</v>
      </c>
      <c r="AX75">
        <v>140</v>
      </c>
      <c r="AZ75">
        <v>1779132600000</v>
      </c>
      <c r="BA75">
        <v>2484</v>
      </c>
      <c r="BC75">
        <v>1779132600000</v>
      </c>
      <c r="BD75">
        <v>120</v>
      </c>
      <c r="BF75">
        <v>1779132600000</v>
      </c>
      <c r="BG75">
        <v>412</v>
      </c>
      <c r="BI75">
        <v>1779132600000</v>
      </c>
      <c r="BJ75">
        <v>72</v>
      </c>
      <c r="BL75">
        <v>1779132600000</v>
      </c>
      <c r="BM75">
        <v>2756</v>
      </c>
      <c r="BO75">
        <v>1779132600000</v>
      </c>
      <c r="BP75">
        <v>148</v>
      </c>
      <c r="BR75">
        <v>1779132600000</v>
      </c>
      <c r="BS75">
        <v>188</v>
      </c>
      <c r="BT75" s="6"/>
      <c r="BU75">
        <v>1782243000000</v>
      </c>
      <c r="BV75">
        <v>140</v>
      </c>
      <c r="BX75">
        <v>1782243000000</v>
      </c>
      <c r="BY75">
        <v>1780</v>
      </c>
      <c r="CA75">
        <v>1782243000000</v>
      </c>
      <c r="CB75">
        <v>220</v>
      </c>
      <c r="CD75">
        <v>1782243000000</v>
      </c>
      <c r="CE75">
        <v>292</v>
      </c>
      <c r="CG75">
        <v>1782243000000</v>
      </c>
      <c r="CH75">
        <v>60</v>
      </c>
      <c r="CJ75">
        <v>1782243000000</v>
      </c>
      <c r="CK75">
        <v>1588</v>
      </c>
      <c r="CM75">
        <v>1782243000000</v>
      </c>
      <c r="CN75">
        <v>180</v>
      </c>
      <c r="CP75">
        <v>1782243000000</v>
      </c>
      <c r="CQ75">
        <v>196</v>
      </c>
      <c r="CR75" s="6"/>
      <c r="CS75">
        <v>1784057400000</v>
      </c>
      <c r="CT75">
        <v>120</v>
      </c>
      <c r="CV75">
        <v>1784057400000</v>
      </c>
      <c r="CW75">
        <v>1708</v>
      </c>
      <c r="CY75">
        <v>1784057400000</v>
      </c>
      <c r="CZ75">
        <v>156</v>
      </c>
      <c r="DB75">
        <v>1784057400000</v>
      </c>
      <c r="DC75">
        <v>328</v>
      </c>
      <c r="DE75">
        <v>1784057400000</v>
      </c>
      <c r="DF75">
        <v>88</v>
      </c>
      <c r="DH75">
        <v>1784057400000</v>
      </c>
      <c r="DI75">
        <v>1576</v>
      </c>
      <c r="DK75">
        <v>1784057400000</v>
      </c>
      <c r="DL75">
        <v>176</v>
      </c>
      <c r="DN75">
        <v>1784057400000</v>
      </c>
      <c r="DO75">
        <v>260</v>
      </c>
      <c r="DP75" s="6"/>
      <c r="DQ75">
        <v>1784143800000</v>
      </c>
      <c r="DR75">
        <v>216</v>
      </c>
      <c r="DT75">
        <v>1784143800000</v>
      </c>
      <c r="DU75">
        <v>1620</v>
      </c>
      <c r="DW75">
        <v>1784143800000</v>
      </c>
      <c r="DX75">
        <v>184</v>
      </c>
      <c r="DZ75">
        <v>1784143800000</v>
      </c>
      <c r="EA75">
        <v>404</v>
      </c>
      <c r="EC75">
        <v>1784143800000</v>
      </c>
      <c r="ED75">
        <v>84</v>
      </c>
      <c r="EF75">
        <v>1784143800000</v>
      </c>
      <c r="EG75">
        <v>1696</v>
      </c>
      <c r="EI75">
        <v>1784143800000</v>
      </c>
      <c r="EJ75">
        <v>208</v>
      </c>
      <c r="EL75">
        <v>1784143800000</v>
      </c>
      <c r="EM75">
        <v>216</v>
      </c>
      <c r="EN75" s="6"/>
    </row>
    <row r="76" spans="1:144">
      <c r="A76">
        <v>1778010300000</v>
      </c>
      <c r="B76">
        <v>296</v>
      </c>
      <c r="D76">
        <v>1778010300000</v>
      </c>
      <c r="E76">
        <v>2612</v>
      </c>
      <c r="G76">
        <v>1778010300000</v>
      </c>
      <c r="H76">
        <v>172</v>
      </c>
      <c r="J76">
        <v>1778010300000</v>
      </c>
      <c r="K76">
        <v>464</v>
      </c>
      <c r="M76">
        <v>1778010300000</v>
      </c>
      <c r="N76">
        <v>92</v>
      </c>
      <c r="P76">
        <v>1778010300000</v>
      </c>
      <c r="Q76">
        <v>2624</v>
      </c>
      <c r="S76">
        <v>1778010300000</v>
      </c>
      <c r="T76">
        <v>196</v>
      </c>
      <c r="V76">
        <v>1778010300000</v>
      </c>
      <c r="W76">
        <v>232</v>
      </c>
      <c r="X76" s="6"/>
      <c r="Y76">
        <v>1778096700000</v>
      </c>
      <c r="Z76">
        <v>132</v>
      </c>
      <c r="AB76">
        <v>1778096700000</v>
      </c>
      <c r="AC76">
        <v>2076</v>
      </c>
      <c r="AE76">
        <v>1778096700000</v>
      </c>
      <c r="AF76">
        <v>84</v>
      </c>
      <c r="AH76">
        <v>1778096700000</v>
      </c>
      <c r="AI76">
        <v>404</v>
      </c>
      <c r="AK76">
        <v>1778096700000</v>
      </c>
      <c r="AL76">
        <v>56</v>
      </c>
      <c r="AN76">
        <v>1778096700000</v>
      </c>
      <c r="AO76">
        <v>2748</v>
      </c>
      <c r="AQ76">
        <v>1778096700000</v>
      </c>
      <c r="AR76">
        <v>116</v>
      </c>
      <c r="AT76">
        <v>1778096700000</v>
      </c>
      <c r="AU76">
        <v>240</v>
      </c>
      <c r="AV76" s="6"/>
      <c r="AW76">
        <v>1779133500000</v>
      </c>
      <c r="AX76">
        <v>156</v>
      </c>
      <c r="AZ76">
        <v>1779133500000</v>
      </c>
      <c r="BA76">
        <v>2588</v>
      </c>
      <c r="BC76">
        <v>1779133500000</v>
      </c>
      <c r="BD76">
        <v>104</v>
      </c>
      <c r="BF76">
        <v>1779133500000</v>
      </c>
      <c r="BG76">
        <v>488</v>
      </c>
      <c r="BI76">
        <v>1779133500000</v>
      </c>
      <c r="BJ76">
        <v>72</v>
      </c>
      <c r="BL76">
        <v>1779133500000</v>
      </c>
      <c r="BM76">
        <v>2984</v>
      </c>
      <c r="BO76">
        <v>1779133500000</v>
      </c>
      <c r="BP76">
        <v>184</v>
      </c>
      <c r="BR76">
        <v>1779133500000</v>
      </c>
      <c r="BS76">
        <v>168</v>
      </c>
      <c r="BT76" s="6"/>
      <c r="BU76">
        <v>1782243900000</v>
      </c>
      <c r="BV76">
        <v>168</v>
      </c>
      <c r="BX76">
        <v>1782243900000</v>
      </c>
      <c r="BY76">
        <v>1972</v>
      </c>
      <c r="CA76">
        <v>1782243900000</v>
      </c>
      <c r="CB76">
        <v>140</v>
      </c>
      <c r="CD76">
        <v>1782243900000</v>
      </c>
      <c r="CE76">
        <v>412</v>
      </c>
      <c r="CG76">
        <v>1782243900000</v>
      </c>
      <c r="CH76">
        <v>96</v>
      </c>
      <c r="CJ76">
        <v>1782243900000</v>
      </c>
      <c r="CK76">
        <v>1920</v>
      </c>
      <c r="CM76">
        <v>1782243900000</v>
      </c>
      <c r="CN76">
        <v>280</v>
      </c>
      <c r="CP76">
        <v>1782243900000</v>
      </c>
      <c r="CQ76">
        <v>256</v>
      </c>
      <c r="CR76" s="6"/>
      <c r="CS76">
        <v>1784058300000</v>
      </c>
      <c r="CT76">
        <v>204</v>
      </c>
      <c r="CV76">
        <v>1784058300000</v>
      </c>
      <c r="CW76">
        <v>1488</v>
      </c>
      <c r="CY76">
        <v>1784058300000</v>
      </c>
      <c r="CZ76">
        <v>104</v>
      </c>
      <c r="DB76">
        <v>1784058300000</v>
      </c>
      <c r="DC76">
        <v>484</v>
      </c>
      <c r="DE76">
        <v>1784058300000</v>
      </c>
      <c r="DF76">
        <v>112</v>
      </c>
      <c r="DH76">
        <v>1784058300000</v>
      </c>
      <c r="DI76">
        <v>1676</v>
      </c>
      <c r="DK76">
        <v>1784058300000</v>
      </c>
      <c r="DL76">
        <v>416</v>
      </c>
      <c r="DN76">
        <v>1784058300000</v>
      </c>
      <c r="DO76">
        <v>224</v>
      </c>
      <c r="DP76" s="6"/>
      <c r="DQ76">
        <v>1784144700000</v>
      </c>
      <c r="DR76">
        <v>204</v>
      </c>
      <c r="DT76">
        <v>1784144700000</v>
      </c>
      <c r="DU76">
        <v>1656</v>
      </c>
      <c r="DW76">
        <v>1784144700000</v>
      </c>
      <c r="DX76">
        <v>124</v>
      </c>
      <c r="DZ76">
        <v>1784144700000</v>
      </c>
      <c r="EA76">
        <v>288</v>
      </c>
      <c r="EC76">
        <v>1784144700000</v>
      </c>
      <c r="ED76">
        <v>60</v>
      </c>
      <c r="EF76">
        <v>1784144700000</v>
      </c>
      <c r="EG76">
        <v>1424</v>
      </c>
      <c r="EI76">
        <v>1784144700000</v>
      </c>
      <c r="EJ76">
        <v>216</v>
      </c>
      <c r="EL76">
        <v>1784144700000</v>
      </c>
      <c r="EM76">
        <v>184</v>
      </c>
      <c r="EN76" s="6"/>
    </row>
    <row r="77" spans="1:144">
      <c r="A77">
        <v>1778011200000</v>
      </c>
      <c r="B77">
        <v>264</v>
      </c>
      <c r="D77">
        <v>1778011200000</v>
      </c>
      <c r="E77">
        <v>2432</v>
      </c>
      <c r="G77">
        <v>1778011200000</v>
      </c>
      <c r="H77">
        <v>92</v>
      </c>
      <c r="J77">
        <v>1778011200000</v>
      </c>
      <c r="K77">
        <v>372</v>
      </c>
      <c r="M77">
        <v>1778011200000</v>
      </c>
      <c r="N77">
        <v>64</v>
      </c>
      <c r="P77">
        <v>1778011200000</v>
      </c>
      <c r="Q77">
        <v>2548</v>
      </c>
      <c r="S77">
        <v>1778011200000</v>
      </c>
      <c r="T77">
        <v>160</v>
      </c>
      <c r="V77">
        <v>1778011200000</v>
      </c>
      <c r="W77">
        <v>224</v>
      </c>
      <c r="X77" s="6"/>
      <c r="Y77">
        <v>1778097600000</v>
      </c>
      <c r="Z77">
        <v>244</v>
      </c>
      <c r="AB77">
        <v>1778097600000</v>
      </c>
      <c r="AC77">
        <v>2280</v>
      </c>
      <c r="AE77">
        <v>1778097600000</v>
      </c>
      <c r="AF77">
        <v>100</v>
      </c>
      <c r="AH77">
        <v>1778097600000</v>
      </c>
      <c r="AI77">
        <v>428</v>
      </c>
      <c r="AK77">
        <v>1778097600000</v>
      </c>
      <c r="AL77">
        <v>72</v>
      </c>
      <c r="AN77">
        <v>1778097600000</v>
      </c>
      <c r="AO77">
        <v>2488</v>
      </c>
      <c r="AQ77">
        <v>1778097600000</v>
      </c>
      <c r="AR77">
        <v>152</v>
      </c>
      <c r="AT77">
        <v>1778097600000</v>
      </c>
      <c r="AU77">
        <v>296</v>
      </c>
      <c r="AV77" s="6"/>
      <c r="AW77">
        <v>1779134400000</v>
      </c>
      <c r="AX77">
        <v>300</v>
      </c>
      <c r="AZ77">
        <v>1779134400000</v>
      </c>
      <c r="BA77">
        <v>2640</v>
      </c>
      <c r="BC77">
        <v>1779134400000</v>
      </c>
      <c r="BD77">
        <v>120</v>
      </c>
      <c r="BF77">
        <v>1779134400000</v>
      </c>
      <c r="BG77">
        <v>416</v>
      </c>
      <c r="BI77">
        <v>1779134400000</v>
      </c>
      <c r="BJ77">
        <v>68</v>
      </c>
      <c r="BL77">
        <v>1779134400000</v>
      </c>
      <c r="BM77">
        <v>2832</v>
      </c>
      <c r="BO77">
        <v>1779134400000</v>
      </c>
      <c r="BP77">
        <v>192</v>
      </c>
      <c r="BR77">
        <v>1779134400000</v>
      </c>
      <c r="BS77">
        <v>200</v>
      </c>
      <c r="BT77" s="6"/>
      <c r="BU77">
        <v>1782244800000</v>
      </c>
      <c r="BV77">
        <v>328</v>
      </c>
      <c r="BX77">
        <v>1782244800000</v>
      </c>
      <c r="BY77">
        <v>1940</v>
      </c>
      <c r="CA77">
        <v>1782244800000</v>
      </c>
      <c r="CB77">
        <v>108</v>
      </c>
      <c r="CD77">
        <v>1782244800000</v>
      </c>
      <c r="CE77">
        <v>376</v>
      </c>
      <c r="CG77">
        <v>1782244800000</v>
      </c>
      <c r="CH77">
        <v>68</v>
      </c>
      <c r="CJ77">
        <v>1782244800000</v>
      </c>
      <c r="CK77">
        <v>1928</v>
      </c>
      <c r="CM77">
        <v>1782244800000</v>
      </c>
      <c r="CN77">
        <v>176</v>
      </c>
      <c r="CP77">
        <v>1782244800000</v>
      </c>
      <c r="CQ77">
        <v>240</v>
      </c>
      <c r="CR77" s="6"/>
      <c r="CS77">
        <v>1784059200000</v>
      </c>
      <c r="CT77">
        <v>156</v>
      </c>
      <c r="CV77">
        <v>1784059200000</v>
      </c>
      <c r="CW77">
        <v>1736</v>
      </c>
      <c r="CY77">
        <v>1784059200000</v>
      </c>
      <c r="CZ77">
        <v>92</v>
      </c>
      <c r="DB77">
        <v>1784059200000</v>
      </c>
      <c r="DC77">
        <v>288</v>
      </c>
      <c r="DE77">
        <v>1784059200000</v>
      </c>
      <c r="DF77">
        <v>80</v>
      </c>
      <c r="DH77">
        <v>1784059200000</v>
      </c>
      <c r="DI77">
        <v>1736</v>
      </c>
      <c r="DK77">
        <v>1784059200000</v>
      </c>
      <c r="DL77">
        <v>180</v>
      </c>
      <c r="DN77">
        <v>1784059200000</v>
      </c>
      <c r="DO77">
        <v>240</v>
      </c>
      <c r="DP77" s="6"/>
      <c r="DQ77">
        <v>1784145600000</v>
      </c>
      <c r="DR77">
        <v>136</v>
      </c>
      <c r="DT77">
        <v>1784145600000</v>
      </c>
      <c r="DU77">
        <v>1700</v>
      </c>
      <c r="DW77">
        <v>1784145600000</v>
      </c>
      <c r="DX77">
        <v>188</v>
      </c>
      <c r="DZ77">
        <v>1784145600000</v>
      </c>
      <c r="EA77">
        <v>360</v>
      </c>
      <c r="EC77">
        <v>1784145600000</v>
      </c>
      <c r="ED77">
        <v>136</v>
      </c>
      <c r="EF77">
        <v>1784145600000</v>
      </c>
      <c r="EG77">
        <v>1712</v>
      </c>
      <c r="EI77">
        <v>1784145600000</v>
      </c>
      <c r="EJ77">
        <v>168</v>
      </c>
      <c r="EL77">
        <v>1784145600000</v>
      </c>
      <c r="EM77">
        <v>336</v>
      </c>
      <c r="EN77" s="6"/>
    </row>
    <row r="78" spans="1:144">
      <c r="A78">
        <v>1778012100000</v>
      </c>
      <c r="B78">
        <v>352</v>
      </c>
      <c r="D78">
        <v>1778012100000</v>
      </c>
      <c r="E78">
        <v>2416</v>
      </c>
      <c r="G78">
        <v>1778012100000</v>
      </c>
      <c r="H78">
        <v>100</v>
      </c>
      <c r="J78">
        <v>1778012100000</v>
      </c>
      <c r="K78">
        <v>488</v>
      </c>
      <c r="M78">
        <v>1778012100000</v>
      </c>
      <c r="N78">
        <v>72</v>
      </c>
      <c r="P78">
        <v>1778012100000</v>
      </c>
      <c r="Q78">
        <v>2760</v>
      </c>
      <c r="S78">
        <v>1778012100000</v>
      </c>
      <c r="T78">
        <v>180</v>
      </c>
      <c r="V78">
        <v>1778012100000</v>
      </c>
      <c r="W78">
        <v>248</v>
      </c>
      <c r="X78" s="6"/>
      <c r="Y78">
        <v>1778098500000</v>
      </c>
      <c r="Z78">
        <v>224</v>
      </c>
      <c r="AB78">
        <v>1778098500000</v>
      </c>
      <c r="AC78">
        <v>2568</v>
      </c>
      <c r="AE78">
        <v>1778098500000</v>
      </c>
      <c r="AF78">
        <v>196</v>
      </c>
      <c r="AH78">
        <v>1778098500000</v>
      </c>
      <c r="AI78">
        <v>428</v>
      </c>
      <c r="AK78">
        <v>1778098500000</v>
      </c>
      <c r="AL78">
        <v>64</v>
      </c>
      <c r="AN78">
        <v>1778098500000</v>
      </c>
      <c r="AO78">
        <v>2572</v>
      </c>
      <c r="AQ78">
        <v>1778098500000</v>
      </c>
      <c r="AR78">
        <v>188</v>
      </c>
      <c r="AT78">
        <v>1778098500000</v>
      </c>
      <c r="AU78">
        <v>260</v>
      </c>
      <c r="AV78" s="6"/>
      <c r="AW78">
        <v>1779135300000</v>
      </c>
      <c r="AX78">
        <v>264</v>
      </c>
      <c r="AZ78">
        <v>1779135300000</v>
      </c>
      <c r="BA78">
        <v>2200</v>
      </c>
      <c r="BC78">
        <v>1779135300000</v>
      </c>
      <c r="BD78">
        <v>132</v>
      </c>
      <c r="BF78">
        <v>1779135300000</v>
      </c>
      <c r="BG78">
        <v>364</v>
      </c>
      <c r="BI78">
        <v>1779135300000</v>
      </c>
      <c r="BJ78">
        <v>64</v>
      </c>
      <c r="BL78">
        <v>1779135300000</v>
      </c>
      <c r="BM78">
        <v>2640</v>
      </c>
      <c r="BO78">
        <v>1779135300000</v>
      </c>
      <c r="BP78">
        <v>116</v>
      </c>
      <c r="BR78">
        <v>1779135300000</v>
      </c>
      <c r="BS78">
        <v>256</v>
      </c>
      <c r="BT78" s="6"/>
      <c r="BU78">
        <v>1782245700000</v>
      </c>
      <c r="BV78">
        <v>160</v>
      </c>
      <c r="BX78">
        <v>1782245700000</v>
      </c>
      <c r="BY78">
        <v>1844</v>
      </c>
      <c r="CA78">
        <v>1782245700000</v>
      </c>
      <c r="CB78">
        <v>88</v>
      </c>
      <c r="CD78">
        <v>1782245700000</v>
      </c>
      <c r="CE78">
        <v>384</v>
      </c>
      <c r="CG78">
        <v>1782245700000</v>
      </c>
      <c r="CH78">
        <v>84</v>
      </c>
      <c r="CJ78">
        <v>1782245700000</v>
      </c>
      <c r="CK78">
        <v>1940</v>
      </c>
      <c r="CM78">
        <v>1782245700000</v>
      </c>
      <c r="CN78">
        <v>144</v>
      </c>
      <c r="CP78">
        <v>1782245700000</v>
      </c>
      <c r="CQ78">
        <v>340</v>
      </c>
      <c r="CR78" s="6"/>
      <c r="CS78">
        <v>1784060100000</v>
      </c>
      <c r="CT78">
        <v>140</v>
      </c>
      <c r="CV78">
        <v>1784060100000</v>
      </c>
      <c r="CW78">
        <v>1564</v>
      </c>
      <c r="CY78">
        <v>1784060100000</v>
      </c>
      <c r="CZ78">
        <v>120</v>
      </c>
      <c r="DB78">
        <v>1784060100000</v>
      </c>
      <c r="DC78">
        <v>448</v>
      </c>
      <c r="DE78">
        <v>1784060100000</v>
      </c>
      <c r="DF78">
        <v>40</v>
      </c>
      <c r="DH78">
        <v>1784060100000</v>
      </c>
      <c r="DI78">
        <v>1576</v>
      </c>
      <c r="DK78">
        <v>1784060100000</v>
      </c>
      <c r="DL78">
        <v>136</v>
      </c>
      <c r="DN78">
        <v>1784060100000</v>
      </c>
      <c r="DO78">
        <v>256</v>
      </c>
      <c r="DP78" s="6"/>
      <c r="DQ78">
        <v>1784146500000</v>
      </c>
      <c r="DR78">
        <v>244</v>
      </c>
      <c r="DT78">
        <v>1784146500000</v>
      </c>
      <c r="DU78">
        <v>1552</v>
      </c>
      <c r="DW78">
        <v>1784146500000</v>
      </c>
      <c r="DX78">
        <v>76</v>
      </c>
      <c r="DZ78">
        <v>1784146500000</v>
      </c>
      <c r="EA78">
        <v>316</v>
      </c>
      <c r="EC78">
        <v>1784146500000</v>
      </c>
      <c r="ED78">
        <v>44</v>
      </c>
      <c r="EF78">
        <v>1784146500000</v>
      </c>
      <c r="EG78">
        <v>1496</v>
      </c>
      <c r="EI78">
        <v>1784146500000</v>
      </c>
      <c r="EJ78">
        <v>164</v>
      </c>
      <c r="EL78">
        <v>1784146500000</v>
      </c>
      <c r="EM78">
        <v>244</v>
      </c>
      <c r="EN78" s="6"/>
    </row>
    <row r="79" spans="1:144">
      <c r="A79">
        <v>1778013000000</v>
      </c>
      <c r="B79">
        <v>304</v>
      </c>
      <c r="D79">
        <v>1778013000000</v>
      </c>
      <c r="E79">
        <v>2292</v>
      </c>
      <c r="G79">
        <v>1778013000000</v>
      </c>
      <c r="H79">
        <v>124</v>
      </c>
      <c r="J79">
        <v>1778013000000</v>
      </c>
      <c r="K79">
        <v>424</v>
      </c>
      <c r="M79">
        <v>1778013000000</v>
      </c>
      <c r="N79">
        <v>52</v>
      </c>
      <c r="P79">
        <v>1778013000000</v>
      </c>
      <c r="Q79">
        <v>2544</v>
      </c>
      <c r="S79">
        <v>1778013000000</v>
      </c>
      <c r="T79">
        <v>136</v>
      </c>
      <c r="V79">
        <v>1778013000000</v>
      </c>
      <c r="W79">
        <v>192</v>
      </c>
      <c r="X79" s="6"/>
      <c r="Y79">
        <v>1778099400000</v>
      </c>
      <c r="Z79">
        <v>240</v>
      </c>
      <c r="AB79">
        <v>1778099400000</v>
      </c>
      <c r="AC79">
        <v>2192</v>
      </c>
      <c r="AE79">
        <v>1778099400000</v>
      </c>
      <c r="AF79">
        <v>120</v>
      </c>
      <c r="AH79">
        <v>1778099400000</v>
      </c>
      <c r="AI79">
        <v>392</v>
      </c>
      <c r="AK79">
        <v>1778099400000</v>
      </c>
      <c r="AL79">
        <v>60</v>
      </c>
      <c r="AN79">
        <v>1778099400000</v>
      </c>
      <c r="AO79">
        <v>2476</v>
      </c>
      <c r="AQ79">
        <v>1778099400000</v>
      </c>
      <c r="AR79">
        <v>136</v>
      </c>
      <c r="AT79">
        <v>1778099400000</v>
      </c>
      <c r="AU79">
        <v>216</v>
      </c>
      <c r="AV79" s="6"/>
      <c r="AW79">
        <v>1779136200000</v>
      </c>
      <c r="AX79">
        <v>108</v>
      </c>
      <c r="AZ79">
        <v>1779136200000</v>
      </c>
      <c r="BA79">
        <v>2512</v>
      </c>
      <c r="BC79">
        <v>1779136200000</v>
      </c>
      <c r="BD79">
        <v>112</v>
      </c>
      <c r="BF79">
        <v>1779136200000</v>
      </c>
      <c r="BG79">
        <v>380</v>
      </c>
      <c r="BI79">
        <v>1779136200000</v>
      </c>
      <c r="BJ79">
        <v>80</v>
      </c>
      <c r="BL79">
        <v>1779136200000</v>
      </c>
      <c r="BM79">
        <v>3048</v>
      </c>
      <c r="BO79">
        <v>1779136200000</v>
      </c>
      <c r="BP79">
        <v>140</v>
      </c>
      <c r="BR79">
        <v>1779136200000</v>
      </c>
      <c r="BS79">
        <v>296</v>
      </c>
      <c r="BT79" s="6"/>
      <c r="BU79">
        <v>1782246600000</v>
      </c>
      <c r="BV79">
        <v>148</v>
      </c>
      <c r="BX79">
        <v>1782246600000</v>
      </c>
      <c r="BY79">
        <v>2128</v>
      </c>
      <c r="CA79">
        <v>1782246600000</v>
      </c>
      <c r="CB79">
        <v>132</v>
      </c>
      <c r="CD79">
        <v>1782246600000</v>
      </c>
      <c r="CE79">
        <v>408</v>
      </c>
      <c r="CG79">
        <v>1782246600000</v>
      </c>
      <c r="CH79">
        <v>88</v>
      </c>
      <c r="CJ79">
        <v>1782246600000</v>
      </c>
      <c r="CK79">
        <v>1892</v>
      </c>
      <c r="CM79">
        <v>1782246600000</v>
      </c>
      <c r="CN79">
        <v>184</v>
      </c>
      <c r="CP79">
        <v>1782246600000</v>
      </c>
      <c r="CQ79">
        <v>220</v>
      </c>
      <c r="CR79" s="6"/>
      <c r="CS79">
        <v>1784061000000</v>
      </c>
      <c r="CT79">
        <v>212</v>
      </c>
      <c r="CV79">
        <v>1784061000000</v>
      </c>
      <c r="CW79">
        <v>1636</v>
      </c>
      <c r="CY79">
        <v>1784061000000</v>
      </c>
      <c r="CZ79">
        <v>104</v>
      </c>
      <c r="DB79">
        <v>1784061000000</v>
      </c>
      <c r="DC79">
        <v>396</v>
      </c>
      <c r="DE79">
        <v>1784061000000</v>
      </c>
      <c r="DF79">
        <v>76</v>
      </c>
      <c r="DH79">
        <v>1784061000000</v>
      </c>
      <c r="DI79">
        <v>1568</v>
      </c>
      <c r="DK79">
        <v>1784061000000</v>
      </c>
      <c r="DL79">
        <v>152</v>
      </c>
      <c r="DN79">
        <v>1784061000000</v>
      </c>
      <c r="DO79">
        <v>272</v>
      </c>
      <c r="DP79" s="6"/>
      <c r="DQ79">
        <v>1784147400000</v>
      </c>
      <c r="DR79">
        <v>256</v>
      </c>
      <c r="DT79">
        <v>1784147400000</v>
      </c>
      <c r="DU79">
        <v>1636</v>
      </c>
      <c r="DW79">
        <v>1784147400000</v>
      </c>
      <c r="DX79">
        <v>80</v>
      </c>
      <c r="DZ79">
        <v>1784147400000</v>
      </c>
      <c r="EA79">
        <v>336</v>
      </c>
      <c r="EC79">
        <v>1784147400000</v>
      </c>
      <c r="ED79">
        <v>76</v>
      </c>
      <c r="EF79">
        <v>1784147400000</v>
      </c>
      <c r="EG79">
        <v>1500</v>
      </c>
      <c r="EI79">
        <v>1784147400000</v>
      </c>
      <c r="EJ79">
        <v>224</v>
      </c>
      <c r="EL79">
        <v>1784147400000</v>
      </c>
      <c r="EM79">
        <v>216</v>
      </c>
      <c r="EN79" s="6"/>
    </row>
    <row r="80" spans="1:144">
      <c r="A80">
        <v>1778013900000</v>
      </c>
      <c r="B80">
        <v>268</v>
      </c>
      <c r="D80">
        <v>1778013900000</v>
      </c>
      <c r="E80">
        <v>2776</v>
      </c>
      <c r="G80">
        <v>1778013900000</v>
      </c>
      <c r="H80">
        <v>104</v>
      </c>
      <c r="J80">
        <v>1778013900000</v>
      </c>
      <c r="K80">
        <v>416</v>
      </c>
      <c r="M80">
        <v>1778013900000</v>
      </c>
      <c r="N80">
        <v>100</v>
      </c>
      <c r="P80">
        <v>1778013900000</v>
      </c>
      <c r="Q80">
        <v>2840</v>
      </c>
      <c r="S80">
        <v>1778013900000</v>
      </c>
      <c r="T80">
        <v>324</v>
      </c>
      <c r="V80">
        <v>1778013900000</v>
      </c>
      <c r="W80">
        <v>200</v>
      </c>
      <c r="X80" s="6"/>
      <c r="Y80">
        <v>1778100300000</v>
      </c>
      <c r="Z80">
        <v>300</v>
      </c>
      <c r="AB80">
        <v>1778100300000</v>
      </c>
      <c r="AC80">
        <v>2388</v>
      </c>
      <c r="AE80">
        <v>1778100300000</v>
      </c>
      <c r="AF80">
        <v>164</v>
      </c>
      <c r="AH80">
        <v>1778100300000</v>
      </c>
      <c r="AI80">
        <v>424</v>
      </c>
      <c r="AK80">
        <v>1778100300000</v>
      </c>
      <c r="AL80">
        <v>76</v>
      </c>
      <c r="AN80">
        <v>1778100300000</v>
      </c>
      <c r="AO80">
        <v>2492</v>
      </c>
      <c r="AQ80">
        <v>1778100300000</v>
      </c>
      <c r="AR80">
        <v>180</v>
      </c>
      <c r="AT80">
        <v>1778100300000</v>
      </c>
      <c r="AU80">
        <v>240</v>
      </c>
      <c r="AV80" s="6"/>
      <c r="AW80">
        <v>1779137100000</v>
      </c>
      <c r="AX80">
        <v>264</v>
      </c>
      <c r="AZ80">
        <v>1779137100000</v>
      </c>
      <c r="BA80">
        <v>2744</v>
      </c>
      <c r="BC80">
        <v>1779137100000</v>
      </c>
      <c r="BD80">
        <v>104</v>
      </c>
      <c r="BF80">
        <v>1779137100000</v>
      </c>
      <c r="BG80">
        <v>364</v>
      </c>
      <c r="BI80">
        <v>1779137100000</v>
      </c>
      <c r="BJ80">
        <v>96</v>
      </c>
      <c r="BL80">
        <v>1779137100000</v>
      </c>
      <c r="BM80">
        <v>2728</v>
      </c>
      <c r="BO80">
        <v>1779137100000</v>
      </c>
      <c r="BP80">
        <v>188</v>
      </c>
      <c r="BR80">
        <v>1779137100000</v>
      </c>
      <c r="BS80">
        <v>232</v>
      </c>
      <c r="BT80" s="6"/>
      <c r="BU80">
        <v>1782247500000</v>
      </c>
      <c r="BV80">
        <v>208</v>
      </c>
      <c r="BX80">
        <v>1782247500000</v>
      </c>
      <c r="BY80">
        <v>1676</v>
      </c>
      <c r="CA80">
        <v>1782247500000</v>
      </c>
      <c r="CB80">
        <v>112</v>
      </c>
      <c r="CD80">
        <v>1782247500000</v>
      </c>
      <c r="CE80">
        <v>404</v>
      </c>
      <c r="CG80">
        <v>1782247500000</v>
      </c>
      <c r="CH80">
        <v>76</v>
      </c>
      <c r="CJ80">
        <v>1782247500000</v>
      </c>
      <c r="CK80">
        <v>1648</v>
      </c>
      <c r="CM80">
        <v>1782247500000</v>
      </c>
      <c r="CN80">
        <v>164</v>
      </c>
      <c r="CP80">
        <v>1782247500000</v>
      </c>
      <c r="CQ80">
        <v>248</v>
      </c>
      <c r="CR80" s="6"/>
      <c r="CS80">
        <v>1784061900000</v>
      </c>
      <c r="CT80">
        <v>140</v>
      </c>
      <c r="CV80">
        <v>1784061900000</v>
      </c>
      <c r="CW80">
        <v>1752</v>
      </c>
      <c r="CY80">
        <v>1784061900000</v>
      </c>
      <c r="CZ80">
        <v>120</v>
      </c>
      <c r="DB80">
        <v>1784061900000</v>
      </c>
      <c r="DC80">
        <v>392</v>
      </c>
      <c r="DE80">
        <v>1784061900000</v>
      </c>
      <c r="DF80">
        <v>84</v>
      </c>
      <c r="DH80">
        <v>1784061900000</v>
      </c>
      <c r="DI80">
        <v>1640</v>
      </c>
      <c r="DK80">
        <v>1784061900000</v>
      </c>
      <c r="DL80">
        <v>184</v>
      </c>
      <c r="DN80">
        <v>1784061900000</v>
      </c>
      <c r="DO80">
        <v>240</v>
      </c>
      <c r="DP80" s="6"/>
      <c r="DQ80">
        <v>1784148300000</v>
      </c>
      <c r="DR80">
        <v>224</v>
      </c>
      <c r="DT80">
        <v>1784148300000</v>
      </c>
      <c r="DU80">
        <v>1680</v>
      </c>
      <c r="DW80">
        <v>1784148300000</v>
      </c>
      <c r="DX80">
        <v>84</v>
      </c>
      <c r="DZ80">
        <v>1784148300000</v>
      </c>
      <c r="EA80">
        <v>368</v>
      </c>
      <c r="EC80">
        <v>1784148300000</v>
      </c>
      <c r="ED80">
        <v>68</v>
      </c>
      <c r="EF80">
        <v>1784148300000</v>
      </c>
      <c r="EG80">
        <v>1376</v>
      </c>
      <c r="EI80">
        <v>1784148300000</v>
      </c>
      <c r="EJ80">
        <v>256</v>
      </c>
      <c r="EL80">
        <v>1784148300000</v>
      </c>
      <c r="EM80">
        <v>236</v>
      </c>
      <c r="EN80" s="6"/>
    </row>
    <row r="81" spans="1:144">
      <c r="A81">
        <v>1778014800000</v>
      </c>
      <c r="B81">
        <v>168</v>
      </c>
      <c r="D81">
        <v>1778014800000</v>
      </c>
      <c r="E81">
        <v>2528</v>
      </c>
      <c r="G81">
        <v>1778014800000</v>
      </c>
      <c r="H81">
        <v>108</v>
      </c>
      <c r="J81">
        <v>1778014800000</v>
      </c>
      <c r="K81">
        <v>488</v>
      </c>
      <c r="M81">
        <v>1778014800000</v>
      </c>
      <c r="N81">
        <v>68</v>
      </c>
      <c r="P81">
        <v>1778014800000</v>
      </c>
      <c r="Q81">
        <v>2908</v>
      </c>
      <c r="S81">
        <v>1778014800000</v>
      </c>
      <c r="T81">
        <v>224</v>
      </c>
      <c r="V81">
        <v>1778014800000</v>
      </c>
      <c r="W81">
        <v>304</v>
      </c>
      <c r="X81" s="6"/>
      <c r="Y81">
        <v>1778101200000</v>
      </c>
      <c r="Z81">
        <v>188</v>
      </c>
      <c r="AB81">
        <v>1778101200000</v>
      </c>
      <c r="AC81">
        <v>2488</v>
      </c>
      <c r="AE81">
        <v>1778101200000</v>
      </c>
      <c r="AF81">
        <v>116</v>
      </c>
      <c r="AH81">
        <v>1778101200000</v>
      </c>
      <c r="AI81">
        <v>388</v>
      </c>
      <c r="AK81">
        <v>1778101200000</v>
      </c>
      <c r="AL81">
        <v>52</v>
      </c>
      <c r="AN81">
        <v>1778101200000</v>
      </c>
      <c r="AO81">
        <v>2760</v>
      </c>
      <c r="AQ81">
        <v>1778101200000</v>
      </c>
      <c r="AR81">
        <v>164</v>
      </c>
      <c r="AT81">
        <v>1778101200000</v>
      </c>
      <c r="AU81">
        <v>268</v>
      </c>
      <c r="AV81" s="6"/>
      <c r="AW81">
        <v>1779138000000</v>
      </c>
      <c r="AX81">
        <v>132</v>
      </c>
      <c r="AZ81">
        <v>1779138000000</v>
      </c>
      <c r="BA81">
        <v>2372</v>
      </c>
      <c r="BC81">
        <v>1779138000000</v>
      </c>
      <c r="BD81">
        <v>112</v>
      </c>
      <c r="BF81">
        <v>1779138000000</v>
      </c>
      <c r="BG81">
        <v>372</v>
      </c>
      <c r="BI81">
        <v>1779138000000</v>
      </c>
      <c r="BJ81">
        <v>64</v>
      </c>
      <c r="BL81">
        <v>1779138000000</v>
      </c>
      <c r="BM81">
        <v>2796</v>
      </c>
      <c r="BO81">
        <v>1779138000000</v>
      </c>
      <c r="BP81">
        <v>140</v>
      </c>
      <c r="BR81">
        <v>1779138000000</v>
      </c>
      <c r="BS81">
        <v>188</v>
      </c>
      <c r="BT81" s="6"/>
      <c r="BU81">
        <v>1782248400000</v>
      </c>
      <c r="BV81">
        <v>280</v>
      </c>
      <c r="BX81">
        <v>1782248400000</v>
      </c>
      <c r="BY81">
        <v>1744</v>
      </c>
      <c r="CA81">
        <v>1782248400000</v>
      </c>
      <c r="CB81">
        <v>148</v>
      </c>
      <c r="CD81">
        <v>1782248400000</v>
      </c>
      <c r="CE81">
        <v>412</v>
      </c>
      <c r="CG81">
        <v>1782248400000</v>
      </c>
      <c r="CH81">
        <v>36</v>
      </c>
      <c r="CJ81">
        <v>1782248400000</v>
      </c>
      <c r="CK81">
        <v>2136</v>
      </c>
      <c r="CM81">
        <v>1782248400000</v>
      </c>
      <c r="CN81">
        <v>152</v>
      </c>
      <c r="CP81">
        <v>1782248400000</v>
      </c>
      <c r="CQ81">
        <v>316</v>
      </c>
      <c r="CR81" s="6"/>
      <c r="CS81">
        <v>1784062800000</v>
      </c>
      <c r="CT81">
        <v>168</v>
      </c>
      <c r="CV81">
        <v>1784062800000</v>
      </c>
      <c r="CW81">
        <v>1688</v>
      </c>
      <c r="CY81">
        <v>1784062800000</v>
      </c>
      <c r="CZ81">
        <v>120</v>
      </c>
      <c r="DB81">
        <v>1784062800000</v>
      </c>
      <c r="DC81">
        <v>268</v>
      </c>
      <c r="DE81">
        <v>1784062800000</v>
      </c>
      <c r="DF81">
        <v>88</v>
      </c>
      <c r="DH81">
        <v>1784062800000</v>
      </c>
      <c r="DI81">
        <v>1592</v>
      </c>
      <c r="DK81">
        <v>1784062800000</v>
      </c>
      <c r="DL81">
        <v>176</v>
      </c>
      <c r="DN81">
        <v>1784062800000</v>
      </c>
      <c r="DO81">
        <v>236</v>
      </c>
      <c r="DP81" s="6"/>
      <c r="DQ81">
        <v>1784149200000</v>
      </c>
      <c r="DR81">
        <v>124</v>
      </c>
      <c r="DT81">
        <v>1784149200000</v>
      </c>
      <c r="DU81">
        <v>1776</v>
      </c>
      <c r="DW81">
        <v>1784149200000</v>
      </c>
      <c r="DX81">
        <v>88</v>
      </c>
      <c r="DZ81">
        <v>1784149200000</v>
      </c>
      <c r="EA81">
        <v>316</v>
      </c>
      <c r="EC81">
        <v>1784149200000</v>
      </c>
      <c r="ED81">
        <v>88</v>
      </c>
      <c r="EF81">
        <v>1784149200000</v>
      </c>
      <c r="EG81">
        <v>1560</v>
      </c>
      <c r="EI81">
        <v>1784149200000</v>
      </c>
      <c r="EJ81">
        <v>328</v>
      </c>
      <c r="EL81">
        <v>1784149200000</v>
      </c>
      <c r="EM81">
        <v>268</v>
      </c>
      <c r="EN81" s="6"/>
    </row>
    <row r="82" spans="1:144">
      <c r="A82">
        <v>1778015700000</v>
      </c>
      <c r="B82">
        <v>560</v>
      </c>
      <c r="D82">
        <v>1778015700000</v>
      </c>
      <c r="E82">
        <v>2588</v>
      </c>
      <c r="G82">
        <v>1778015700000</v>
      </c>
      <c r="H82">
        <v>128</v>
      </c>
      <c r="J82">
        <v>1778015700000</v>
      </c>
      <c r="K82">
        <v>544</v>
      </c>
      <c r="M82">
        <v>1778015700000</v>
      </c>
      <c r="N82">
        <v>76</v>
      </c>
      <c r="P82">
        <v>1778015700000</v>
      </c>
      <c r="Q82">
        <v>2788</v>
      </c>
      <c r="S82">
        <v>1778015700000</v>
      </c>
      <c r="T82">
        <v>252</v>
      </c>
      <c r="V82">
        <v>1778015700000</v>
      </c>
      <c r="W82">
        <v>220</v>
      </c>
      <c r="X82" s="6"/>
      <c r="Y82">
        <v>1778102100000</v>
      </c>
      <c r="Z82">
        <v>176</v>
      </c>
      <c r="AB82">
        <v>1778102100000</v>
      </c>
      <c r="AC82">
        <v>2408</v>
      </c>
      <c r="AE82">
        <v>1778102100000</v>
      </c>
      <c r="AF82">
        <v>116</v>
      </c>
      <c r="AH82">
        <v>1778102100000</v>
      </c>
      <c r="AI82">
        <v>384</v>
      </c>
      <c r="AK82">
        <v>1778102100000</v>
      </c>
      <c r="AL82">
        <v>84</v>
      </c>
      <c r="AN82">
        <v>1778102100000</v>
      </c>
      <c r="AO82">
        <v>2540</v>
      </c>
      <c r="AQ82">
        <v>1778102100000</v>
      </c>
      <c r="AR82">
        <v>132</v>
      </c>
      <c r="AT82">
        <v>1778102100000</v>
      </c>
      <c r="AU82">
        <v>256</v>
      </c>
      <c r="AV82" s="6"/>
      <c r="AW82">
        <v>1779138900000</v>
      </c>
      <c r="AX82">
        <v>92</v>
      </c>
      <c r="AZ82">
        <v>1779138900000</v>
      </c>
      <c r="BA82">
        <v>2672</v>
      </c>
      <c r="BC82">
        <v>1779138900000</v>
      </c>
      <c r="BD82">
        <v>100</v>
      </c>
      <c r="BF82">
        <v>1779138900000</v>
      </c>
      <c r="BG82">
        <v>536</v>
      </c>
      <c r="BI82">
        <v>1779138900000</v>
      </c>
      <c r="BJ82">
        <v>112</v>
      </c>
      <c r="BL82">
        <v>1779138900000</v>
      </c>
      <c r="BM82">
        <v>2904</v>
      </c>
      <c r="BO82">
        <v>1779138900000</v>
      </c>
      <c r="BP82">
        <v>128</v>
      </c>
      <c r="BR82">
        <v>1779138900000</v>
      </c>
      <c r="BS82">
        <v>240</v>
      </c>
      <c r="BT82" s="6"/>
      <c r="BU82">
        <v>1782249300000</v>
      </c>
      <c r="BV82">
        <v>196</v>
      </c>
      <c r="BX82">
        <v>1782249300000</v>
      </c>
      <c r="BY82">
        <v>1780</v>
      </c>
      <c r="CA82">
        <v>1782249300000</v>
      </c>
      <c r="CB82">
        <v>104</v>
      </c>
      <c r="CD82">
        <v>1782249300000</v>
      </c>
      <c r="CE82">
        <v>480</v>
      </c>
      <c r="CG82">
        <v>1782249300000</v>
      </c>
      <c r="CH82">
        <v>88</v>
      </c>
      <c r="CJ82">
        <v>1782249300000</v>
      </c>
      <c r="CK82">
        <v>1904</v>
      </c>
      <c r="CM82">
        <v>1782249300000</v>
      </c>
      <c r="CN82">
        <v>204</v>
      </c>
      <c r="CP82">
        <v>1782249300000</v>
      </c>
      <c r="CQ82">
        <v>244</v>
      </c>
      <c r="CR82" s="6"/>
      <c r="CS82">
        <v>1784063700000</v>
      </c>
      <c r="CT82">
        <v>176</v>
      </c>
      <c r="CV82">
        <v>1784063700000</v>
      </c>
      <c r="CW82">
        <v>1768</v>
      </c>
      <c r="CY82">
        <v>1784063700000</v>
      </c>
      <c r="CZ82">
        <v>156</v>
      </c>
      <c r="DB82">
        <v>1784063700000</v>
      </c>
      <c r="DC82">
        <v>248</v>
      </c>
      <c r="DE82">
        <v>1784063700000</v>
      </c>
      <c r="DF82">
        <v>92</v>
      </c>
      <c r="DH82">
        <v>1784063700000</v>
      </c>
      <c r="DI82">
        <v>1516</v>
      </c>
      <c r="DK82">
        <v>1784063700000</v>
      </c>
      <c r="DL82">
        <v>148</v>
      </c>
      <c r="DN82">
        <v>1784063700000</v>
      </c>
      <c r="DO82">
        <v>216</v>
      </c>
      <c r="DP82" s="6"/>
      <c r="DQ82">
        <v>1784150100000</v>
      </c>
      <c r="DR82">
        <v>152</v>
      </c>
      <c r="DT82">
        <v>1784150100000</v>
      </c>
      <c r="DU82">
        <v>1768</v>
      </c>
      <c r="DW82">
        <v>1784150100000</v>
      </c>
      <c r="DX82">
        <v>112</v>
      </c>
      <c r="DZ82">
        <v>1784150100000</v>
      </c>
      <c r="EA82">
        <v>328</v>
      </c>
      <c r="EC82">
        <v>1784150100000</v>
      </c>
      <c r="ED82">
        <v>96</v>
      </c>
      <c r="EF82">
        <v>1784150100000</v>
      </c>
      <c r="EG82">
        <v>1464</v>
      </c>
      <c r="EI82">
        <v>1784150100000</v>
      </c>
      <c r="EJ82">
        <v>156</v>
      </c>
      <c r="EL82">
        <v>1784150100000</v>
      </c>
      <c r="EM82">
        <v>256</v>
      </c>
      <c r="EN82" s="6"/>
    </row>
    <row r="83" spans="1:144">
      <c r="A83">
        <v>1778016600000</v>
      </c>
      <c r="B83">
        <v>120</v>
      </c>
      <c r="D83">
        <v>1778016600000</v>
      </c>
      <c r="E83">
        <v>2524</v>
      </c>
      <c r="G83">
        <v>1778016600000</v>
      </c>
      <c r="H83">
        <v>232</v>
      </c>
      <c r="J83">
        <v>1778016600000</v>
      </c>
      <c r="K83">
        <v>392</v>
      </c>
      <c r="M83">
        <v>1778016600000</v>
      </c>
      <c r="N83">
        <v>80</v>
      </c>
      <c r="P83">
        <v>1778016600000</v>
      </c>
      <c r="Q83">
        <v>2820</v>
      </c>
      <c r="S83">
        <v>1778016600000</v>
      </c>
      <c r="T83">
        <v>168</v>
      </c>
      <c r="V83">
        <v>1778016600000</v>
      </c>
      <c r="W83">
        <v>160</v>
      </c>
      <c r="X83" s="6"/>
      <c r="Y83">
        <v>1778103000000</v>
      </c>
      <c r="Z83">
        <v>132</v>
      </c>
      <c r="AB83">
        <v>1778103000000</v>
      </c>
      <c r="AC83">
        <v>2276</v>
      </c>
      <c r="AE83">
        <v>1778103000000</v>
      </c>
      <c r="AF83">
        <v>108</v>
      </c>
      <c r="AH83">
        <v>1778103000000</v>
      </c>
      <c r="AI83">
        <v>380</v>
      </c>
      <c r="AK83">
        <v>1778103000000</v>
      </c>
      <c r="AL83">
        <v>84</v>
      </c>
      <c r="AN83">
        <v>1778103000000</v>
      </c>
      <c r="AO83">
        <v>2400</v>
      </c>
      <c r="AQ83">
        <v>1778103000000</v>
      </c>
      <c r="AR83">
        <v>60</v>
      </c>
      <c r="AT83">
        <v>1778103000000</v>
      </c>
      <c r="AU83">
        <v>244</v>
      </c>
      <c r="AV83" s="6"/>
      <c r="AW83">
        <v>1779139800000</v>
      </c>
      <c r="AX83">
        <v>144</v>
      </c>
      <c r="AZ83">
        <v>1779139800000</v>
      </c>
      <c r="BA83">
        <v>2628</v>
      </c>
      <c r="BC83">
        <v>1779139800000</v>
      </c>
      <c r="BD83">
        <v>180</v>
      </c>
      <c r="BF83">
        <v>1779139800000</v>
      </c>
      <c r="BG83">
        <v>468</v>
      </c>
      <c r="BI83">
        <v>1779139800000</v>
      </c>
      <c r="BJ83">
        <v>92</v>
      </c>
      <c r="BL83">
        <v>1779139800000</v>
      </c>
      <c r="BM83">
        <v>2804</v>
      </c>
      <c r="BO83">
        <v>1779139800000</v>
      </c>
      <c r="BP83">
        <v>96</v>
      </c>
      <c r="BR83">
        <v>1779139800000</v>
      </c>
      <c r="BS83">
        <v>140</v>
      </c>
      <c r="BT83" s="6"/>
      <c r="BU83">
        <v>1782250200000</v>
      </c>
      <c r="BV83">
        <v>168</v>
      </c>
      <c r="BX83">
        <v>1782250200000</v>
      </c>
      <c r="BY83">
        <v>1664</v>
      </c>
      <c r="CA83">
        <v>1782250200000</v>
      </c>
      <c r="CB83">
        <v>212</v>
      </c>
      <c r="CD83">
        <v>1782250200000</v>
      </c>
      <c r="CE83">
        <v>280</v>
      </c>
      <c r="CG83">
        <v>1782250200000</v>
      </c>
      <c r="CH83">
        <v>80</v>
      </c>
      <c r="CJ83">
        <v>1782250200000</v>
      </c>
      <c r="CK83">
        <v>1908</v>
      </c>
      <c r="CM83">
        <v>1782250200000</v>
      </c>
      <c r="CN83">
        <v>144</v>
      </c>
      <c r="CP83">
        <v>1782250200000</v>
      </c>
      <c r="CQ83">
        <v>260</v>
      </c>
      <c r="CR83" s="6"/>
      <c r="CS83">
        <v>1784064600000</v>
      </c>
      <c r="CT83">
        <v>248</v>
      </c>
      <c r="CV83">
        <v>1784064600000</v>
      </c>
      <c r="CW83">
        <v>1760</v>
      </c>
      <c r="CY83">
        <v>1784064600000</v>
      </c>
      <c r="CZ83">
        <v>96</v>
      </c>
      <c r="DB83">
        <v>1784064600000</v>
      </c>
      <c r="DC83">
        <v>436</v>
      </c>
      <c r="DE83">
        <v>1784064600000</v>
      </c>
      <c r="DF83">
        <v>52</v>
      </c>
      <c r="DH83">
        <v>1784064600000</v>
      </c>
      <c r="DI83">
        <v>1752</v>
      </c>
      <c r="DK83">
        <v>1784064600000</v>
      </c>
      <c r="DL83">
        <v>172</v>
      </c>
      <c r="DN83">
        <v>1784064600000</v>
      </c>
      <c r="DO83">
        <v>312</v>
      </c>
      <c r="DP83" s="6"/>
      <c r="DQ83">
        <v>1784151000000</v>
      </c>
      <c r="DR83">
        <v>104</v>
      </c>
      <c r="DT83">
        <v>1784151000000</v>
      </c>
      <c r="DU83">
        <v>1552</v>
      </c>
      <c r="DW83">
        <v>1784151000000</v>
      </c>
      <c r="DX83">
        <v>128</v>
      </c>
      <c r="DZ83">
        <v>1784151000000</v>
      </c>
      <c r="EA83">
        <v>316</v>
      </c>
      <c r="EC83">
        <v>1784151000000</v>
      </c>
      <c r="ED83">
        <v>64</v>
      </c>
      <c r="EF83">
        <v>1784151000000</v>
      </c>
      <c r="EG83">
        <v>1860</v>
      </c>
      <c r="EI83">
        <v>1784151000000</v>
      </c>
      <c r="EJ83">
        <v>140</v>
      </c>
      <c r="EL83">
        <v>1784151000000</v>
      </c>
      <c r="EM83">
        <v>280</v>
      </c>
      <c r="EN83" s="6"/>
    </row>
    <row r="84" spans="1:144">
      <c r="A84">
        <v>1778017500000</v>
      </c>
      <c r="B84">
        <v>200</v>
      </c>
      <c r="D84">
        <v>1778017500000</v>
      </c>
      <c r="E84">
        <v>2568</v>
      </c>
      <c r="G84">
        <v>1778017500000</v>
      </c>
      <c r="H84">
        <v>104</v>
      </c>
      <c r="J84">
        <v>1778017500000</v>
      </c>
      <c r="K84">
        <v>300</v>
      </c>
      <c r="M84">
        <v>1778017500000</v>
      </c>
      <c r="N84">
        <v>80</v>
      </c>
      <c r="P84">
        <v>1778017500000</v>
      </c>
      <c r="Q84">
        <v>2824</v>
      </c>
      <c r="S84">
        <v>1778017500000</v>
      </c>
      <c r="T84">
        <v>212</v>
      </c>
      <c r="V84">
        <v>1778017500000</v>
      </c>
      <c r="W84">
        <v>216</v>
      </c>
      <c r="X84" s="6"/>
      <c r="Y84">
        <v>1778103900000</v>
      </c>
      <c r="Z84">
        <v>112</v>
      </c>
      <c r="AB84">
        <v>1778103900000</v>
      </c>
      <c r="AC84">
        <v>2332</v>
      </c>
      <c r="AE84">
        <v>1778103900000</v>
      </c>
      <c r="AF84">
        <v>140</v>
      </c>
      <c r="AH84">
        <v>1778103900000</v>
      </c>
      <c r="AI84">
        <v>392</v>
      </c>
      <c r="AK84">
        <v>1778103900000</v>
      </c>
      <c r="AL84">
        <v>52</v>
      </c>
      <c r="AN84">
        <v>1778103900000</v>
      </c>
      <c r="AO84">
        <v>2760</v>
      </c>
      <c r="AQ84">
        <v>1778103900000</v>
      </c>
      <c r="AR84">
        <v>168</v>
      </c>
      <c r="AT84">
        <v>1778103900000</v>
      </c>
      <c r="AU84">
        <v>276</v>
      </c>
      <c r="AV84" s="6"/>
      <c r="AW84">
        <v>1779140700000</v>
      </c>
      <c r="AX84">
        <v>144</v>
      </c>
      <c r="AZ84">
        <v>1779140700000</v>
      </c>
      <c r="BA84">
        <v>2696</v>
      </c>
      <c r="BC84">
        <v>1779140700000</v>
      </c>
      <c r="BD84">
        <v>104</v>
      </c>
      <c r="BF84">
        <v>1779140700000</v>
      </c>
      <c r="BG84">
        <v>464</v>
      </c>
      <c r="BI84">
        <v>1779140700000</v>
      </c>
      <c r="BJ84">
        <v>40</v>
      </c>
      <c r="BL84">
        <v>1779140700000</v>
      </c>
      <c r="BM84">
        <v>2972</v>
      </c>
      <c r="BO84">
        <v>1779140700000</v>
      </c>
      <c r="BP84">
        <v>120</v>
      </c>
      <c r="BR84">
        <v>1779140700000</v>
      </c>
      <c r="BS84">
        <v>304</v>
      </c>
      <c r="BT84" s="6"/>
      <c r="BU84">
        <v>1782251100000</v>
      </c>
      <c r="BV84">
        <v>128</v>
      </c>
      <c r="BX84">
        <v>1782251100000</v>
      </c>
      <c r="BY84">
        <v>1932</v>
      </c>
      <c r="CA84">
        <v>1782251100000</v>
      </c>
      <c r="CB84">
        <v>132</v>
      </c>
      <c r="CD84">
        <v>1782251100000</v>
      </c>
      <c r="CE84">
        <v>332</v>
      </c>
      <c r="CG84">
        <v>1782251100000</v>
      </c>
      <c r="CH84">
        <v>92</v>
      </c>
      <c r="CJ84">
        <v>1782251100000</v>
      </c>
      <c r="CK84">
        <v>2120</v>
      </c>
      <c r="CM84">
        <v>1782251100000</v>
      </c>
      <c r="CN84">
        <v>168</v>
      </c>
      <c r="CP84">
        <v>1782251100000</v>
      </c>
      <c r="CQ84">
        <v>288</v>
      </c>
      <c r="CR84" s="6"/>
      <c r="CS84">
        <v>1784065500000</v>
      </c>
      <c r="CT84">
        <v>164</v>
      </c>
      <c r="CV84">
        <v>1784065500000</v>
      </c>
      <c r="CW84">
        <v>1548</v>
      </c>
      <c r="CY84">
        <v>1784065500000</v>
      </c>
      <c r="CZ84">
        <v>128</v>
      </c>
      <c r="DB84">
        <v>1784065500000</v>
      </c>
      <c r="DC84">
        <v>340</v>
      </c>
      <c r="DE84">
        <v>1784065500000</v>
      </c>
      <c r="DF84">
        <v>92</v>
      </c>
      <c r="DH84">
        <v>1784065500000</v>
      </c>
      <c r="DI84">
        <v>1636</v>
      </c>
      <c r="DK84">
        <v>1784065500000</v>
      </c>
      <c r="DL84">
        <v>180</v>
      </c>
      <c r="DN84">
        <v>1784065500000</v>
      </c>
      <c r="DO84">
        <v>264</v>
      </c>
      <c r="DP84" s="6"/>
      <c r="DQ84">
        <v>1784151900000</v>
      </c>
      <c r="DR84">
        <v>140</v>
      </c>
      <c r="DT84">
        <v>1784151900000</v>
      </c>
      <c r="DU84">
        <v>1864</v>
      </c>
      <c r="DW84">
        <v>1784151900000</v>
      </c>
      <c r="DX84">
        <v>116</v>
      </c>
      <c r="DZ84">
        <v>1784151900000</v>
      </c>
      <c r="EA84">
        <v>356</v>
      </c>
      <c r="EC84">
        <v>1784151900000</v>
      </c>
      <c r="ED84">
        <v>96</v>
      </c>
      <c r="EF84">
        <v>1784151900000</v>
      </c>
      <c r="EG84">
        <v>1816</v>
      </c>
      <c r="EI84">
        <v>1784151900000</v>
      </c>
      <c r="EJ84">
        <v>124</v>
      </c>
      <c r="EL84">
        <v>1784151900000</v>
      </c>
      <c r="EM84">
        <v>264</v>
      </c>
      <c r="EN84" s="6"/>
    </row>
    <row r="85" spans="1:144">
      <c r="A85">
        <v>1778018400000</v>
      </c>
      <c r="B85">
        <v>112</v>
      </c>
      <c r="D85">
        <v>1778018400000</v>
      </c>
      <c r="E85">
        <v>2416</v>
      </c>
      <c r="G85">
        <v>1778018400000</v>
      </c>
      <c r="H85">
        <v>72</v>
      </c>
      <c r="J85">
        <v>1778018400000</v>
      </c>
      <c r="K85">
        <v>416</v>
      </c>
      <c r="M85">
        <v>1778018400000</v>
      </c>
      <c r="N85">
        <v>56</v>
      </c>
      <c r="P85">
        <v>1778018400000</v>
      </c>
      <c r="Q85">
        <v>2924</v>
      </c>
      <c r="S85">
        <v>1778018400000</v>
      </c>
      <c r="T85">
        <v>116</v>
      </c>
      <c r="V85">
        <v>1778018400000</v>
      </c>
      <c r="W85">
        <v>172</v>
      </c>
      <c r="X85" s="6"/>
      <c r="Y85">
        <v>1778104800000</v>
      </c>
      <c r="Z85">
        <v>124</v>
      </c>
      <c r="AB85">
        <v>1778104800000</v>
      </c>
      <c r="AC85">
        <v>2684</v>
      </c>
      <c r="AE85">
        <v>1778104800000</v>
      </c>
      <c r="AF85">
        <v>120</v>
      </c>
      <c r="AH85">
        <v>1778104800000</v>
      </c>
      <c r="AI85">
        <v>384</v>
      </c>
      <c r="AK85">
        <v>1778104800000</v>
      </c>
      <c r="AL85">
        <v>76</v>
      </c>
      <c r="AN85">
        <v>1778104800000</v>
      </c>
      <c r="AO85">
        <v>2856</v>
      </c>
      <c r="AQ85">
        <v>1778104800000</v>
      </c>
      <c r="AR85">
        <v>444</v>
      </c>
      <c r="AT85">
        <v>1778104800000</v>
      </c>
      <c r="AU85">
        <v>264</v>
      </c>
      <c r="AV85" s="6"/>
      <c r="AW85">
        <v>1779141600000</v>
      </c>
      <c r="AX85">
        <v>440</v>
      </c>
      <c r="AZ85">
        <v>1779141600000</v>
      </c>
      <c r="BA85">
        <v>2564</v>
      </c>
      <c r="BC85">
        <v>1779141600000</v>
      </c>
      <c r="BD85">
        <v>140</v>
      </c>
      <c r="BF85">
        <v>1779141600000</v>
      </c>
      <c r="BG85">
        <v>400</v>
      </c>
      <c r="BI85">
        <v>1779141600000</v>
      </c>
      <c r="BJ85">
        <v>80</v>
      </c>
      <c r="BL85">
        <v>1779141600000</v>
      </c>
      <c r="BM85">
        <v>2924</v>
      </c>
      <c r="BO85">
        <v>1779141600000</v>
      </c>
      <c r="BP85">
        <v>124</v>
      </c>
      <c r="BR85">
        <v>1779141600000</v>
      </c>
      <c r="BS85">
        <v>276</v>
      </c>
      <c r="BT85" s="6"/>
      <c r="BU85">
        <v>1782252000000</v>
      </c>
      <c r="BV85">
        <v>128</v>
      </c>
      <c r="BX85">
        <v>1782252000000</v>
      </c>
      <c r="BY85">
        <v>1724</v>
      </c>
      <c r="CA85">
        <v>1782252000000</v>
      </c>
      <c r="CB85">
        <v>128</v>
      </c>
      <c r="CD85">
        <v>1782252000000</v>
      </c>
      <c r="CE85">
        <v>472</v>
      </c>
      <c r="CG85">
        <v>1782252000000</v>
      </c>
      <c r="CH85">
        <v>64</v>
      </c>
      <c r="CJ85">
        <v>1782252000000</v>
      </c>
      <c r="CK85">
        <v>2000</v>
      </c>
      <c r="CM85">
        <v>1782252000000</v>
      </c>
      <c r="CN85">
        <v>100</v>
      </c>
      <c r="CP85">
        <v>1782252000000</v>
      </c>
      <c r="CQ85">
        <v>260</v>
      </c>
      <c r="CR85" s="6"/>
      <c r="CS85">
        <v>1784066400000</v>
      </c>
      <c r="CT85">
        <v>424</v>
      </c>
      <c r="CV85">
        <v>1784066400000</v>
      </c>
      <c r="CW85">
        <v>1684</v>
      </c>
      <c r="CY85">
        <v>1784066400000</v>
      </c>
      <c r="CZ85">
        <v>124</v>
      </c>
      <c r="DB85">
        <v>1784066400000</v>
      </c>
      <c r="DC85">
        <v>420</v>
      </c>
      <c r="DE85">
        <v>1784066400000</v>
      </c>
      <c r="DF85">
        <v>140</v>
      </c>
      <c r="DH85">
        <v>1784066400000</v>
      </c>
      <c r="DI85">
        <v>1720</v>
      </c>
      <c r="DK85">
        <v>1784066400000</v>
      </c>
      <c r="DL85">
        <v>160</v>
      </c>
      <c r="DN85">
        <v>1784066400000</v>
      </c>
      <c r="DO85">
        <v>272</v>
      </c>
      <c r="DP85" s="6"/>
      <c r="DQ85">
        <v>1784152800000</v>
      </c>
      <c r="DR85">
        <v>152</v>
      </c>
      <c r="DT85">
        <v>1784152800000</v>
      </c>
      <c r="DU85">
        <v>1868</v>
      </c>
      <c r="DW85">
        <v>1784152800000</v>
      </c>
      <c r="DX85">
        <v>100</v>
      </c>
      <c r="DZ85">
        <v>1784152800000</v>
      </c>
      <c r="EA85">
        <v>320</v>
      </c>
      <c r="EC85">
        <v>1784152800000</v>
      </c>
      <c r="ED85">
        <v>92</v>
      </c>
      <c r="EF85">
        <v>1784152800000</v>
      </c>
      <c r="EG85">
        <v>1628</v>
      </c>
      <c r="EI85">
        <v>1784152800000</v>
      </c>
      <c r="EJ85">
        <v>168</v>
      </c>
      <c r="EL85">
        <v>1784152800000</v>
      </c>
      <c r="EM85">
        <v>280</v>
      </c>
      <c r="EN85" s="6"/>
    </row>
    <row r="86" spans="1:144">
      <c r="A86">
        <v>1778019300000</v>
      </c>
      <c r="B86">
        <v>264</v>
      </c>
      <c r="D86">
        <v>1778019300000</v>
      </c>
      <c r="E86">
        <v>2516</v>
      </c>
      <c r="G86">
        <v>1778019300000</v>
      </c>
      <c r="H86">
        <v>164</v>
      </c>
      <c r="J86">
        <v>1778019300000</v>
      </c>
      <c r="K86">
        <v>260</v>
      </c>
      <c r="M86">
        <v>1778019300000</v>
      </c>
      <c r="N86">
        <v>80</v>
      </c>
      <c r="P86">
        <v>1778019300000</v>
      </c>
      <c r="Q86">
        <v>2812</v>
      </c>
      <c r="S86">
        <v>1778019300000</v>
      </c>
      <c r="T86">
        <v>112</v>
      </c>
      <c r="V86">
        <v>1778019300000</v>
      </c>
      <c r="W86">
        <v>172</v>
      </c>
      <c r="X86" s="6"/>
      <c r="Y86">
        <v>1778105700000</v>
      </c>
      <c r="Z86">
        <v>244</v>
      </c>
      <c r="AB86">
        <v>1778105700000</v>
      </c>
      <c r="AC86">
        <v>2584</v>
      </c>
      <c r="AE86">
        <v>1778105700000</v>
      </c>
      <c r="AF86">
        <v>120</v>
      </c>
      <c r="AH86">
        <v>1778105700000</v>
      </c>
      <c r="AI86">
        <v>432</v>
      </c>
      <c r="AK86">
        <v>1778105700000</v>
      </c>
      <c r="AL86">
        <v>116</v>
      </c>
      <c r="AN86">
        <v>1778105700000</v>
      </c>
      <c r="AO86">
        <v>2996</v>
      </c>
      <c r="AQ86">
        <v>1778105700000</v>
      </c>
      <c r="AR86">
        <v>136</v>
      </c>
      <c r="AT86">
        <v>1778105700000</v>
      </c>
      <c r="AU86">
        <v>260</v>
      </c>
      <c r="AV86" s="6"/>
      <c r="AW86">
        <v>1779142500000</v>
      </c>
      <c r="AX86">
        <v>236</v>
      </c>
      <c r="AZ86">
        <v>1779142500000</v>
      </c>
      <c r="BA86">
        <v>2440</v>
      </c>
      <c r="BC86">
        <v>1779142500000</v>
      </c>
      <c r="BD86">
        <v>168</v>
      </c>
      <c r="BF86">
        <v>1779142500000</v>
      </c>
      <c r="BG86">
        <v>480</v>
      </c>
      <c r="BI86">
        <v>1779142500000</v>
      </c>
      <c r="BJ86">
        <v>80</v>
      </c>
      <c r="BL86">
        <v>1779142500000</v>
      </c>
      <c r="BM86">
        <v>2976</v>
      </c>
      <c r="BO86">
        <v>1779142500000</v>
      </c>
      <c r="BP86">
        <v>148</v>
      </c>
      <c r="BR86">
        <v>1779142500000</v>
      </c>
      <c r="BS86">
        <v>272</v>
      </c>
      <c r="BT86" s="6"/>
      <c r="BU86">
        <v>1782252900000</v>
      </c>
      <c r="BV86">
        <v>128</v>
      </c>
      <c r="BX86">
        <v>1782252900000</v>
      </c>
      <c r="BY86">
        <v>1832</v>
      </c>
      <c r="CA86">
        <v>1782252900000</v>
      </c>
      <c r="CB86">
        <v>196</v>
      </c>
      <c r="CD86">
        <v>1782252900000</v>
      </c>
      <c r="CE86">
        <v>424</v>
      </c>
      <c r="CG86">
        <v>1782252900000</v>
      </c>
      <c r="CH86">
        <v>72</v>
      </c>
      <c r="CJ86">
        <v>1782252900000</v>
      </c>
      <c r="CK86">
        <v>2152</v>
      </c>
      <c r="CM86">
        <v>1782252900000</v>
      </c>
      <c r="CN86">
        <v>164</v>
      </c>
      <c r="CP86">
        <v>1782252900000</v>
      </c>
      <c r="CQ86">
        <v>380</v>
      </c>
      <c r="CR86" s="6"/>
      <c r="CS86">
        <v>1784067300000</v>
      </c>
      <c r="CT86">
        <v>256</v>
      </c>
      <c r="CV86">
        <v>1784067300000</v>
      </c>
      <c r="CW86">
        <v>1856</v>
      </c>
      <c r="CY86">
        <v>1784067300000</v>
      </c>
      <c r="CZ86">
        <v>176</v>
      </c>
      <c r="DB86">
        <v>1784067300000</v>
      </c>
      <c r="DC86">
        <v>400</v>
      </c>
      <c r="DE86">
        <v>1784067300000</v>
      </c>
      <c r="DF86">
        <v>112</v>
      </c>
      <c r="DH86">
        <v>1784067300000</v>
      </c>
      <c r="DI86">
        <v>1632</v>
      </c>
      <c r="DK86">
        <v>1784067300000</v>
      </c>
      <c r="DL86">
        <v>276</v>
      </c>
      <c r="DN86">
        <v>1784067300000</v>
      </c>
      <c r="DO86">
        <v>328</v>
      </c>
      <c r="DP86" s="6"/>
      <c r="DQ86">
        <v>1784153700000</v>
      </c>
      <c r="DR86">
        <v>200</v>
      </c>
      <c r="DT86">
        <v>1784153700000</v>
      </c>
      <c r="DU86">
        <v>1548</v>
      </c>
      <c r="DW86">
        <v>1784153700000</v>
      </c>
      <c r="DX86">
        <v>132</v>
      </c>
      <c r="DZ86">
        <v>1784153700000</v>
      </c>
      <c r="EA86">
        <v>432</v>
      </c>
      <c r="EC86">
        <v>1784153700000</v>
      </c>
      <c r="ED86">
        <v>104</v>
      </c>
      <c r="EF86">
        <v>1784153700000</v>
      </c>
      <c r="EG86">
        <v>1652</v>
      </c>
      <c r="EI86">
        <v>1784153700000</v>
      </c>
      <c r="EJ86">
        <v>376</v>
      </c>
      <c r="EL86">
        <v>1784153700000</v>
      </c>
      <c r="EM86">
        <v>292</v>
      </c>
      <c r="EN86" s="6"/>
    </row>
    <row r="87" spans="1:144">
      <c r="A87">
        <v>1778020200000</v>
      </c>
      <c r="B87">
        <v>192</v>
      </c>
      <c r="D87">
        <v>1778020200000</v>
      </c>
      <c r="E87">
        <v>2732</v>
      </c>
      <c r="G87">
        <v>1778020200000</v>
      </c>
      <c r="H87">
        <v>108</v>
      </c>
      <c r="J87">
        <v>1778020200000</v>
      </c>
      <c r="K87">
        <v>424</v>
      </c>
      <c r="M87">
        <v>1778020200000</v>
      </c>
      <c r="N87">
        <v>112</v>
      </c>
      <c r="P87">
        <v>1778020200000</v>
      </c>
      <c r="Q87">
        <v>2976</v>
      </c>
      <c r="S87">
        <v>1778020200000</v>
      </c>
      <c r="T87">
        <v>164</v>
      </c>
      <c r="V87">
        <v>1778020200000</v>
      </c>
      <c r="W87">
        <v>240</v>
      </c>
      <c r="X87" s="6"/>
      <c r="Y87">
        <v>1778106600000</v>
      </c>
      <c r="Z87">
        <v>168</v>
      </c>
      <c r="AB87">
        <v>1778106600000</v>
      </c>
      <c r="AC87">
        <v>2508</v>
      </c>
      <c r="AE87">
        <v>1778106600000</v>
      </c>
      <c r="AF87">
        <v>104</v>
      </c>
      <c r="AH87">
        <v>1778106600000</v>
      </c>
      <c r="AI87">
        <v>332</v>
      </c>
      <c r="AK87">
        <v>1778106600000</v>
      </c>
      <c r="AL87">
        <v>88</v>
      </c>
      <c r="AN87">
        <v>1778106600000</v>
      </c>
      <c r="AO87">
        <v>2796</v>
      </c>
      <c r="AQ87">
        <v>1778106600000</v>
      </c>
      <c r="AR87">
        <v>112</v>
      </c>
      <c r="AT87">
        <v>1778106600000</v>
      </c>
      <c r="AU87">
        <v>268</v>
      </c>
      <c r="AV87" s="6"/>
      <c r="AW87">
        <v>1779143400000</v>
      </c>
      <c r="AX87">
        <v>116</v>
      </c>
      <c r="AZ87">
        <v>1779143400000</v>
      </c>
      <c r="BA87">
        <v>2564</v>
      </c>
      <c r="BC87">
        <v>1779143400000</v>
      </c>
      <c r="BD87">
        <v>128</v>
      </c>
      <c r="BF87">
        <v>1779143400000</v>
      </c>
      <c r="BG87">
        <v>328</v>
      </c>
      <c r="BI87">
        <v>1779143400000</v>
      </c>
      <c r="BJ87">
        <v>44</v>
      </c>
      <c r="BL87">
        <v>1779143400000</v>
      </c>
      <c r="BM87">
        <v>2908</v>
      </c>
      <c r="BO87">
        <v>1779143400000</v>
      </c>
      <c r="BP87">
        <v>432</v>
      </c>
      <c r="BR87">
        <v>1779143400000</v>
      </c>
      <c r="BS87">
        <v>208</v>
      </c>
      <c r="BT87" s="6"/>
      <c r="BU87">
        <v>1782253800000</v>
      </c>
      <c r="BV87">
        <v>208</v>
      </c>
      <c r="BX87">
        <v>1782253800000</v>
      </c>
      <c r="BY87">
        <v>1676</v>
      </c>
      <c r="CA87">
        <v>1782253800000</v>
      </c>
      <c r="CB87">
        <v>124</v>
      </c>
      <c r="CD87">
        <v>1782253800000</v>
      </c>
      <c r="CE87">
        <v>356</v>
      </c>
      <c r="CG87">
        <v>1782253800000</v>
      </c>
      <c r="CH87">
        <v>100</v>
      </c>
      <c r="CJ87">
        <v>1782253800000</v>
      </c>
      <c r="CK87">
        <v>1996</v>
      </c>
      <c r="CM87">
        <v>1782253800000</v>
      </c>
      <c r="CN87">
        <v>136</v>
      </c>
      <c r="CP87">
        <v>1782253800000</v>
      </c>
      <c r="CQ87">
        <v>252</v>
      </c>
      <c r="CR87" s="6"/>
      <c r="CS87">
        <v>1784068200000</v>
      </c>
      <c r="CT87">
        <v>280</v>
      </c>
      <c r="CV87">
        <v>1784068200000</v>
      </c>
      <c r="CW87">
        <v>1732</v>
      </c>
      <c r="CY87">
        <v>1784068200000</v>
      </c>
      <c r="CZ87">
        <v>92</v>
      </c>
      <c r="DB87">
        <v>1784068200000</v>
      </c>
      <c r="DC87">
        <v>324</v>
      </c>
      <c r="DE87">
        <v>1784068200000</v>
      </c>
      <c r="DF87">
        <v>108</v>
      </c>
      <c r="DH87">
        <v>1784068200000</v>
      </c>
      <c r="DI87">
        <v>1816</v>
      </c>
      <c r="DK87">
        <v>1784068200000</v>
      </c>
      <c r="DL87">
        <v>168</v>
      </c>
      <c r="DN87">
        <v>1784068200000</v>
      </c>
      <c r="DO87">
        <v>264</v>
      </c>
      <c r="DP87" s="6"/>
      <c r="DQ87">
        <v>1784154600000</v>
      </c>
      <c r="DR87">
        <v>248</v>
      </c>
      <c r="DT87">
        <v>1784154600000</v>
      </c>
      <c r="DU87">
        <v>1640</v>
      </c>
      <c r="DW87">
        <v>1784154600000</v>
      </c>
      <c r="DX87">
        <v>192</v>
      </c>
      <c r="DZ87">
        <v>1784154600000</v>
      </c>
      <c r="EA87">
        <v>360</v>
      </c>
      <c r="EC87">
        <v>1784154600000</v>
      </c>
      <c r="ED87">
        <v>104</v>
      </c>
      <c r="EF87">
        <v>1784154600000</v>
      </c>
      <c r="EG87">
        <v>1884</v>
      </c>
      <c r="EI87">
        <v>1784154600000</v>
      </c>
      <c r="EJ87">
        <v>176</v>
      </c>
      <c r="EL87">
        <v>1784154600000</v>
      </c>
      <c r="EM87">
        <v>248</v>
      </c>
      <c r="EN87" s="6"/>
    </row>
    <row r="88" spans="1:144">
      <c r="A88">
        <v>1778021100000</v>
      </c>
      <c r="B88">
        <v>100</v>
      </c>
      <c r="D88">
        <v>1778021100000</v>
      </c>
      <c r="E88">
        <v>2684</v>
      </c>
      <c r="G88">
        <v>1778021100000</v>
      </c>
      <c r="H88">
        <v>140</v>
      </c>
      <c r="J88">
        <v>1778021100000</v>
      </c>
      <c r="K88">
        <v>288</v>
      </c>
      <c r="M88">
        <v>1778021100000</v>
      </c>
      <c r="N88">
        <v>112</v>
      </c>
      <c r="P88">
        <v>1778021100000</v>
      </c>
      <c r="Q88">
        <v>2908</v>
      </c>
      <c r="S88">
        <v>1778021100000</v>
      </c>
      <c r="T88">
        <v>140</v>
      </c>
      <c r="V88">
        <v>1778021100000</v>
      </c>
      <c r="W88">
        <v>220</v>
      </c>
      <c r="X88" s="6"/>
      <c r="Y88">
        <v>1778107500000</v>
      </c>
      <c r="Z88">
        <v>204</v>
      </c>
      <c r="AB88">
        <v>1778107500000</v>
      </c>
      <c r="AC88">
        <v>2708</v>
      </c>
      <c r="AE88">
        <v>1778107500000</v>
      </c>
      <c r="AF88">
        <v>120</v>
      </c>
      <c r="AH88">
        <v>1778107500000</v>
      </c>
      <c r="AI88">
        <v>416</v>
      </c>
      <c r="AK88">
        <v>1778107500000</v>
      </c>
      <c r="AL88">
        <v>56</v>
      </c>
      <c r="AN88">
        <v>1778107500000</v>
      </c>
      <c r="AO88">
        <v>2968</v>
      </c>
      <c r="AQ88">
        <v>1778107500000</v>
      </c>
      <c r="AR88">
        <v>204</v>
      </c>
      <c r="AT88">
        <v>1778107500000</v>
      </c>
      <c r="AU88">
        <v>188</v>
      </c>
      <c r="AV88" s="6"/>
      <c r="AW88">
        <v>1779144300000</v>
      </c>
      <c r="AX88">
        <v>124</v>
      </c>
      <c r="AZ88">
        <v>1779144300000</v>
      </c>
      <c r="BA88">
        <v>2632</v>
      </c>
      <c r="BC88">
        <v>1779144300000</v>
      </c>
      <c r="BD88">
        <v>160</v>
      </c>
      <c r="BF88">
        <v>1779144300000</v>
      </c>
      <c r="BG88">
        <v>340</v>
      </c>
      <c r="BI88">
        <v>1779144300000</v>
      </c>
      <c r="BJ88">
        <v>72</v>
      </c>
      <c r="BL88">
        <v>1779144300000</v>
      </c>
      <c r="BM88">
        <v>2788</v>
      </c>
      <c r="BO88">
        <v>1779144300000</v>
      </c>
      <c r="BP88">
        <v>144</v>
      </c>
      <c r="BR88">
        <v>1779144300000</v>
      </c>
      <c r="BS88">
        <v>220</v>
      </c>
      <c r="BT88" s="6"/>
      <c r="BU88">
        <v>1782254700000</v>
      </c>
      <c r="BV88">
        <v>188</v>
      </c>
      <c r="BX88">
        <v>1782254700000</v>
      </c>
      <c r="BY88">
        <v>1988</v>
      </c>
      <c r="CA88">
        <v>1782254700000</v>
      </c>
      <c r="CB88">
        <v>100</v>
      </c>
      <c r="CD88">
        <v>1782254700000</v>
      </c>
      <c r="CE88">
        <v>412</v>
      </c>
      <c r="CG88">
        <v>1782254700000</v>
      </c>
      <c r="CH88">
        <v>76</v>
      </c>
      <c r="CJ88">
        <v>1782254700000</v>
      </c>
      <c r="CK88">
        <v>1892</v>
      </c>
      <c r="CM88">
        <v>1782254700000</v>
      </c>
      <c r="CN88">
        <v>188</v>
      </c>
      <c r="CP88">
        <v>1782254700000</v>
      </c>
      <c r="CQ88">
        <v>268</v>
      </c>
      <c r="CR88" s="6"/>
      <c r="CS88">
        <v>1784069100000</v>
      </c>
      <c r="CT88">
        <v>224</v>
      </c>
      <c r="CV88">
        <v>1784069100000</v>
      </c>
      <c r="CW88">
        <v>1812</v>
      </c>
      <c r="CY88">
        <v>1784069100000</v>
      </c>
      <c r="CZ88">
        <v>136</v>
      </c>
      <c r="DB88">
        <v>1784069100000</v>
      </c>
      <c r="DC88">
        <v>328</v>
      </c>
      <c r="DE88">
        <v>1784069100000</v>
      </c>
      <c r="DF88">
        <v>88</v>
      </c>
      <c r="DH88">
        <v>1784069100000</v>
      </c>
      <c r="DI88">
        <v>1892</v>
      </c>
      <c r="DK88">
        <v>1784069100000</v>
      </c>
      <c r="DL88">
        <v>160</v>
      </c>
      <c r="DN88">
        <v>1784069100000</v>
      </c>
      <c r="DO88">
        <v>268</v>
      </c>
      <c r="DP88" s="6"/>
      <c r="DQ88">
        <v>1784155500000</v>
      </c>
      <c r="DR88">
        <v>220</v>
      </c>
      <c r="DT88">
        <v>1784155500000</v>
      </c>
      <c r="DU88">
        <v>1676</v>
      </c>
      <c r="DW88">
        <v>1784155500000</v>
      </c>
      <c r="DX88">
        <v>132</v>
      </c>
      <c r="DZ88">
        <v>1784155500000</v>
      </c>
      <c r="EA88">
        <v>356</v>
      </c>
      <c r="EC88">
        <v>1784155500000</v>
      </c>
      <c r="ED88">
        <v>84</v>
      </c>
      <c r="EF88">
        <v>1784155500000</v>
      </c>
      <c r="EG88">
        <v>1800</v>
      </c>
      <c r="EI88">
        <v>1784155500000</v>
      </c>
      <c r="EJ88">
        <v>160</v>
      </c>
      <c r="EL88">
        <v>1784155500000</v>
      </c>
      <c r="EM88">
        <v>312</v>
      </c>
      <c r="EN88" s="6"/>
    </row>
    <row r="89" spans="1:144">
      <c r="A89">
        <v>1778022000000</v>
      </c>
      <c r="B89">
        <v>132</v>
      </c>
      <c r="D89">
        <v>1778022000000</v>
      </c>
      <c r="E89">
        <v>2768</v>
      </c>
      <c r="G89">
        <v>1778022000000</v>
      </c>
      <c r="H89">
        <v>384</v>
      </c>
      <c r="J89">
        <v>1778022000000</v>
      </c>
      <c r="K89">
        <v>312</v>
      </c>
      <c r="M89">
        <v>1778022000000</v>
      </c>
      <c r="N89">
        <v>52</v>
      </c>
      <c r="P89">
        <v>1778022000000</v>
      </c>
      <c r="Q89">
        <v>3040</v>
      </c>
      <c r="S89">
        <v>1778022000000</v>
      </c>
      <c r="T89">
        <v>264</v>
      </c>
      <c r="V89">
        <v>1778022000000</v>
      </c>
      <c r="W89">
        <v>164</v>
      </c>
      <c r="X89" s="6"/>
      <c r="Y89">
        <v>1778108400000</v>
      </c>
      <c r="Z89">
        <v>108</v>
      </c>
      <c r="AB89">
        <v>1778108400000</v>
      </c>
      <c r="AC89">
        <v>2748</v>
      </c>
      <c r="AE89">
        <v>1778108400000</v>
      </c>
      <c r="AF89">
        <v>132</v>
      </c>
      <c r="AH89">
        <v>1778108400000</v>
      </c>
      <c r="AI89">
        <v>436</v>
      </c>
      <c r="AK89">
        <v>1778108400000</v>
      </c>
      <c r="AL89">
        <v>68</v>
      </c>
      <c r="AN89">
        <v>1778108400000</v>
      </c>
      <c r="AO89">
        <v>3076</v>
      </c>
      <c r="AQ89">
        <v>1778108400000</v>
      </c>
      <c r="AR89">
        <v>240</v>
      </c>
      <c r="AT89">
        <v>1778108400000</v>
      </c>
      <c r="AU89">
        <v>288</v>
      </c>
      <c r="AV89" s="6"/>
      <c r="AW89">
        <v>1779145200000</v>
      </c>
      <c r="AX89">
        <v>120</v>
      </c>
      <c r="AZ89">
        <v>1779145200000</v>
      </c>
      <c r="BA89">
        <v>2616</v>
      </c>
      <c r="BC89">
        <v>1779145200000</v>
      </c>
      <c r="BD89">
        <v>352</v>
      </c>
      <c r="BF89">
        <v>1779145200000</v>
      </c>
      <c r="BG89">
        <v>312</v>
      </c>
      <c r="BI89">
        <v>1779145200000</v>
      </c>
      <c r="BJ89">
        <v>100</v>
      </c>
      <c r="BL89">
        <v>1779145200000</v>
      </c>
      <c r="BM89">
        <v>2924</v>
      </c>
      <c r="BO89">
        <v>1779145200000</v>
      </c>
      <c r="BP89">
        <v>228</v>
      </c>
      <c r="BR89">
        <v>1779145200000</v>
      </c>
      <c r="BS89">
        <v>228</v>
      </c>
      <c r="BT89" s="6"/>
      <c r="BU89">
        <v>1782255600000</v>
      </c>
      <c r="BV89">
        <v>164</v>
      </c>
      <c r="BX89">
        <v>1782255600000</v>
      </c>
      <c r="BY89">
        <v>2084</v>
      </c>
      <c r="CA89">
        <v>1782255600000</v>
      </c>
      <c r="CB89">
        <v>112</v>
      </c>
      <c r="CD89">
        <v>1782255600000</v>
      </c>
      <c r="CE89">
        <v>420</v>
      </c>
      <c r="CG89">
        <v>1782255600000</v>
      </c>
      <c r="CH89">
        <v>60</v>
      </c>
      <c r="CJ89">
        <v>1782255600000</v>
      </c>
      <c r="CK89">
        <v>2056</v>
      </c>
      <c r="CM89">
        <v>1782255600000</v>
      </c>
      <c r="CN89">
        <v>224</v>
      </c>
      <c r="CP89">
        <v>1782255600000</v>
      </c>
      <c r="CQ89">
        <v>276</v>
      </c>
      <c r="CR89" s="6"/>
      <c r="CS89">
        <v>1784070000000</v>
      </c>
      <c r="CT89">
        <v>232</v>
      </c>
      <c r="CV89">
        <v>1784070000000</v>
      </c>
      <c r="CW89">
        <v>2044</v>
      </c>
      <c r="CY89">
        <v>1784070000000</v>
      </c>
      <c r="CZ89">
        <v>240</v>
      </c>
      <c r="DB89">
        <v>1784070000000</v>
      </c>
      <c r="DC89">
        <v>376</v>
      </c>
      <c r="DE89">
        <v>1784070000000</v>
      </c>
      <c r="DF89">
        <v>56</v>
      </c>
      <c r="DH89">
        <v>1784070000000</v>
      </c>
      <c r="DI89">
        <v>2240</v>
      </c>
      <c r="DK89">
        <v>1784070000000</v>
      </c>
      <c r="DL89">
        <v>164</v>
      </c>
      <c r="DN89">
        <v>1784070000000</v>
      </c>
      <c r="DO89">
        <v>276</v>
      </c>
      <c r="DP89" s="6"/>
      <c r="DQ89">
        <v>1784156400000</v>
      </c>
      <c r="DR89">
        <v>208</v>
      </c>
      <c r="DT89">
        <v>1784156400000</v>
      </c>
      <c r="DU89">
        <v>1908</v>
      </c>
      <c r="DW89">
        <v>1784156400000</v>
      </c>
      <c r="DX89">
        <v>100</v>
      </c>
      <c r="DZ89">
        <v>1784156400000</v>
      </c>
      <c r="EA89">
        <v>388</v>
      </c>
      <c r="EC89">
        <v>1784156400000</v>
      </c>
      <c r="ED89">
        <v>116</v>
      </c>
      <c r="EF89">
        <v>1784156400000</v>
      </c>
      <c r="EG89">
        <v>1584</v>
      </c>
      <c r="EI89">
        <v>1784156400000</v>
      </c>
      <c r="EJ89">
        <v>184</v>
      </c>
      <c r="EL89">
        <v>1784156400000</v>
      </c>
      <c r="EM89">
        <v>244</v>
      </c>
      <c r="EN89" s="6"/>
    </row>
    <row r="90" spans="1:144">
      <c r="A90">
        <v>1778022900000</v>
      </c>
      <c r="B90">
        <v>188</v>
      </c>
      <c r="D90">
        <v>1778022900000</v>
      </c>
      <c r="E90">
        <v>2416</v>
      </c>
      <c r="G90">
        <v>1778022900000</v>
      </c>
      <c r="H90">
        <v>128</v>
      </c>
      <c r="J90">
        <v>1778022900000</v>
      </c>
      <c r="K90">
        <v>384</v>
      </c>
      <c r="M90">
        <v>1778022900000</v>
      </c>
      <c r="N90">
        <v>84</v>
      </c>
      <c r="P90">
        <v>1778022900000</v>
      </c>
      <c r="Q90">
        <v>2820</v>
      </c>
      <c r="S90">
        <v>1778022900000</v>
      </c>
      <c r="T90">
        <v>260</v>
      </c>
      <c r="V90">
        <v>1778022900000</v>
      </c>
      <c r="W90">
        <v>252</v>
      </c>
      <c r="X90" s="6"/>
      <c r="Y90">
        <v>1778109300000</v>
      </c>
      <c r="Z90">
        <v>112</v>
      </c>
      <c r="AB90">
        <v>1778109300000</v>
      </c>
      <c r="AC90">
        <v>2500</v>
      </c>
      <c r="AE90">
        <v>1778109300000</v>
      </c>
      <c r="AF90">
        <v>124</v>
      </c>
      <c r="AH90">
        <v>1778109300000</v>
      </c>
      <c r="AI90">
        <v>408</v>
      </c>
      <c r="AK90">
        <v>1778109300000</v>
      </c>
      <c r="AL90">
        <v>68</v>
      </c>
      <c r="AN90">
        <v>1778109300000</v>
      </c>
      <c r="AO90">
        <v>2876</v>
      </c>
      <c r="AQ90">
        <v>1778109300000</v>
      </c>
      <c r="AR90">
        <v>172</v>
      </c>
      <c r="AT90">
        <v>1778109300000</v>
      </c>
      <c r="AU90">
        <v>216</v>
      </c>
      <c r="AV90" s="6"/>
      <c r="AW90">
        <v>1779146100000</v>
      </c>
      <c r="AX90">
        <v>104</v>
      </c>
      <c r="AZ90">
        <v>1779146100000</v>
      </c>
      <c r="BA90">
        <v>2948</v>
      </c>
      <c r="BC90">
        <v>1779146100000</v>
      </c>
      <c r="BD90">
        <v>152</v>
      </c>
      <c r="BF90">
        <v>1779146100000</v>
      </c>
      <c r="BG90">
        <v>432</v>
      </c>
      <c r="BI90">
        <v>1779146100000</v>
      </c>
      <c r="BJ90">
        <v>76</v>
      </c>
      <c r="BL90">
        <v>1779146100000</v>
      </c>
      <c r="BM90">
        <v>2944</v>
      </c>
      <c r="BO90">
        <v>1779146100000</v>
      </c>
      <c r="BP90">
        <v>116</v>
      </c>
      <c r="BR90">
        <v>1779146100000</v>
      </c>
      <c r="BS90">
        <v>128</v>
      </c>
      <c r="BT90" s="6"/>
      <c r="BU90">
        <v>1782256500000</v>
      </c>
      <c r="BV90">
        <v>148</v>
      </c>
      <c r="BX90">
        <v>1782256500000</v>
      </c>
      <c r="BY90">
        <v>1920</v>
      </c>
      <c r="CA90">
        <v>1782256500000</v>
      </c>
      <c r="CB90">
        <v>104</v>
      </c>
      <c r="CD90">
        <v>1782256500000</v>
      </c>
      <c r="CE90">
        <v>392</v>
      </c>
      <c r="CG90">
        <v>1782256500000</v>
      </c>
      <c r="CH90">
        <v>84</v>
      </c>
      <c r="CJ90">
        <v>1782256500000</v>
      </c>
      <c r="CK90">
        <v>1880</v>
      </c>
      <c r="CM90">
        <v>1782256500000</v>
      </c>
      <c r="CN90">
        <v>156</v>
      </c>
      <c r="CP90">
        <v>1782256500000</v>
      </c>
      <c r="CQ90">
        <v>244</v>
      </c>
      <c r="CR90" s="6"/>
      <c r="CS90">
        <v>1784070900000</v>
      </c>
      <c r="CT90">
        <v>148</v>
      </c>
      <c r="CV90">
        <v>1784070900000</v>
      </c>
      <c r="CW90">
        <v>1928</v>
      </c>
      <c r="CY90">
        <v>1784070900000</v>
      </c>
      <c r="CZ90">
        <v>120</v>
      </c>
      <c r="DB90">
        <v>1784070900000</v>
      </c>
      <c r="DC90">
        <v>368</v>
      </c>
      <c r="DE90">
        <v>1784070900000</v>
      </c>
      <c r="DF90">
        <v>104</v>
      </c>
      <c r="DH90">
        <v>1784070900000</v>
      </c>
      <c r="DI90">
        <v>1920</v>
      </c>
      <c r="DK90">
        <v>1784070900000</v>
      </c>
      <c r="DL90">
        <v>164</v>
      </c>
      <c r="DN90">
        <v>1784070900000</v>
      </c>
      <c r="DO90">
        <v>268</v>
      </c>
      <c r="DP90" s="6"/>
      <c r="DQ90">
        <v>1784157300000</v>
      </c>
      <c r="DR90">
        <v>108</v>
      </c>
      <c r="DT90">
        <v>1784157300000</v>
      </c>
      <c r="DU90">
        <v>1748</v>
      </c>
      <c r="DW90">
        <v>1784157300000</v>
      </c>
      <c r="DX90">
        <v>64</v>
      </c>
      <c r="DZ90">
        <v>1784157300000</v>
      </c>
      <c r="EA90">
        <v>404</v>
      </c>
      <c r="EC90">
        <v>1784157300000</v>
      </c>
      <c r="ED90">
        <v>64</v>
      </c>
      <c r="EF90">
        <v>1784157300000</v>
      </c>
      <c r="EG90">
        <v>1836</v>
      </c>
      <c r="EI90">
        <v>1784157300000</v>
      </c>
      <c r="EJ90">
        <v>168</v>
      </c>
      <c r="EL90">
        <v>1784157300000</v>
      </c>
      <c r="EM90">
        <v>276</v>
      </c>
      <c r="EN90" s="6"/>
    </row>
    <row r="91" spans="1:144">
      <c r="A91">
        <v>1778023800000</v>
      </c>
      <c r="B91">
        <v>152</v>
      </c>
      <c r="D91">
        <v>1778023800000</v>
      </c>
      <c r="E91">
        <v>2204</v>
      </c>
      <c r="G91">
        <v>1778023800000</v>
      </c>
      <c r="H91">
        <v>76</v>
      </c>
      <c r="J91">
        <v>1778023800000</v>
      </c>
      <c r="K91">
        <v>328</v>
      </c>
      <c r="M91">
        <v>1778023800000</v>
      </c>
      <c r="N91">
        <v>56</v>
      </c>
      <c r="P91">
        <v>1778023800000</v>
      </c>
      <c r="Q91">
        <v>2576</v>
      </c>
      <c r="S91">
        <v>1778023800000</v>
      </c>
      <c r="T91">
        <v>108</v>
      </c>
      <c r="V91">
        <v>1778023800000</v>
      </c>
      <c r="W91">
        <v>160</v>
      </c>
      <c r="X91" s="6"/>
      <c r="Y91">
        <v>1778110200000</v>
      </c>
      <c r="Z91">
        <v>184</v>
      </c>
      <c r="AB91">
        <v>1778110200000</v>
      </c>
      <c r="AC91">
        <v>2844</v>
      </c>
      <c r="AE91">
        <v>1778110200000</v>
      </c>
      <c r="AF91">
        <v>88</v>
      </c>
      <c r="AH91">
        <v>1778110200000</v>
      </c>
      <c r="AI91">
        <v>468</v>
      </c>
      <c r="AK91">
        <v>1778110200000</v>
      </c>
      <c r="AL91">
        <v>72</v>
      </c>
      <c r="AN91">
        <v>1778110200000</v>
      </c>
      <c r="AO91">
        <v>2784</v>
      </c>
      <c r="AQ91">
        <v>1778110200000</v>
      </c>
      <c r="AR91">
        <v>156</v>
      </c>
      <c r="AT91">
        <v>1778110200000</v>
      </c>
      <c r="AU91">
        <v>324</v>
      </c>
      <c r="AV91" s="6"/>
      <c r="AW91">
        <v>1779147000000</v>
      </c>
      <c r="AX91">
        <v>188</v>
      </c>
      <c r="AZ91">
        <v>1779147000000</v>
      </c>
      <c r="BA91">
        <v>2580</v>
      </c>
      <c r="BC91">
        <v>1779147000000</v>
      </c>
      <c r="BD91">
        <v>92</v>
      </c>
      <c r="BF91">
        <v>1779147000000</v>
      </c>
      <c r="BG91">
        <v>400</v>
      </c>
      <c r="BI91">
        <v>1779147000000</v>
      </c>
      <c r="BJ91">
        <v>76</v>
      </c>
      <c r="BL91">
        <v>1779147000000</v>
      </c>
      <c r="BM91">
        <v>2988</v>
      </c>
      <c r="BO91">
        <v>1779147000000</v>
      </c>
      <c r="BP91">
        <v>248</v>
      </c>
      <c r="BR91">
        <v>1779147000000</v>
      </c>
      <c r="BS91">
        <v>228</v>
      </c>
      <c r="BT91" s="6"/>
      <c r="BU91">
        <v>1782257400000</v>
      </c>
      <c r="BV91">
        <v>152</v>
      </c>
      <c r="BX91">
        <v>1782257400000</v>
      </c>
      <c r="BY91">
        <v>2108</v>
      </c>
      <c r="CA91">
        <v>1782257400000</v>
      </c>
      <c r="CB91">
        <v>124</v>
      </c>
      <c r="CD91">
        <v>1782257400000</v>
      </c>
      <c r="CE91">
        <v>376</v>
      </c>
      <c r="CG91">
        <v>1782257400000</v>
      </c>
      <c r="CH91">
        <v>108</v>
      </c>
      <c r="CJ91">
        <v>1782257400000</v>
      </c>
      <c r="CK91">
        <v>1976</v>
      </c>
      <c r="CM91">
        <v>1782257400000</v>
      </c>
      <c r="CN91">
        <v>216</v>
      </c>
      <c r="CP91">
        <v>1782257400000</v>
      </c>
      <c r="CQ91">
        <v>288</v>
      </c>
      <c r="CR91" s="6"/>
      <c r="CS91">
        <v>1784071800000</v>
      </c>
      <c r="CT91">
        <v>200</v>
      </c>
      <c r="CV91">
        <v>1784071800000</v>
      </c>
      <c r="CW91">
        <v>1904</v>
      </c>
      <c r="CY91">
        <v>1784071800000</v>
      </c>
      <c r="CZ91">
        <v>132</v>
      </c>
      <c r="DB91">
        <v>1784071800000</v>
      </c>
      <c r="DC91">
        <v>356</v>
      </c>
      <c r="DE91">
        <v>1784071800000</v>
      </c>
      <c r="DF91">
        <v>40</v>
      </c>
      <c r="DH91">
        <v>1784071800000</v>
      </c>
      <c r="DI91">
        <v>1940</v>
      </c>
      <c r="DK91">
        <v>1784071800000</v>
      </c>
      <c r="DL91">
        <v>188</v>
      </c>
      <c r="DN91">
        <v>1784071800000</v>
      </c>
      <c r="DO91">
        <v>248</v>
      </c>
      <c r="DP91" s="6"/>
      <c r="DQ91">
        <v>1784158200000</v>
      </c>
      <c r="DR91">
        <v>308</v>
      </c>
      <c r="DT91">
        <v>1784158200000</v>
      </c>
      <c r="DU91">
        <v>1784</v>
      </c>
      <c r="DW91">
        <v>1784158200000</v>
      </c>
      <c r="DX91">
        <v>84</v>
      </c>
      <c r="DZ91">
        <v>1784158200000</v>
      </c>
      <c r="EA91">
        <v>332</v>
      </c>
      <c r="EC91">
        <v>1784158200000</v>
      </c>
      <c r="ED91">
        <v>80</v>
      </c>
      <c r="EF91">
        <v>1784158200000</v>
      </c>
      <c r="EG91">
        <v>1920</v>
      </c>
      <c r="EI91">
        <v>1784158200000</v>
      </c>
      <c r="EJ91">
        <v>132</v>
      </c>
      <c r="EL91">
        <v>1784158200000</v>
      </c>
      <c r="EM91">
        <v>268</v>
      </c>
      <c r="EN91" s="6"/>
    </row>
    <row r="92" spans="1:144">
      <c r="A92">
        <v>1778024700000</v>
      </c>
      <c r="B92">
        <v>248</v>
      </c>
      <c r="D92">
        <v>1778024700000</v>
      </c>
      <c r="E92">
        <v>2608</v>
      </c>
      <c r="G92">
        <v>1778024700000</v>
      </c>
      <c r="H92">
        <v>112</v>
      </c>
      <c r="J92">
        <v>1778024700000</v>
      </c>
      <c r="K92">
        <v>436</v>
      </c>
      <c r="M92">
        <v>1778024700000</v>
      </c>
      <c r="N92">
        <v>140</v>
      </c>
      <c r="P92">
        <v>1778024700000</v>
      </c>
      <c r="Q92">
        <v>3020</v>
      </c>
      <c r="S92">
        <v>1778024700000</v>
      </c>
      <c r="T92">
        <v>140</v>
      </c>
      <c r="V92">
        <v>1778024700000</v>
      </c>
      <c r="W92">
        <v>144</v>
      </c>
      <c r="X92" s="6"/>
      <c r="Y92">
        <v>1778111100000</v>
      </c>
      <c r="Z92">
        <v>368</v>
      </c>
      <c r="AB92">
        <v>1778111100000</v>
      </c>
      <c r="AC92">
        <v>2536</v>
      </c>
      <c r="AE92">
        <v>1778111100000</v>
      </c>
      <c r="AF92">
        <v>120</v>
      </c>
      <c r="AH92">
        <v>1778111100000</v>
      </c>
      <c r="AI92">
        <v>380</v>
      </c>
      <c r="AK92">
        <v>1778111100000</v>
      </c>
      <c r="AL92">
        <v>124</v>
      </c>
      <c r="AN92">
        <v>1778111100000</v>
      </c>
      <c r="AO92">
        <v>2832</v>
      </c>
      <c r="AQ92">
        <v>1778111100000</v>
      </c>
      <c r="AR92">
        <v>184</v>
      </c>
      <c r="AT92">
        <v>1778111100000</v>
      </c>
      <c r="AU92">
        <v>240</v>
      </c>
      <c r="AV92" s="6"/>
      <c r="AW92">
        <v>1779147900000</v>
      </c>
      <c r="AX92">
        <v>140</v>
      </c>
      <c r="AZ92">
        <v>1779147900000</v>
      </c>
      <c r="BA92">
        <v>2456</v>
      </c>
      <c r="BC92">
        <v>1779147900000</v>
      </c>
      <c r="BD92">
        <v>116</v>
      </c>
      <c r="BF92">
        <v>1779147900000</v>
      </c>
      <c r="BG92">
        <v>396</v>
      </c>
      <c r="BI92">
        <v>1779147900000</v>
      </c>
      <c r="BJ92">
        <v>84</v>
      </c>
      <c r="BL92">
        <v>1779147900000</v>
      </c>
      <c r="BM92">
        <v>2780</v>
      </c>
      <c r="BO92">
        <v>1779147900000</v>
      </c>
      <c r="BP92">
        <v>176</v>
      </c>
      <c r="BR92">
        <v>1779147900000</v>
      </c>
      <c r="BS92">
        <v>244</v>
      </c>
      <c r="BT92" s="6"/>
      <c r="BU92">
        <v>1782258300000</v>
      </c>
      <c r="BV92">
        <v>184</v>
      </c>
      <c r="BX92">
        <v>1782258300000</v>
      </c>
      <c r="BY92">
        <v>1960</v>
      </c>
      <c r="CA92">
        <v>1782258300000</v>
      </c>
      <c r="CB92">
        <v>88</v>
      </c>
      <c r="CD92">
        <v>1782258300000</v>
      </c>
      <c r="CE92">
        <v>324</v>
      </c>
      <c r="CG92">
        <v>1782258300000</v>
      </c>
      <c r="CH92">
        <v>80</v>
      </c>
      <c r="CJ92">
        <v>1782258300000</v>
      </c>
      <c r="CK92">
        <v>1984</v>
      </c>
      <c r="CM92">
        <v>1782258300000</v>
      </c>
      <c r="CN92">
        <v>248</v>
      </c>
      <c r="CP92">
        <v>1782258300000</v>
      </c>
      <c r="CQ92">
        <v>220</v>
      </c>
      <c r="CR92" s="6"/>
      <c r="CS92">
        <v>1784072700000</v>
      </c>
      <c r="CT92">
        <v>148</v>
      </c>
      <c r="CV92">
        <v>1784072700000</v>
      </c>
      <c r="CW92">
        <v>1876</v>
      </c>
      <c r="CY92">
        <v>1784072700000</v>
      </c>
      <c r="CZ92">
        <v>168</v>
      </c>
      <c r="DB92">
        <v>1784072700000</v>
      </c>
      <c r="DC92">
        <v>332</v>
      </c>
      <c r="DE92">
        <v>1784072700000</v>
      </c>
      <c r="DF92">
        <v>84</v>
      </c>
      <c r="DH92">
        <v>1784072700000</v>
      </c>
      <c r="DI92">
        <v>2108</v>
      </c>
      <c r="DK92">
        <v>1784072700000</v>
      </c>
      <c r="DL92">
        <v>152</v>
      </c>
      <c r="DN92">
        <v>1784072700000</v>
      </c>
      <c r="DO92">
        <v>256</v>
      </c>
      <c r="DP92" s="6"/>
      <c r="DQ92">
        <v>1784159100000</v>
      </c>
      <c r="DR92">
        <v>120</v>
      </c>
      <c r="DT92">
        <v>1784159100000</v>
      </c>
      <c r="DU92">
        <v>1624</v>
      </c>
      <c r="DW92">
        <v>1784159100000</v>
      </c>
      <c r="DX92">
        <v>116</v>
      </c>
      <c r="DZ92">
        <v>1784159100000</v>
      </c>
      <c r="EA92">
        <v>380</v>
      </c>
      <c r="EC92">
        <v>1784159100000</v>
      </c>
      <c r="ED92">
        <v>80</v>
      </c>
      <c r="EF92">
        <v>1784159100000</v>
      </c>
      <c r="EG92">
        <v>1764</v>
      </c>
      <c r="EI92">
        <v>1784159100000</v>
      </c>
      <c r="EJ92">
        <v>300</v>
      </c>
      <c r="EL92">
        <v>1784159100000</v>
      </c>
      <c r="EM92">
        <v>276</v>
      </c>
      <c r="EN92" s="6"/>
    </row>
    <row r="93" spans="1:144">
      <c r="A93">
        <v>1778025600000</v>
      </c>
      <c r="B93">
        <v>148</v>
      </c>
      <c r="D93">
        <v>1778025600000</v>
      </c>
      <c r="E93">
        <v>2592</v>
      </c>
      <c r="G93">
        <v>1778025600000</v>
      </c>
      <c r="H93">
        <v>88</v>
      </c>
      <c r="J93">
        <v>1778025600000</v>
      </c>
      <c r="K93">
        <v>480</v>
      </c>
      <c r="M93">
        <v>1778025600000</v>
      </c>
      <c r="N93">
        <v>96</v>
      </c>
      <c r="P93">
        <v>1778025600000</v>
      </c>
      <c r="Q93">
        <v>2860</v>
      </c>
      <c r="S93">
        <v>1778025600000</v>
      </c>
      <c r="T93">
        <v>268</v>
      </c>
      <c r="V93">
        <v>1778025600000</v>
      </c>
      <c r="W93">
        <v>268</v>
      </c>
      <c r="X93" s="6"/>
      <c r="Y93">
        <v>1778112000000</v>
      </c>
      <c r="Z93">
        <v>188</v>
      </c>
      <c r="AB93">
        <v>1778112000000</v>
      </c>
      <c r="AC93">
        <v>2560</v>
      </c>
      <c r="AE93">
        <v>1778112000000</v>
      </c>
      <c r="AF93">
        <v>108</v>
      </c>
      <c r="AH93">
        <v>1778112000000</v>
      </c>
      <c r="AI93">
        <v>372</v>
      </c>
      <c r="AK93">
        <v>1778112000000</v>
      </c>
      <c r="AL93">
        <v>84</v>
      </c>
      <c r="AN93">
        <v>1778112000000</v>
      </c>
      <c r="AO93">
        <v>2940</v>
      </c>
      <c r="AQ93">
        <v>1778112000000</v>
      </c>
      <c r="AR93">
        <v>216</v>
      </c>
      <c r="AT93">
        <v>1778112000000</v>
      </c>
      <c r="AU93">
        <v>212</v>
      </c>
      <c r="AV93" s="6"/>
      <c r="AW93">
        <v>1779148800000</v>
      </c>
      <c r="AX93">
        <v>140</v>
      </c>
      <c r="AZ93">
        <v>1779148800000</v>
      </c>
      <c r="BA93">
        <v>2256</v>
      </c>
      <c r="BC93">
        <v>1779148800000</v>
      </c>
      <c r="BD93">
        <v>120</v>
      </c>
      <c r="BF93">
        <v>1779148800000</v>
      </c>
      <c r="BG93">
        <v>472</v>
      </c>
      <c r="BI93">
        <v>1779148800000</v>
      </c>
      <c r="BJ93">
        <v>64</v>
      </c>
      <c r="BL93">
        <v>1779148800000</v>
      </c>
      <c r="BM93">
        <v>2760</v>
      </c>
      <c r="BO93">
        <v>1779148800000</v>
      </c>
      <c r="BP93">
        <v>188</v>
      </c>
      <c r="BR93">
        <v>1779148800000</v>
      </c>
      <c r="BS93">
        <v>252</v>
      </c>
      <c r="BT93" s="6"/>
      <c r="BU93">
        <v>1782259200000</v>
      </c>
      <c r="BV93">
        <v>168</v>
      </c>
      <c r="BX93">
        <v>1782259200000</v>
      </c>
      <c r="BY93">
        <v>1632</v>
      </c>
      <c r="CA93">
        <v>1782259200000</v>
      </c>
      <c r="CB93">
        <v>92</v>
      </c>
      <c r="CD93">
        <v>1782259200000</v>
      </c>
      <c r="CE93">
        <v>388</v>
      </c>
      <c r="CG93">
        <v>1782259200000</v>
      </c>
      <c r="CH93">
        <v>80</v>
      </c>
      <c r="CJ93">
        <v>1782259200000</v>
      </c>
      <c r="CK93">
        <v>2012</v>
      </c>
      <c r="CM93">
        <v>1782259200000</v>
      </c>
      <c r="CN93">
        <v>136</v>
      </c>
      <c r="CP93">
        <v>1782259200000</v>
      </c>
      <c r="CQ93">
        <v>236</v>
      </c>
      <c r="CR93" s="6"/>
      <c r="CS93">
        <v>1784073600000</v>
      </c>
      <c r="CT93">
        <v>200</v>
      </c>
      <c r="CV93">
        <v>1784073600000</v>
      </c>
      <c r="CW93">
        <v>1844</v>
      </c>
      <c r="CY93">
        <v>1784073600000</v>
      </c>
      <c r="CZ93">
        <v>112</v>
      </c>
      <c r="DB93">
        <v>1784073600000</v>
      </c>
      <c r="DC93">
        <v>376</v>
      </c>
      <c r="DE93">
        <v>1784073600000</v>
      </c>
      <c r="DF93">
        <v>68</v>
      </c>
      <c r="DH93">
        <v>1784073600000</v>
      </c>
      <c r="DI93">
        <v>2180</v>
      </c>
      <c r="DK93">
        <v>1784073600000</v>
      </c>
      <c r="DL93">
        <v>148</v>
      </c>
      <c r="DN93">
        <v>1784073600000</v>
      </c>
      <c r="DO93">
        <v>300</v>
      </c>
      <c r="DP93" s="6"/>
      <c r="DQ93">
        <v>1784160000000</v>
      </c>
      <c r="DR93">
        <v>232</v>
      </c>
      <c r="DT93">
        <v>1784160000000</v>
      </c>
      <c r="DU93">
        <v>1656</v>
      </c>
      <c r="DW93">
        <v>1784160000000</v>
      </c>
      <c r="DX93">
        <v>132</v>
      </c>
      <c r="DZ93">
        <v>1784160000000</v>
      </c>
      <c r="EA93">
        <v>464</v>
      </c>
      <c r="EC93">
        <v>1784160000000</v>
      </c>
      <c r="ED93">
        <v>108</v>
      </c>
      <c r="EF93">
        <v>1784160000000</v>
      </c>
      <c r="EG93">
        <v>2012</v>
      </c>
      <c r="EI93">
        <v>1784160000000</v>
      </c>
      <c r="EJ93">
        <v>192</v>
      </c>
      <c r="EL93">
        <v>1784160000000</v>
      </c>
      <c r="EM93">
        <v>256</v>
      </c>
      <c r="EN93" s="6"/>
    </row>
    <row r="94" spans="1:144">
      <c r="A94">
        <v>1778026500000</v>
      </c>
      <c r="B94">
        <v>124</v>
      </c>
      <c r="D94">
        <v>1778026500000</v>
      </c>
      <c r="E94">
        <v>2556</v>
      </c>
      <c r="G94">
        <v>1778026500000</v>
      </c>
      <c r="H94">
        <v>92</v>
      </c>
      <c r="J94">
        <v>1778026500000</v>
      </c>
      <c r="K94">
        <v>456</v>
      </c>
      <c r="M94">
        <v>1778026500000</v>
      </c>
      <c r="N94">
        <v>92</v>
      </c>
      <c r="P94">
        <v>1778026500000</v>
      </c>
      <c r="Q94">
        <v>2668</v>
      </c>
      <c r="S94">
        <v>1778026500000</v>
      </c>
      <c r="T94">
        <v>176</v>
      </c>
      <c r="V94">
        <v>1778026500000</v>
      </c>
      <c r="W94">
        <v>216</v>
      </c>
      <c r="X94" s="6"/>
      <c r="Y94">
        <v>1778112900000</v>
      </c>
      <c r="Z94">
        <v>152</v>
      </c>
      <c r="AB94">
        <v>1778112900000</v>
      </c>
      <c r="AC94">
        <v>2504</v>
      </c>
      <c r="AE94">
        <v>1778112900000</v>
      </c>
      <c r="AF94">
        <v>144</v>
      </c>
      <c r="AH94">
        <v>1778112900000</v>
      </c>
      <c r="AI94">
        <v>388</v>
      </c>
      <c r="AK94">
        <v>1778112900000</v>
      </c>
      <c r="AL94">
        <v>88</v>
      </c>
      <c r="AN94">
        <v>1778112900000</v>
      </c>
      <c r="AO94">
        <v>2936</v>
      </c>
      <c r="AQ94">
        <v>1778112900000</v>
      </c>
      <c r="AR94">
        <v>144</v>
      </c>
      <c r="AT94">
        <v>1778112900000</v>
      </c>
      <c r="AU94">
        <v>200</v>
      </c>
      <c r="AV94" s="6"/>
      <c r="AW94">
        <v>1779149700000</v>
      </c>
      <c r="AX94">
        <v>296</v>
      </c>
      <c r="AZ94">
        <v>1779149700000</v>
      </c>
      <c r="BA94">
        <v>2216</v>
      </c>
      <c r="BC94">
        <v>1779149700000</v>
      </c>
      <c r="BD94">
        <v>92</v>
      </c>
      <c r="BF94">
        <v>1779149700000</v>
      </c>
      <c r="BG94">
        <v>592</v>
      </c>
      <c r="BI94">
        <v>1779149700000</v>
      </c>
      <c r="BJ94">
        <v>112</v>
      </c>
      <c r="BL94">
        <v>1779149700000</v>
      </c>
      <c r="BM94">
        <v>2632</v>
      </c>
      <c r="BO94">
        <v>1779149700000</v>
      </c>
      <c r="BP94">
        <v>192</v>
      </c>
      <c r="BR94">
        <v>1779149700000</v>
      </c>
      <c r="BS94">
        <v>244</v>
      </c>
      <c r="BT94" s="6"/>
      <c r="BU94">
        <v>1782260100000</v>
      </c>
      <c r="BV94">
        <v>160</v>
      </c>
      <c r="BX94">
        <v>1782260100000</v>
      </c>
      <c r="BY94">
        <v>1808</v>
      </c>
      <c r="CA94">
        <v>1782260100000</v>
      </c>
      <c r="CB94">
        <v>68</v>
      </c>
      <c r="CD94">
        <v>1782260100000</v>
      </c>
      <c r="CE94">
        <v>448</v>
      </c>
      <c r="CG94">
        <v>1782260100000</v>
      </c>
      <c r="CH94">
        <v>56</v>
      </c>
      <c r="CJ94">
        <v>1782260100000</v>
      </c>
      <c r="CK94">
        <v>1972</v>
      </c>
      <c r="CM94">
        <v>1782260100000</v>
      </c>
      <c r="CN94">
        <v>136</v>
      </c>
      <c r="CP94">
        <v>1782260100000</v>
      </c>
      <c r="CQ94">
        <v>292</v>
      </c>
      <c r="CR94" s="6"/>
      <c r="CS94">
        <v>1784074500000</v>
      </c>
      <c r="CT94">
        <v>124</v>
      </c>
      <c r="CV94">
        <v>1784074500000</v>
      </c>
      <c r="CW94">
        <v>1892</v>
      </c>
      <c r="CY94">
        <v>1784074500000</v>
      </c>
      <c r="CZ94">
        <v>132</v>
      </c>
      <c r="DB94">
        <v>1784074500000</v>
      </c>
      <c r="DC94">
        <v>360</v>
      </c>
      <c r="DE94">
        <v>1784074500000</v>
      </c>
      <c r="DF94">
        <v>100</v>
      </c>
      <c r="DH94">
        <v>1784074500000</v>
      </c>
      <c r="DI94">
        <v>2024</v>
      </c>
      <c r="DK94">
        <v>1784074500000</v>
      </c>
      <c r="DL94">
        <v>164</v>
      </c>
      <c r="DN94">
        <v>1784074500000</v>
      </c>
      <c r="DO94">
        <v>232</v>
      </c>
      <c r="DP94" s="6"/>
      <c r="DQ94">
        <v>1784160900000</v>
      </c>
      <c r="DR94">
        <v>268</v>
      </c>
      <c r="DT94">
        <v>1784160900000</v>
      </c>
      <c r="DU94">
        <v>1776</v>
      </c>
      <c r="DW94">
        <v>1784160900000</v>
      </c>
      <c r="DX94">
        <v>108</v>
      </c>
      <c r="DZ94">
        <v>1784160900000</v>
      </c>
      <c r="EA94">
        <v>396</v>
      </c>
      <c r="EC94">
        <v>1784160900000</v>
      </c>
      <c r="ED94">
        <v>104</v>
      </c>
      <c r="EF94">
        <v>1784160900000</v>
      </c>
      <c r="EG94">
        <v>1824</v>
      </c>
      <c r="EI94">
        <v>1784160900000</v>
      </c>
      <c r="EJ94">
        <v>180</v>
      </c>
      <c r="EL94">
        <v>1784160900000</v>
      </c>
      <c r="EM94">
        <v>192</v>
      </c>
      <c r="EN94" s="6"/>
    </row>
    <row r="95" spans="1:144">
      <c r="A95">
        <v>1778027400000</v>
      </c>
      <c r="B95">
        <v>216</v>
      </c>
      <c r="D95">
        <v>1778027400000</v>
      </c>
      <c r="E95">
        <v>2312</v>
      </c>
      <c r="G95">
        <v>1778027400000</v>
      </c>
      <c r="H95">
        <v>104</v>
      </c>
      <c r="J95">
        <v>1778027400000</v>
      </c>
      <c r="K95">
        <v>392</v>
      </c>
      <c r="M95">
        <v>1778027400000</v>
      </c>
      <c r="N95">
        <v>92</v>
      </c>
      <c r="P95">
        <v>1778027400000</v>
      </c>
      <c r="Q95">
        <v>2620</v>
      </c>
      <c r="S95">
        <v>1778027400000</v>
      </c>
      <c r="T95">
        <v>76</v>
      </c>
      <c r="V95">
        <v>1778027400000</v>
      </c>
      <c r="W95">
        <v>260</v>
      </c>
      <c r="X95" s="6"/>
      <c r="Y95">
        <v>1778113800000</v>
      </c>
      <c r="Z95">
        <v>232</v>
      </c>
      <c r="AB95">
        <v>1778113800000</v>
      </c>
      <c r="AC95">
        <v>2300</v>
      </c>
      <c r="AE95">
        <v>1778113800000</v>
      </c>
      <c r="AF95">
        <v>220</v>
      </c>
      <c r="AH95">
        <v>1778113800000</v>
      </c>
      <c r="AI95">
        <v>388</v>
      </c>
      <c r="AK95">
        <v>1778113800000</v>
      </c>
      <c r="AL95">
        <v>104</v>
      </c>
      <c r="AN95">
        <v>1778113800000</v>
      </c>
      <c r="AO95">
        <v>2656</v>
      </c>
      <c r="AQ95">
        <v>1778113800000</v>
      </c>
      <c r="AR95">
        <v>224</v>
      </c>
      <c r="AT95">
        <v>1778113800000</v>
      </c>
      <c r="AU95">
        <v>224</v>
      </c>
      <c r="AV95" s="6"/>
      <c r="AW95">
        <v>1779150600000</v>
      </c>
      <c r="AX95">
        <v>216</v>
      </c>
      <c r="AZ95">
        <v>1779150600000</v>
      </c>
      <c r="BA95">
        <v>2224</v>
      </c>
      <c r="BC95">
        <v>1779150600000</v>
      </c>
      <c r="BD95">
        <v>180</v>
      </c>
      <c r="BF95">
        <v>1779150600000</v>
      </c>
      <c r="BG95">
        <v>444</v>
      </c>
      <c r="BI95">
        <v>1779150600000</v>
      </c>
      <c r="BJ95">
        <v>84</v>
      </c>
      <c r="BL95">
        <v>1779150600000</v>
      </c>
      <c r="BM95">
        <v>2708</v>
      </c>
      <c r="BO95">
        <v>1779150600000</v>
      </c>
      <c r="BP95">
        <v>140</v>
      </c>
      <c r="BR95">
        <v>1779150600000</v>
      </c>
      <c r="BS95">
        <v>264</v>
      </c>
      <c r="BT95" s="6"/>
      <c r="BU95">
        <v>1782261000000</v>
      </c>
      <c r="BV95">
        <v>248</v>
      </c>
      <c r="BX95">
        <v>1782261000000</v>
      </c>
      <c r="BY95">
        <v>1784</v>
      </c>
      <c r="CA95">
        <v>1782261000000</v>
      </c>
      <c r="CB95">
        <v>156</v>
      </c>
      <c r="CD95">
        <v>1782261000000</v>
      </c>
      <c r="CE95">
        <v>400</v>
      </c>
      <c r="CG95">
        <v>1782261000000</v>
      </c>
      <c r="CH95">
        <v>132</v>
      </c>
      <c r="CJ95">
        <v>1782261000000</v>
      </c>
      <c r="CK95">
        <v>2024</v>
      </c>
      <c r="CM95">
        <v>1782261000000</v>
      </c>
      <c r="CN95">
        <v>152</v>
      </c>
      <c r="CP95">
        <v>1782261000000</v>
      </c>
      <c r="CQ95">
        <v>180</v>
      </c>
      <c r="CR95" s="6"/>
      <c r="CS95">
        <v>1784075400000</v>
      </c>
      <c r="CT95">
        <v>196</v>
      </c>
      <c r="CV95">
        <v>1784075400000</v>
      </c>
      <c r="CW95">
        <v>1904</v>
      </c>
      <c r="CY95">
        <v>1784075400000</v>
      </c>
      <c r="CZ95">
        <v>92</v>
      </c>
      <c r="DB95">
        <v>1784075400000</v>
      </c>
      <c r="DC95">
        <v>288</v>
      </c>
      <c r="DE95">
        <v>1784075400000</v>
      </c>
      <c r="DF95">
        <v>84</v>
      </c>
      <c r="DH95">
        <v>1784075400000</v>
      </c>
      <c r="DI95">
        <v>2056</v>
      </c>
      <c r="DK95">
        <v>1784075400000</v>
      </c>
      <c r="DL95">
        <v>128</v>
      </c>
      <c r="DN95">
        <v>1784075400000</v>
      </c>
      <c r="DO95">
        <v>204</v>
      </c>
      <c r="DP95" s="6"/>
      <c r="DQ95">
        <v>1784161800000</v>
      </c>
      <c r="DR95">
        <v>160</v>
      </c>
      <c r="DT95">
        <v>1784161800000</v>
      </c>
      <c r="DU95">
        <v>1828</v>
      </c>
      <c r="DW95">
        <v>1784161800000</v>
      </c>
      <c r="DX95">
        <v>116</v>
      </c>
      <c r="DZ95">
        <v>1784161800000</v>
      </c>
      <c r="EA95">
        <v>264</v>
      </c>
      <c r="EC95">
        <v>1784161800000</v>
      </c>
      <c r="ED95">
        <v>56</v>
      </c>
      <c r="EF95">
        <v>1784161800000</v>
      </c>
      <c r="EG95">
        <v>1688</v>
      </c>
      <c r="EI95">
        <v>1784161800000</v>
      </c>
      <c r="EJ95">
        <v>92</v>
      </c>
      <c r="EL95">
        <v>1784161800000</v>
      </c>
      <c r="EM95">
        <v>208</v>
      </c>
      <c r="EN95" s="6"/>
    </row>
    <row r="96" spans="1:144">
      <c r="A96">
        <v>1778028300000</v>
      </c>
      <c r="B96">
        <v>216</v>
      </c>
      <c r="D96">
        <v>1778028300000</v>
      </c>
      <c r="E96">
        <v>2248</v>
      </c>
      <c r="G96">
        <v>1778028300000</v>
      </c>
      <c r="H96">
        <v>96</v>
      </c>
      <c r="J96">
        <v>1778028300000</v>
      </c>
      <c r="K96">
        <v>324</v>
      </c>
      <c r="M96">
        <v>1778028300000</v>
      </c>
      <c r="N96">
        <v>96</v>
      </c>
      <c r="P96">
        <v>1778028300000</v>
      </c>
      <c r="Q96">
        <v>2448</v>
      </c>
      <c r="S96">
        <v>1778028300000</v>
      </c>
      <c r="T96">
        <v>128</v>
      </c>
      <c r="V96">
        <v>1778028300000</v>
      </c>
      <c r="W96">
        <v>152</v>
      </c>
      <c r="X96" s="6"/>
      <c r="Y96">
        <v>1778114700000</v>
      </c>
      <c r="Z96">
        <v>156</v>
      </c>
      <c r="AB96">
        <v>1778114700000</v>
      </c>
      <c r="AC96">
        <v>2412</v>
      </c>
      <c r="AE96">
        <v>1778114700000</v>
      </c>
      <c r="AF96">
        <v>152</v>
      </c>
      <c r="AH96">
        <v>1778114700000</v>
      </c>
      <c r="AI96">
        <v>448</v>
      </c>
      <c r="AK96">
        <v>1778114700000</v>
      </c>
      <c r="AL96">
        <v>92</v>
      </c>
      <c r="AN96">
        <v>1778114700000</v>
      </c>
      <c r="AO96">
        <v>2560</v>
      </c>
      <c r="AQ96">
        <v>1778114700000</v>
      </c>
      <c r="AR96">
        <v>164</v>
      </c>
      <c r="AT96">
        <v>1778114700000</v>
      </c>
      <c r="AU96">
        <v>284</v>
      </c>
      <c r="AV96" s="6"/>
      <c r="AW96">
        <v>1779151500000</v>
      </c>
      <c r="AX96">
        <v>208</v>
      </c>
      <c r="AZ96">
        <v>1779151500000</v>
      </c>
      <c r="BA96">
        <v>2464</v>
      </c>
      <c r="BC96">
        <v>1779151500000</v>
      </c>
      <c r="BD96">
        <v>92</v>
      </c>
      <c r="BF96">
        <v>1779151500000</v>
      </c>
      <c r="BG96">
        <v>504</v>
      </c>
      <c r="BI96">
        <v>1779151500000</v>
      </c>
      <c r="BJ96">
        <v>64</v>
      </c>
      <c r="BL96">
        <v>1779151500000</v>
      </c>
      <c r="BM96">
        <v>2764</v>
      </c>
      <c r="BO96">
        <v>1779151500000</v>
      </c>
      <c r="BP96">
        <v>152</v>
      </c>
      <c r="BR96">
        <v>1779151500000</v>
      </c>
      <c r="BS96">
        <v>212</v>
      </c>
      <c r="BT96" s="6"/>
      <c r="BU96">
        <v>1782261900000</v>
      </c>
      <c r="BV96">
        <v>248</v>
      </c>
      <c r="BX96">
        <v>1782261900000</v>
      </c>
      <c r="BY96">
        <v>1728</v>
      </c>
      <c r="CA96">
        <v>1782261900000</v>
      </c>
      <c r="CB96">
        <v>64</v>
      </c>
      <c r="CD96">
        <v>1782261900000</v>
      </c>
      <c r="CE96">
        <v>432</v>
      </c>
      <c r="CG96">
        <v>1782261900000</v>
      </c>
      <c r="CH96">
        <v>84</v>
      </c>
      <c r="CJ96">
        <v>1782261900000</v>
      </c>
      <c r="CK96">
        <v>1748</v>
      </c>
      <c r="CM96">
        <v>1782261900000</v>
      </c>
      <c r="CN96">
        <v>140</v>
      </c>
      <c r="CP96">
        <v>1782261900000</v>
      </c>
      <c r="CQ96">
        <v>196</v>
      </c>
      <c r="CR96" s="6"/>
      <c r="CS96">
        <v>1784076300000</v>
      </c>
      <c r="CT96">
        <v>172</v>
      </c>
      <c r="CV96">
        <v>1784076300000</v>
      </c>
      <c r="CW96">
        <v>2008</v>
      </c>
      <c r="CY96">
        <v>1784076300000</v>
      </c>
      <c r="CZ96">
        <v>104</v>
      </c>
      <c r="DB96">
        <v>1784076300000</v>
      </c>
      <c r="DC96">
        <v>328</v>
      </c>
      <c r="DE96">
        <v>1784076300000</v>
      </c>
      <c r="DF96">
        <v>96</v>
      </c>
      <c r="DH96">
        <v>1784076300000</v>
      </c>
      <c r="DI96">
        <v>1864</v>
      </c>
      <c r="DK96">
        <v>1784076300000</v>
      </c>
      <c r="DL96">
        <v>244</v>
      </c>
      <c r="DN96">
        <v>1784076300000</v>
      </c>
      <c r="DO96">
        <v>280</v>
      </c>
      <c r="DP96" s="6"/>
      <c r="DQ96">
        <v>1784162700000</v>
      </c>
      <c r="DR96">
        <v>144</v>
      </c>
      <c r="DT96">
        <v>1784162700000</v>
      </c>
      <c r="DU96">
        <v>1804</v>
      </c>
      <c r="DW96">
        <v>1784162700000</v>
      </c>
      <c r="DX96">
        <v>144</v>
      </c>
      <c r="DZ96">
        <v>1784162700000</v>
      </c>
      <c r="EA96">
        <v>360</v>
      </c>
      <c r="EC96">
        <v>1784162700000</v>
      </c>
      <c r="ED96">
        <v>60</v>
      </c>
      <c r="EF96">
        <v>1784162700000</v>
      </c>
      <c r="EG96">
        <v>1812</v>
      </c>
      <c r="EI96">
        <v>1784162700000</v>
      </c>
      <c r="EJ96">
        <v>332</v>
      </c>
      <c r="EL96">
        <v>1784162700000</v>
      </c>
      <c r="EM96">
        <v>304</v>
      </c>
      <c r="EN96" s="6"/>
    </row>
    <row r="97" spans="1:144">
      <c r="A97">
        <v>1778029200000</v>
      </c>
      <c r="B97">
        <v>152</v>
      </c>
      <c r="D97">
        <v>1778029200000</v>
      </c>
      <c r="E97">
        <v>2268</v>
      </c>
      <c r="G97">
        <v>1778029200000</v>
      </c>
      <c r="H97">
        <v>156</v>
      </c>
      <c r="J97">
        <v>1778029200000</v>
      </c>
      <c r="K97">
        <v>292</v>
      </c>
      <c r="M97">
        <v>1778029200000</v>
      </c>
      <c r="N97">
        <v>84</v>
      </c>
      <c r="P97">
        <v>1778029200000</v>
      </c>
      <c r="Q97">
        <v>2816</v>
      </c>
      <c r="S97">
        <v>1778029200000</v>
      </c>
      <c r="T97">
        <v>132</v>
      </c>
      <c r="V97">
        <v>1778029200000</v>
      </c>
      <c r="W97">
        <v>280</v>
      </c>
      <c r="X97" s="6"/>
      <c r="Y97">
        <v>1778115600000</v>
      </c>
      <c r="Z97">
        <v>288</v>
      </c>
      <c r="AB97">
        <v>1778115600000</v>
      </c>
      <c r="AC97">
        <v>2488</v>
      </c>
      <c r="AE97">
        <v>1778115600000</v>
      </c>
      <c r="AF97">
        <v>88</v>
      </c>
      <c r="AH97">
        <v>1778115600000</v>
      </c>
      <c r="AI97">
        <v>440</v>
      </c>
      <c r="AK97">
        <v>1778115600000</v>
      </c>
      <c r="AL97">
        <v>76</v>
      </c>
      <c r="AN97">
        <v>1778115600000</v>
      </c>
      <c r="AO97">
        <v>2476</v>
      </c>
      <c r="AQ97">
        <v>1778115600000</v>
      </c>
      <c r="AR97">
        <v>132</v>
      </c>
      <c r="AT97">
        <v>1778115600000</v>
      </c>
      <c r="AU97">
        <v>224</v>
      </c>
      <c r="AV97" s="6"/>
      <c r="AW97">
        <v>1779152400000</v>
      </c>
      <c r="AX97">
        <v>148</v>
      </c>
      <c r="AZ97">
        <v>1779152400000</v>
      </c>
      <c r="BA97">
        <v>2236</v>
      </c>
      <c r="BC97">
        <v>1779152400000</v>
      </c>
      <c r="BD97">
        <v>96</v>
      </c>
      <c r="BF97">
        <v>1779152400000</v>
      </c>
      <c r="BG97">
        <v>336</v>
      </c>
      <c r="BI97">
        <v>1779152400000</v>
      </c>
      <c r="BJ97">
        <v>152</v>
      </c>
      <c r="BL97">
        <v>1779152400000</v>
      </c>
      <c r="BM97">
        <v>2256</v>
      </c>
      <c r="BO97">
        <v>1779152400000</v>
      </c>
      <c r="BP97">
        <v>164</v>
      </c>
      <c r="BR97">
        <v>1779152400000</v>
      </c>
      <c r="BS97">
        <v>208</v>
      </c>
      <c r="BT97" s="6"/>
      <c r="BU97">
        <v>1782262800000</v>
      </c>
      <c r="BV97">
        <v>172</v>
      </c>
      <c r="BX97">
        <v>1782262800000</v>
      </c>
      <c r="BY97">
        <v>2012</v>
      </c>
      <c r="CA97">
        <v>1782262800000</v>
      </c>
      <c r="CB97">
        <v>88</v>
      </c>
      <c r="CD97">
        <v>1782262800000</v>
      </c>
      <c r="CE97">
        <v>456</v>
      </c>
      <c r="CG97">
        <v>1782262800000</v>
      </c>
      <c r="CH97">
        <v>84</v>
      </c>
      <c r="CJ97">
        <v>1782262800000</v>
      </c>
      <c r="CK97">
        <v>1664</v>
      </c>
      <c r="CM97">
        <v>1782262800000</v>
      </c>
      <c r="CN97">
        <v>160</v>
      </c>
      <c r="CP97">
        <v>1782262800000</v>
      </c>
      <c r="CQ97">
        <v>228</v>
      </c>
      <c r="CR97" s="6"/>
      <c r="CS97">
        <v>1784077200000</v>
      </c>
      <c r="CT97">
        <v>192</v>
      </c>
      <c r="CV97">
        <v>1784077200000</v>
      </c>
      <c r="CW97">
        <v>1888</v>
      </c>
      <c r="CY97">
        <v>1784077200000</v>
      </c>
      <c r="CZ97">
        <v>88</v>
      </c>
      <c r="DB97">
        <v>1784077200000</v>
      </c>
      <c r="DC97">
        <v>356</v>
      </c>
      <c r="DE97">
        <v>1784077200000</v>
      </c>
      <c r="DF97">
        <v>112</v>
      </c>
      <c r="DH97">
        <v>1784077200000</v>
      </c>
      <c r="DI97">
        <v>1832</v>
      </c>
      <c r="DK97">
        <v>1784077200000</v>
      </c>
      <c r="DL97">
        <v>156</v>
      </c>
      <c r="DN97">
        <v>1784077200000</v>
      </c>
      <c r="DO97">
        <v>232</v>
      </c>
      <c r="DP97" s="6"/>
      <c r="DQ97">
        <v>1784163600000</v>
      </c>
      <c r="DR97">
        <v>156</v>
      </c>
      <c r="DT97">
        <v>1784163600000</v>
      </c>
      <c r="DU97">
        <v>1716</v>
      </c>
      <c r="DW97">
        <v>1784163600000</v>
      </c>
      <c r="DX97">
        <v>84</v>
      </c>
      <c r="DZ97">
        <v>1784163600000</v>
      </c>
      <c r="EA97">
        <v>356</v>
      </c>
      <c r="EC97">
        <v>1784163600000</v>
      </c>
      <c r="ED97">
        <v>80</v>
      </c>
      <c r="EF97">
        <v>1784163600000</v>
      </c>
      <c r="EG97">
        <v>1792</v>
      </c>
      <c r="EI97">
        <v>1784163600000</v>
      </c>
      <c r="EJ97">
        <v>292</v>
      </c>
      <c r="EL97">
        <v>1784163600000</v>
      </c>
      <c r="EM97">
        <v>216</v>
      </c>
      <c r="EN97" s="6"/>
    </row>
    <row r="98" spans="1:144">
      <c r="A98">
        <v>1778030100000</v>
      </c>
      <c r="B98">
        <v>140</v>
      </c>
      <c r="D98">
        <v>1778030100000</v>
      </c>
      <c r="E98">
        <v>2160</v>
      </c>
      <c r="G98">
        <v>1778030100000</v>
      </c>
      <c r="H98">
        <v>144</v>
      </c>
      <c r="J98">
        <v>1778030100000</v>
      </c>
      <c r="K98">
        <v>424</v>
      </c>
      <c r="M98">
        <v>1778030100000</v>
      </c>
      <c r="N98">
        <v>60</v>
      </c>
      <c r="P98">
        <v>1778030100000</v>
      </c>
      <c r="Q98">
        <v>2444</v>
      </c>
      <c r="S98">
        <v>1778030100000</v>
      </c>
      <c r="T98">
        <v>172</v>
      </c>
      <c r="V98">
        <v>1778030100000</v>
      </c>
      <c r="W98">
        <v>344</v>
      </c>
      <c r="X98" s="6"/>
      <c r="Y98">
        <v>1778116500000</v>
      </c>
      <c r="Z98">
        <v>440</v>
      </c>
      <c r="AB98">
        <v>1778116500000</v>
      </c>
      <c r="AC98">
        <v>2312</v>
      </c>
      <c r="AE98">
        <v>1778116500000</v>
      </c>
      <c r="AF98">
        <v>108</v>
      </c>
      <c r="AH98">
        <v>1778116500000</v>
      </c>
      <c r="AI98">
        <v>516</v>
      </c>
      <c r="AK98">
        <v>1778116500000</v>
      </c>
      <c r="AL98">
        <v>68</v>
      </c>
      <c r="AN98">
        <v>1778116500000</v>
      </c>
      <c r="AO98">
        <v>2408</v>
      </c>
      <c r="AQ98">
        <v>1778116500000</v>
      </c>
      <c r="AR98">
        <v>144</v>
      </c>
      <c r="AT98">
        <v>1778116500000</v>
      </c>
      <c r="AU98">
        <v>296</v>
      </c>
      <c r="AV98" s="6"/>
      <c r="AW98">
        <v>1779153300000</v>
      </c>
      <c r="AX98">
        <v>184</v>
      </c>
      <c r="AZ98">
        <v>1779153300000</v>
      </c>
      <c r="BA98">
        <v>2156</v>
      </c>
      <c r="BC98">
        <v>1779153300000</v>
      </c>
      <c r="BD98">
        <v>104</v>
      </c>
      <c r="BF98">
        <v>1779153300000</v>
      </c>
      <c r="BG98">
        <v>320</v>
      </c>
      <c r="BI98">
        <v>1779153300000</v>
      </c>
      <c r="BJ98">
        <v>56</v>
      </c>
      <c r="BL98">
        <v>1779153300000</v>
      </c>
      <c r="BM98">
        <v>2348</v>
      </c>
      <c r="BO98">
        <v>1779153300000</v>
      </c>
      <c r="BP98">
        <v>164</v>
      </c>
      <c r="BR98">
        <v>1779153300000</v>
      </c>
      <c r="BS98">
        <v>220</v>
      </c>
      <c r="BT98" s="6"/>
      <c r="BU98">
        <v>1782263700000</v>
      </c>
      <c r="BV98">
        <v>220</v>
      </c>
      <c r="BX98">
        <v>1782263700000</v>
      </c>
      <c r="BY98">
        <v>2028</v>
      </c>
      <c r="CA98">
        <v>1782263700000</v>
      </c>
      <c r="CB98">
        <v>212</v>
      </c>
      <c r="CD98">
        <v>1782263700000</v>
      </c>
      <c r="CE98">
        <v>312</v>
      </c>
      <c r="CG98">
        <v>1782263700000</v>
      </c>
      <c r="CH98">
        <v>112</v>
      </c>
      <c r="CJ98">
        <v>1782263700000</v>
      </c>
      <c r="CK98">
        <v>1608</v>
      </c>
      <c r="CM98">
        <v>1782263700000</v>
      </c>
      <c r="CN98">
        <v>120</v>
      </c>
      <c r="CP98">
        <v>1782263700000</v>
      </c>
      <c r="CQ98">
        <v>260</v>
      </c>
      <c r="CR98" s="6"/>
      <c r="CS98">
        <v>1784078100000</v>
      </c>
      <c r="CT98">
        <v>272</v>
      </c>
      <c r="CV98">
        <v>1784078100000</v>
      </c>
      <c r="CW98">
        <v>1704</v>
      </c>
      <c r="CY98">
        <v>1784078100000</v>
      </c>
      <c r="CZ98">
        <v>68</v>
      </c>
      <c r="DB98">
        <v>1784078100000</v>
      </c>
      <c r="DC98">
        <v>332</v>
      </c>
      <c r="DE98">
        <v>1784078100000</v>
      </c>
      <c r="DF98">
        <v>84</v>
      </c>
      <c r="DH98">
        <v>1784078100000</v>
      </c>
      <c r="DI98">
        <v>1720</v>
      </c>
      <c r="DK98">
        <v>1784078100000</v>
      </c>
      <c r="DL98">
        <v>276</v>
      </c>
      <c r="DN98">
        <v>1784078100000</v>
      </c>
      <c r="DO98">
        <v>244</v>
      </c>
      <c r="DP98" s="6"/>
      <c r="DQ98">
        <v>1784164500000</v>
      </c>
      <c r="DR98">
        <v>160</v>
      </c>
      <c r="DT98">
        <v>1784164500000</v>
      </c>
      <c r="DU98">
        <v>1768</v>
      </c>
      <c r="DW98">
        <v>1784164500000</v>
      </c>
      <c r="DX98">
        <v>132</v>
      </c>
      <c r="DZ98">
        <v>1784164500000</v>
      </c>
      <c r="EA98">
        <v>368</v>
      </c>
      <c r="EC98">
        <v>1784164500000</v>
      </c>
      <c r="ED98">
        <v>80</v>
      </c>
      <c r="EF98">
        <v>1784164500000</v>
      </c>
      <c r="EG98">
        <v>1884</v>
      </c>
      <c r="EI98">
        <v>1784164500000</v>
      </c>
      <c r="EJ98">
        <v>168</v>
      </c>
      <c r="EL98">
        <v>1784164500000</v>
      </c>
      <c r="EM98">
        <v>268</v>
      </c>
      <c r="EN98" s="6"/>
    </row>
    <row r="99" spans="1:144">
      <c r="A99">
        <v>1778031000000</v>
      </c>
      <c r="B99">
        <v>160</v>
      </c>
      <c r="D99">
        <v>1778031000000</v>
      </c>
      <c r="E99">
        <v>2156</v>
      </c>
      <c r="G99">
        <v>1778031000000</v>
      </c>
      <c r="H99">
        <v>88</v>
      </c>
      <c r="J99">
        <v>1778031000000</v>
      </c>
      <c r="K99">
        <v>356</v>
      </c>
      <c r="M99">
        <v>1778031000000</v>
      </c>
      <c r="N99">
        <v>88</v>
      </c>
      <c r="P99">
        <v>1778031000000</v>
      </c>
      <c r="Q99">
        <v>2536</v>
      </c>
      <c r="S99">
        <v>1778031000000</v>
      </c>
      <c r="T99">
        <v>88</v>
      </c>
      <c r="V99">
        <v>1778031000000</v>
      </c>
      <c r="W99">
        <v>244</v>
      </c>
      <c r="X99" s="6"/>
      <c r="Y99">
        <v>1778117400000</v>
      </c>
      <c r="Z99">
        <v>124</v>
      </c>
      <c r="AB99">
        <v>1778117400000</v>
      </c>
      <c r="AC99">
        <v>2316</v>
      </c>
      <c r="AE99">
        <v>1778117400000</v>
      </c>
      <c r="AF99">
        <v>156</v>
      </c>
      <c r="AH99">
        <v>1778117400000</v>
      </c>
      <c r="AI99">
        <v>320</v>
      </c>
      <c r="AK99">
        <v>1778117400000</v>
      </c>
      <c r="AL99">
        <v>84</v>
      </c>
      <c r="AN99">
        <v>1778117400000</v>
      </c>
      <c r="AO99">
        <v>2388</v>
      </c>
      <c r="AQ99">
        <v>1778117400000</v>
      </c>
      <c r="AR99">
        <v>156</v>
      </c>
      <c r="AT99">
        <v>1778117400000</v>
      </c>
      <c r="AU99">
        <v>216</v>
      </c>
      <c r="AV99" s="6"/>
      <c r="AW99">
        <v>1779154200000</v>
      </c>
      <c r="AX99">
        <v>84</v>
      </c>
      <c r="AZ99">
        <v>1779154200000</v>
      </c>
      <c r="BA99">
        <v>2092</v>
      </c>
      <c r="BC99">
        <v>1779154200000</v>
      </c>
      <c r="BD99">
        <v>68</v>
      </c>
      <c r="BF99">
        <v>1779154200000</v>
      </c>
      <c r="BG99">
        <v>380</v>
      </c>
      <c r="BI99">
        <v>1779154200000</v>
      </c>
      <c r="BJ99">
        <v>88</v>
      </c>
      <c r="BL99">
        <v>1779154200000</v>
      </c>
      <c r="BM99">
        <v>1968</v>
      </c>
      <c r="BO99">
        <v>1779154200000</v>
      </c>
      <c r="BP99">
        <v>172</v>
      </c>
      <c r="BR99">
        <v>1779154200000</v>
      </c>
      <c r="BS99">
        <v>224</v>
      </c>
      <c r="BT99" s="6"/>
      <c r="BU99">
        <v>1782264600000</v>
      </c>
      <c r="BV99">
        <v>116</v>
      </c>
      <c r="BX99">
        <v>1782264600000</v>
      </c>
      <c r="BY99">
        <v>1644</v>
      </c>
      <c r="CA99">
        <v>1782264600000</v>
      </c>
      <c r="CB99">
        <v>120</v>
      </c>
      <c r="CD99">
        <v>1782264600000</v>
      </c>
      <c r="CE99">
        <v>376</v>
      </c>
      <c r="CG99">
        <v>1782264600000</v>
      </c>
      <c r="CH99">
        <v>84</v>
      </c>
      <c r="CJ99">
        <v>1782264600000</v>
      </c>
      <c r="CK99">
        <v>1500</v>
      </c>
      <c r="CM99">
        <v>1782264600000</v>
      </c>
      <c r="CN99">
        <v>148</v>
      </c>
      <c r="CP99">
        <v>1782264600000</v>
      </c>
      <c r="CQ99">
        <v>224</v>
      </c>
      <c r="CR99" s="6"/>
      <c r="CS99">
        <v>1784079000000</v>
      </c>
      <c r="CT99">
        <v>116</v>
      </c>
      <c r="CV99">
        <v>1784079000000</v>
      </c>
      <c r="CW99">
        <v>1752</v>
      </c>
      <c r="CY99">
        <v>1784079000000</v>
      </c>
      <c r="CZ99">
        <v>128</v>
      </c>
      <c r="DB99">
        <v>1784079000000</v>
      </c>
      <c r="DC99">
        <v>272</v>
      </c>
      <c r="DE99">
        <v>1784079000000</v>
      </c>
      <c r="DF99">
        <v>84</v>
      </c>
      <c r="DH99">
        <v>1784079000000</v>
      </c>
      <c r="DI99">
        <v>1784</v>
      </c>
      <c r="DK99">
        <v>1784079000000</v>
      </c>
      <c r="DL99">
        <v>268</v>
      </c>
      <c r="DN99">
        <v>1784079000000</v>
      </c>
      <c r="DO99">
        <v>156</v>
      </c>
      <c r="DP99" s="6"/>
      <c r="DQ99">
        <v>1784165400000</v>
      </c>
      <c r="DR99">
        <v>144</v>
      </c>
      <c r="DT99">
        <v>1784165400000</v>
      </c>
      <c r="DU99">
        <v>1620</v>
      </c>
      <c r="DW99">
        <v>1784165400000</v>
      </c>
      <c r="DX99">
        <v>184</v>
      </c>
      <c r="DZ99">
        <v>1784165400000</v>
      </c>
      <c r="EA99">
        <v>332</v>
      </c>
      <c r="EC99">
        <v>1784165400000</v>
      </c>
      <c r="ED99">
        <v>72</v>
      </c>
      <c r="EF99">
        <v>1784165400000</v>
      </c>
      <c r="EG99">
        <v>1788</v>
      </c>
      <c r="EI99">
        <v>1784165400000</v>
      </c>
      <c r="EJ99">
        <v>152</v>
      </c>
      <c r="EL99">
        <v>1784165400000</v>
      </c>
      <c r="EM99">
        <v>236</v>
      </c>
      <c r="EN99" s="6"/>
    </row>
    <row r="100" spans="1:144">
      <c r="A100">
        <v>1778031900000</v>
      </c>
      <c r="B100">
        <v>168</v>
      </c>
      <c r="D100">
        <v>1778031900000</v>
      </c>
      <c r="E100">
        <v>2156</v>
      </c>
      <c r="G100">
        <v>1778031900000</v>
      </c>
      <c r="H100">
        <v>124</v>
      </c>
      <c r="J100">
        <v>1778031900000</v>
      </c>
      <c r="K100">
        <v>280</v>
      </c>
      <c r="M100">
        <v>1778031900000</v>
      </c>
      <c r="N100">
        <v>60</v>
      </c>
      <c r="P100">
        <v>1778031900000</v>
      </c>
      <c r="Q100">
        <v>2296</v>
      </c>
      <c r="S100">
        <v>1778031900000</v>
      </c>
      <c r="T100">
        <v>108</v>
      </c>
      <c r="V100">
        <v>1778031900000</v>
      </c>
      <c r="W100">
        <v>220</v>
      </c>
      <c r="X100" s="6"/>
      <c r="Y100">
        <v>1778118300000</v>
      </c>
      <c r="Z100">
        <v>184</v>
      </c>
      <c r="AB100">
        <v>1778118300000</v>
      </c>
      <c r="AC100">
        <v>2128</v>
      </c>
      <c r="AE100">
        <v>1778118300000</v>
      </c>
      <c r="AF100">
        <v>136</v>
      </c>
      <c r="AH100">
        <v>1778118300000</v>
      </c>
      <c r="AI100">
        <v>296</v>
      </c>
      <c r="AK100">
        <v>1778118300000</v>
      </c>
      <c r="AL100">
        <v>76</v>
      </c>
      <c r="AN100">
        <v>1778118300000</v>
      </c>
      <c r="AO100">
        <v>2232</v>
      </c>
      <c r="AQ100">
        <v>1778118300000</v>
      </c>
      <c r="AR100">
        <v>196</v>
      </c>
      <c r="AT100">
        <v>1778118300000</v>
      </c>
      <c r="AU100">
        <v>224</v>
      </c>
      <c r="AV100" s="6"/>
      <c r="AW100">
        <v>1779155100000</v>
      </c>
      <c r="AX100">
        <v>116</v>
      </c>
      <c r="AZ100">
        <v>1779155100000</v>
      </c>
      <c r="BA100">
        <v>2124</v>
      </c>
      <c r="BC100">
        <v>1779155100000</v>
      </c>
      <c r="BD100">
        <v>80</v>
      </c>
      <c r="BF100">
        <v>1779155100000</v>
      </c>
      <c r="BG100">
        <v>392</v>
      </c>
      <c r="BI100">
        <v>1779155100000</v>
      </c>
      <c r="BJ100">
        <v>56</v>
      </c>
      <c r="BL100">
        <v>1779155100000</v>
      </c>
      <c r="BM100">
        <v>2076</v>
      </c>
      <c r="BO100">
        <v>1779155100000</v>
      </c>
      <c r="BP100">
        <v>204</v>
      </c>
      <c r="BR100">
        <v>1779155100000</v>
      </c>
      <c r="BS100">
        <v>176</v>
      </c>
      <c r="BT100" s="6"/>
      <c r="BU100">
        <v>1782265500000</v>
      </c>
      <c r="BV100">
        <v>280</v>
      </c>
      <c r="BX100">
        <v>1782265500000</v>
      </c>
      <c r="BY100">
        <v>1656</v>
      </c>
      <c r="CA100">
        <v>1782265500000</v>
      </c>
      <c r="CB100">
        <v>124</v>
      </c>
      <c r="CD100">
        <v>1782265500000</v>
      </c>
      <c r="CE100">
        <v>384</v>
      </c>
      <c r="CG100">
        <v>1782265500000</v>
      </c>
      <c r="CH100">
        <v>72</v>
      </c>
      <c r="CJ100">
        <v>1782265500000</v>
      </c>
      <c r="CK100">
        <v>1336</v>
      </c>
      <c r="CM100">
        <v>1782265500000</v>
      </c>
      <c r="CN100">
        <v>172</v>
      </c>
      <c r="CP100">
        <v>1782265500000</v>
      </c>
      <c r="CQ100">
        <v>224</v>
      </c>
      <c r="CR100" s="6"/>
      <c r="CS100">
        <v>1784079900000</v>
      </c>
      <c r="CT100">
        <v>204</v>
      </c>
      <c r="CV100">
        <v>1784079900000</v>
      </c>
      <c r="CW100">
        <v>1784</v>
      </c>
      <c r="CY100">
        <v>1784079900000</v>
      </c>
      <c r="CZ100">
        <v>120</v>
      </c>
      <c r="DB100">
        <v>1784079900000</v>
      </c>
      <c r="DC100">
        <v>248</v>
      </c>
      <c r="DE100">
        <v>1784079900000</v>
      </c>
      <c r="DF100">
        <v>92</v>
      </c>
      <c r="DH100">
        <v>1784079900000</v>
      </c>
      <c r="DI100">
        <v>1800</v>
      </c>
      <c r="DK100">
        <v>1784079900000</v>
      </c>
      <c r="DL100">
        <v>128</v>
      </c>
      <c r="DN100">
        <v>1784079900000</v>
      </c>
      <c r="DO100">
        <v>192</v>
      </c>
      <c r="DP100" s="6"/>
      <c r="DQ100">
        <v>1784166300000</v>
      </c>
      <c r="DR100">
        <v>216</v>
      </c>
      <c r="DT100">
        <v>1784166300000</v>
      </c>
      <c r="DU100">
        <v>1692</v>
      </c>
      <c r="DW100">
        <v>1784166300000</v>
      </c>
      <c r="DX100">
        <v>164</v>
      </c>
      <c r="DZ100">
        <v>1784166300000</v>
      </c>
      <c r="EA100">
        <v>452</v>
      </c>
      <c r="EC100">
        <v>1784166300000</v>
      </c>
      <c r="ED100">
        <v>60</v>
      </c>
      <c r="EF100">
        <v>1784166300000</v>
      </c>
      <c r="EG100">
        <v>1540</v>
      </c>
      <c r="EI100">
        <v>1784166300000</v>
      </c>
      <c r="EJ100">
        <v>236</v>
      </c>
      <c r="EL100">
        <v>1784166300000</v>
      </c>
      <c r="EM100">
        <v>168</v>
      </c>
      <c r="EN100" s="6"/>
    </row>
    <row r="101" spans="1:144">
      <c r="A101">
        <v>1778032800000</v>
      </c>
      <c r="B101">
        <v>256</v>
      </c>
      <c r="D101">
        <v>1778032800000</v>
      </c>
      <c r="E101">
        <v>2276</v>
      </c>
      <c r="G101">
        <v>1778032800000</v>
      </c>
      <c r="H101">
        <v>108</v>
      </c>
      <c r="J101">
        <v>1778032800000</v>
      </c>
      <c r="K101">
        <v>436</v>
      </c>
      <c r="M101">
        <v>1778032800000</v>
      </c>
      <c r="N101">
        <v>72</v>
      </c>
      <c r="P101">
        <v>1778032800000</v>
      </c>
      <c r="Q101">
        <v>2360</v>
      </c>
      <c r="S101">
        <v>1778032800000</v>
      </c>
      <c r="T101">
        <v>228</v>
      </c>
      <c r="V101">
        <v>1778032800000</v>
      </c>
      <c r="W101">
        <v>208</v>
      </c>
      <c r="X101" s="6"/>
      <c r="Y101">
        <v>1778119200000</v>
      </c>
      <c r="Z101">
        <v>292</v>
      </c>
      <c r="AB101">
        <v>1778119200000</v>
      </c>
      <c r="AC101">
        <v>2120</v>
      </c>
      <c r="AE101">
        <v>1778119200000</v>
      </c>
      <c r="AF101">
        <v>132</v>
      </c>
      <c r="AH101">
        <v>1778119200000</v>
      </c>
      <c r="AI101">
        <v>340</v>
      </c>
      <c r="AK101">
        <v>1778119200000</v>
      </c>
      <c r="AL101">
        <v>56</v>
      </c>
      <c r="AN101">
        <v>1778119200000</v>
      </c>
      <c r="AO101">
        <v>2308</v>
      </c>
      <c r="AQ101">
        <v>1778119200000</v>
      </c>
      <c r="AR101">
        <v>160</v>
      </c>
      <c r="AT101">
        <v>1778119200000</v>
      </c>
      <c r="AU101">
        <v>240</v>
      </c>
      <c r="AV101" s="6"/>
      <c r="AW101">
        <v>1779156000000</v>
      </c>
      <c r="AX101">
        <v>136</v>
      </c>
      <c r="AZ101">
        <v>1779156000000</v>
      </c>
      <c r="BA101">
        <v>1876</v>
      </c>
      <c r="BC101">
        <v>1779156000000</v>
      </c>
      <c r="BD101">
        <v>164</v>
      </c>
      <c r="BF101">
        <v>1779156000000</v>
      </c>
      <c r="BG101">
        <v>464</v>
      </c>
      <c r="BI101">
        <v>1779156000000</v>
      </c>
      <c r="BJ101">
        <v>44</v>
      </c>
      <c r="BL101">
        <v>1779156000000</v>
      </c>
      <c r="BM101">
        <v>2288</v>
      </c>
      <c r="BO101">
        <v>1779156000000</v>
      </c>
      <c r="BP101">
        <v>104</v>
      </c>
      <c r="BR101">
        <v>1779156000000</v>
      </c>
      <c r="BS101">
        <v>184</v>
      </c>
      <c r="BT101" s="6"/>
      <c r="BU101">
        <v>1782266400000</v>
      </c>
      <c r="BV101">
        <v>308</v>
      </c>
      <c r="BX101">
        <v>1782266400000</v>
      </c>
      <c r="BY101">
        <v>1644</v>
      </c>
      <c r="CA101">
        <v>1782266400000</v>
      </c>
      <c r="CB101">
        <v>136</v>
      </c>
      <c r="CD101">
        <v>1782266400000</v>
      </c>
      <c r="CE101">
        <v>284</v>
      </c>
      <c r="CG101">
        <v>1782266400000</v>
      </c>
      <c r="CH101">
        <v>36</v>
      </c>
      <c r="CJ101">
        <v>1782266400000</v>
      </c>
      <c r="CK101">
        <v>1528</v>
      </c>
      <c r="CM101">
        <v>1782266400000</v>
      </c>
      <c r="CN101">
        <v>108</v>
      </c>
      <c r="CP101">
        <v>1782266400000</v>
      </c>
      <c r="CQ101">
        <v>180</v>
      </c>
      <c r="CR101" s="6"/>
      <c r="CS101">
        <v>1784080800000</v>
      </c>
      <c r="CT101">
        <v>228</v>
      </c>
      <c r="CV101">
        <v>1784080800000</v>
      </c>
      <c r="CW101">
        <v>1792</v>
      </c>
      <c r="CY101">
        <v>1784080800000</v>
      </c>
      <c r="CZ101">
        <v>120</v>
      </c>
      <c r="DB101">
        <v>1784080800000</v>
      </c>
      <c r="DC101">
        <v>212</v>
      </c>
      <c r="DE101">
        <v>1784080800000</v>
      </c>
      <c r="DF101">
        <v>68</v>
      </c>
      <c r="DH101">
        <v>1784080800000</v>
      </c>
      <c r="DI101">
        <v>1480</v>
      </c>
      <c r="DK101">
        <v>1784080800000</v>
      </c>
      <c r="DL101">
        <v>188</v>
      </c>
      <c r="DN101">
        <v>1784080800000</v>
      </c>
      <c r="DO101">
        <v>160</v>
      </c>
      <c r="DP101" s="6"/>
      <c r="DQ101">
        <v>1784167200000</v>
      </c>
      <c r="DR101">
        <v>184</v>
      </c>
      <c r="DT101">
        <v>1784167200000</v>
      </c>
      <c r="DU101">
        <v>1884</v>
      </c>
      <c r="DW101">
        <v>1784167200000</v>
      </c>
      <c r="DX101">
        <v>192</v>
      </c>
      <c r="DZ101">
        <v>1784167200000</v>
      </c>
      <c r="EA101">
        <v>332</v>
      </c>
      <c r="EC101">
        <v>1784167200000</v>
      </c>
      <c r="ED101">
        <v>104</v>
      </c>
      <c r="EF101">
        <v>1784167200000</v>
      </c>
      <c r="EG101">
        <v>1672</v>
      </c>
      <c r="EI101">
        <v>1784167200000</v>
      </c>
      <c r="EJ101">
        <v>240</v>
      </c>
      <c r="EL101">
        <v>1784167200000</v>
      </c>
      <c r="EM101">
        <v>208</v>
      </c>
      <c r="EN101" s="6"/>
    </row>
    <row r="102" spans="1:144">
      <c r="A102">
        <v>1778033700000</v>
      </c>
      <c r="B102">
        <v>256</v>
      </c>
      <c r="D102">
        <v>1778033700000</v>
      </c>
      <c r="E102">
        <v>2164</v>
      </c>
      <c r="G102">
        <v>1778033700000</v>
      </c>
      <c r="H102">
        <v>76</v>
      </c>
      <c r="J102">
        <v>1778033700000</v>
      </c>
      <c r="K102">
        <v>512</v>
      </c>
      <c r="M102">
        <v>1778033700000</v>
      </c>
      <c r="N102">
        <v>60</v>
      </c>
      <c r="P102">
        <v>1778033700000</v>
      </c>
      <c r="Q102">
        <v>2476</v>
      </c>
      <c r="S102">
        <v>1778033700000</v>
      </c>
      <c r="T102">
        <v>156</v>
      </c>
      <c r="V102">
        <v>1778033700000</v>
      </c>
      <c r="W102">
        <v>192</v>
      </c>
      <c r="X102" s="6"/>
      <c r="Y102">
        <v>1778120100000</v>
      </c>
      <c r="Z102">
        <v>92</v>
      </c>
      <c r="AB102">
        <v>1778120100000</v>
      </c>
      <c r="AC102">
        <v>1892</v>
      </c>
      <c r="AE102">
        <v>1778120100000</v>
      </c>
      <c r="AF102">
        <v>172</v>
      </c>
      <c r="AH102">
        <v>1778120100000</v>
      </c>
      <c r="AI102">
        <v>256</v>
      </c>
      <c r="AK102">
        <v>1778120100000</v>
      </c>
      <c r="AL102">
        <v>92</v>
      </c>
      <c r="AN102">
        <v>1778120100000</v>
      </c>
      <c r="AO102">
        <v>2432</v>
      </c>
      <c r="AQ102">
        <v>1778120100000</v>
      </c>
      <c r="AR102">
        <v>132</v>
      </c>
      <c r="AT102">
        <v>1778120100000</v>
      </c>
      <c r="AU102">
        <v>184</v>
      </c>
      <c r="AV102" s="6"/>
      <c r="AW102">
        <v>1779156900000</v>
      </c>
      <c r="AX102">
        <v>208</v>
      </c>
      <c r="AZ102">
        <v>1779156900000</v>
      </c>
      <c r="BA102">
        <v>2052</v>
      </c>
      <c r="BC102">
        <v>1779156900000</v>
      </c>
      <c r="BD102">
        <v>180</v>
      </c>
      <c r="BF102">
        <v>1779156900000</v>
      </c>
      <c r="BG102">
        <v>288</v>
      </c>
      <c r="BI102">
        <v>1779156900000</v>
      </c>
      <c r="BJ102">
        <v>100</v>
      </c>
      <c r="BL102">
        <v>1779156900000</v>
      </c>
      <c r="BM102">
        <v>2560</v>
      </c>
      <c r="BO102">
        <v>1779156900000</v>
      </c>
      <c r="BP102">
        <v>92</v>
      </c>
      <c r="BR102">
        <v>1779156900000</v>
      </c>
      <c r="BS102">
        <v>228</v>
      </c>
      <c r="BT102" s="6"/>
      <c r="BU102">
        <v>1782267300000</v>
      </c>
      <c r="BV102">
        <v>304</v>
      </c>
      <c r="BX102">
        <v>1782267300000</v>
      </c>
      <c r="BY102">
        <v>1700</v>
      </c>
      <c r="CA102">
        <v>1782267300000</v>
      </c>
      <c r="CB102">
        <v>128</v>
      </c>
      <c r="CD102">
        <v>1782267300000</v>
      </c>
      <c r="CE102">
        <v>344</v>
      </c>
      <c r="CG102">
        <v>1782267300000</v>
      </c>
      <c r="CH102">
        <v>84</v>
      </c>
      <c r="CJ102">
        <v>1782267300000</v>
      </c>
      <c r="CK102">
        <v>1256</v>
      </c>
      <c r="CM102">
        <v>1782267300000</v>
      </c>
      <c r="CN102">
        <v>80</v>
      </c>
      <c r="CP102">
        <v>1782267300000</v>
      </c>
      <c r="CQ102">
        <v>172</v>
      </c>
      <c r="CR102" s="6"/>
      <c r="CS102">
        <v>1784081700000</v>
      </c>
      <c r="CT102">
        <v>180</v>
      </c>
      <c r="CV102">
        <v>1784081700000</v>
      </c>
      <c r="CW102">
        <v>1464</v>
      </c>
      <c r="CY102">
        <v>1784081700000</v>
      </c>
      <c r="CZ102">
        <v>116</v>
      </c>
      <c r="DB102">
        <v>1784081700000</v>
      </c>
      <c r="DC102">
        <v>404</v>
      </c>
      <c r="DE102">
        <v>1784081700000</v>
      </c>
      <c r="DF102">
        <v>72</v>
      </c>
      <c r="DH102">
        <v>1784081700000</v>
      </c>
      <c r="DI102">
        <v>1460</v>
      </c>
      <c r="DK102">
        <v>1784081700000</v>
      </c>
      <c r="DL102">
        <v>128</v>
      </c>
      <c r="DN102">
        <v>1784081700000</v>
      </c>
      <c r="DO102">
        <v>220</v>
      </c>
      <c r="DP102" s="6"/>
      <c r="DQ102">
        <v>1784168100000</v>
      </c>
      <c r="DR102">
        <v>192</v>
      </c>
      <c r="DT102">
        <v>1784168100000</v>
      </c>
      <c r="DU102">
        <v>1680</v>
      </c>
      <c r="DW102">
        <v>1784168100000</v>
      </c>
      <c r="DX102">
        <v>184</v>
      </c>
      <c r="DZ102">
        <v>1784168100000</v>
      </c>
      <c r="EA102">
        <v>256</v>
      </c>
      <c r="EC102">
        <v>1784168100000</v>
      </c>
      <c r="ED102">
        <v>60</v>
      </c>
      <c r="EF102">
        <v>1784168100000</v>
      </c>
      <c r="EG102">
        <v>1656</v>
      </c>
      <c r="EI102">
        <v>1784168100000</v>
      </c>
      <c r="EJ102">
        <v>364</v>
      </c>
      <c r="EL102">
        <v>1784168100000</v>
      </c>
      <c r="EM102">
        <v>276</v>
      </c>
      <c r="EN102" s="6"/>
    </row>
    <row r="103" spans="1:144">
      <c r="A103">
        <v>1778034600000</v>
      </c>
      <c r="B103">
        <v>116</v>
      </c>
      <c r="D103">
        <v>1778034600000</v>
      </c>
      <c r="E103">
        <v>2192</v>
      </c>
      <c r="G103">
        <v>1778034600000</v>
      </c>
      <c r="H103">
        <v>52</v>
      </c>
      <c r="J103">
        <v>1778034600000</v>
      </c>
      <c r="K103">
        <v>444</v>
      </c>
      <c r="M103">
        <v>1778034600000</v>
      </c>
      <c r="N103">
        <v>64</v>
      </c>
      <c r="P103">
        <v>1778034600000</v>
      </c>
      <c r="Q103">
        <v>2440</v>
      </c>
      <c r="S103">
        <v>1778034600000</v>
      </c>
      <c r="T103">
        <v>152</v>
      </c>
      <c r="V103">
        <v>1778034600000</v>
      </c>
      <c r="W103">
        <v>164</v>
      </c>
      <c r="X103" s="6"/>
      <c r="Y103">
        <v>1778121000000</v>
      </c>
      <c r="Z103">
        <v>176</v>
      </c>
      <c r="AB103">
        <v>1778121000000</v>
      </c>
      <c r="AC103">
        <v>2236</v>
      </c>
      <c r="AE103">
        <v>1778121000000</v>
      </c>
      <c r="AF103">
        <v>140</v>
      </c>
      <c r="AH103">
        <v>1778121000000</v>
      </c>
      <c r="AI103">
        <v>284</v>
      </c>
      <c r="AK103">
        <v>1778121000000</v>
      </c>
      <c r="AL103">
        <v>48</v>
      </c>
      <c r="AN103">
        <v>1778121000000</v>
      </c>
      <c r="AO103">
        <v>2328</v>
      </c>
      <c r="AQ103">
        <v>1778121000000</v>
      </c>
      <c r="AR103">
        <v>112</v>
      </c>
      <c r="AT103">
        <v>1778121000000</v>
      </c>
      <c r="AU103">
        <v>192</v>
      </c>
      <c r="AV103" s="6"/>
      <c r="AW103">
        <v>1779157800000</v>
      </c>
      <c r="AX103">
        <v>116</v>
      </c>
      <c r="AZ103">
        <v>1779157800000</v>
      </c>
      <c r="BA103">
        <v>2236</v>
      </c>
      <c r="BC103">
        <v>1779157800000</v>
      </c>
      <c r="BD103">
        <v>168</v>
      </c>
      <c r="BF103">
        <v>1779157800000</v>
      </c>
      <c r="BG103">
        <v>472</v>
      </c>
      <c r="BI103">
        <v>1779157800000</v>
      </c>
      <c r="BJ103">
        <v>80</v>
      </c>
      <c r="BL103">
        <v>1779157800000</v>
      </c>
      <c r="BM103">
        <v>2156</v>
      </c>
      <c r="BO103">
        <v>1779157800000</v>
      </c>
      <c r="BP103">
        <v>172</v>
      </c>
      <c r="BR103">
        <v>1779157800000</v>
      </c>
      <c r="BS103">
        <v>212</v>
      </c>
      <c r="BT103" s="6"/>
      <c r="BU103">
        <v>1782268200000</v>
      </c>
      <c r="BV103">
        <v>100</v>
      </c>
      <c r="BX103">
        <v>1782268200000</v>
      </c>
      <c r="BY103">
        <v>1792</v>
      </c>
      <c r="CA103">
        <v>1782268200000</v>
      </c>
      <c r="CB103">
        <v>108</v>
      </c>
      <c r="CD103">
        <v>1782268200000</v>
      </c>
      <c r="CE103">
        <v>276</v>
      </c>
      <c r="CG103">
        <v>1782268200000</v>
      </c>
      <c r="CH103">
        <v>80</v>
      </c>
      <c r="CJ103">
        <v>1782268200000</v>
      </c>
      <c r="CK103">
        <v>1308</v>
      </c>
      <c r="CM103">
        <v>1782268200000</v>
      </c>
      <c r="CN103">
        <v>128</v>
      </c>
      <c r="CP103">
        <v>1782268200000</v>
      </c>
      <c r="CQ103">
        <v>228</v>
      </c>
      <c r="CR103" s="6"/>
      <c r="CS103">
        <v>1784082600000</v>
      </c>
      <c r="CT103">
        <v>228</v>
      </c>
      <c r="CV103">
        <v>1784082600000</v>
      </c>
      <c r="CW103">
        <v>1432</v>
      </c>
      <c r="CY103">
        <v>1784082600000</v>
      </c>
      <c r="CZ103">
        <v>116</v>
      </c>
      <c r="DB103">
        <v>1784082600000</v>
      </c>
      <c r="DC103">
        <v>292</v>
      </c>
      <c r="DE103">
        <v>1784082600000</v>
      </c>
      <c r="DF103">
        <v>80</v>
      </c>
      <c r="DH103">
        <v>1784082600000</v>
      </c>
      <c r="DI103">
        <v>1440</v>
      </c>
      <c r="DK103">
        <v>1784082600000</v>
      </c>
      <c r="DL103">
        <v>268</v>
      </c>
      <c r="DN103">
        <v>1784082600000</v>
      </c>
      <c r="DO103">
        <v>132</v>
      </c>
      <c r="DP103" s="6"/>
      <c r="DQ103">
        <v>1784169000000</v>
      </c>
      <c r="DR103">
        <v>244</v>
      </c>
      <c r="DT103">
        <v>1784169000000</v>
      </c>
      <c r="DU103">
        <v>1696</v>
      </c>
      <c r="DW103">
        <v>1784169000000</v>
      </c>
      <c r="DX103">
        <v>156</v>
      </c>
      <c r="DZ103">
        <v>1784169000000</v>
      </c>
      <c r="EA103">
        <v>288</v>
      </c>
      <c r="EC103">
        <v>1784169000000</v>
      </c>
      <c r="ED103">
        <v>52</v>
      </c>
      <c r="EF103">
        <v>1784169000000</v>
      </c>
      <c r="EG103">
        <v>1644</v>
      </c>
      <c r="EI103">
        <v>1784169000000</v>
      </c>
      <c r="EJ103">
        <v>168</v>
      </c>
      <c r="EL103">
        <v>1784169000000</v>
      </c>
      <c r="EM103">
        <v>232</v>
      </c>
      <c r="EN103" s="6"/>
    </row>
    <row r="104" spans="1:144">
      <c r="A104">
        <v>1778035500000</v>
      </c>
      <c r="B104">
        <v>252</v>
      </c>
      <c r="D104">
        <v>1778035500000</v>
      </c>
      <c r="E104">
        <v>2216</v>
      </c>
      <c r="G104">
        <v>1778035500000</v>
      </c>
      <c r="H104">
        <v>92</v>
      </c>
      <c r="J104">
        <v>1778035500000</v>
      </c>
      <c r="K104">
        <v>344</v>
      </c>
      <c r="M104">
        <v>1778035500000</v>
      </c>
      <c r="N104">
        <v>52</v>
      </c>
      <c r="P104">
        <v>1778035500000</v>
      </c>
      <c r="Q104">
        <v>2356</v>
      </c>
      <c r="S104">
        <v>1778035500000</v>
      </c>
      <c r="T104">
        <v>96</v>
      </c>
      <c r="V104">
        <v>1778035500000</v>
      </c>
      <c r="W104">
        <v>184</v>
      </c>
      <c r="X104" s="6"/>
      <c r="Y104">
        <v>1778121900000</v>
      </c>
      <c r="Z104">
        <v>176</v>
      </c>
      <c r="AB104">
        <v>1778121900000</v>
      </c>
      <c r="AC104">
        <v>2460</v>
      </c>
      <c r="AE104">
        <v>1778121900000</v>
      </c>
      <c r="AF104">
        <v>116</v>
      </c>
      <c r="AH104">
        <v>1778121900000</v>
      </c>
      <c r="AI104">
        <v>256</v>
      </c>
      <c r="AK104">
        <v>1778121900000</v>
      </c>
      <c r="AL104">
        <v>80</v>
      </c>
      <c r="AN104">
        <v>1778121900000</v>
      </c>
      <c r="AO104">
        <v>2372</v>
      </c>
      <c r="AQ104">
        <v>1778121900000</v>
      </c>
      <c r="AR104">
        <v>120</v>
      </c>
      <c r="AT104">
        <v>1778121900000</v>
      </c>
      <c r="AU104">
        <v>212</v>
      </c>
      <c r="AV104" s="6"/>
      <c r="AW104">
        <v>1779158700000</v>
      </c>
      <c r="AX104">
        <v>128</v>
      </c>
      <c r="AZ104">
        <v>1779158700000</v>
      </c>
      <c r="BA104">
        <v>2132</v>
      </c>
      <c r="BC104">
        <v>1779158700000</v>
      </c>
      <c r="BD104">
        <v>68</v>
      </c>
      <c r="BF104">
        <v>1779158700000</v>
      </c>
      <c r="BG104">
        <v>216</v>
      </c>
      <c r="BI104">
        <v>1779158700000</v>
      </c>
      <c r="BJ104">
        <v>96</v>
      </c>
      <c r="BL104">
        <v>1779158700000</v>
      </c>
      <c r="BM104">
        <v>2292</v>
      </c>
      <c r="BO104">
        <v>1779158700000</v>
      </c>
      <c r="BP104">
        <v>124</v>
      </c>
      <c r="BR104">
        <v>1779158700000</v>
      </c>
      <c r="BS104">
        <v>208</v>
      </c>
      <c r="BT104" s="6"/>
      <c r="BU104">
        <v>1782269100000</v>
      </c>
      <c r="BV104">
        <v>168</v>
      </c>
      <c r="BX104">
        <v>1782269100000</v>
      </c>
      <c r="BY104">
        <v>1756</v>
      </c>
      <c r="CA104">
        <v>1782269100000</v>
      </c>
      <c r="CB104">
        <v>116</v>
      </c>
      <c r="CD104">
        <v>1782269100000</v>
      </c>
      <c r="CE104">
        <v>328</v>
      </c>
      <c r="CG104">
        <v>1782269100000</v>
      </c>
      <c r="CH104">
        <v>96</v>
      </c>
      <c r="CJ104">
        <v>1782269100000</v>
      </c>
      <c r="CK104">
        <v>1380</v>
      </c>
      <c r="CM104">
        <v>1782269100000</v>
      </c>
      <c r="CN104">
        <v>168</v>
      </c>
      <c r="CP104">
        <v>1782269100000</v>
      </c>
      <c r="CQ104">
        <v>232</v>
      </c>
      <c r="CR104" s="6"/>
      <c r="CS104">
        <v>1784083500000</v>
      </c>
      <c r="CT104">
        <v>144</v>
      </c>
      <c r="CV104">
        <v>1784083500000</v>
      </c>
      <c r="CW104">
        <v>1512</v>
      </c>
      <c r="CY104">
        <v>1784083500000</v>
      </c>
      <c r="CZ104">
        <v>164</v>
      </c>
      <c r="DB104">
        <v>1784083500000</v>
      </c>
      <c r="DC104">
        <v>256</v>
      </c>
      <c r="DE104">
        <v>1784083500000</v>
      </c>
      <c r="DF104">
        <v>72</v>
      </c>
      <c r="DH104">
        <v>1784083500000</v>
      </c>
      <c r="DI104">
        <v>1508</v>
      </c>
      <c r="DK104">
        <v>1784083500000</v>
      </c>
      <c r="DL104">
        <v>224</v>
      </c>
      <c r="DN104">
        <v>1784083500000</v>
      </c>
      <c r="DO104">
        <v>168</v>
      </c>
      <c r="DP104" s="6"/>
      <c r="DQ104">
        <v>1784169900000</v>
      </c>
      <c r="DR104">
        <v>268</v>
      </c>
      <c r="DT104">
        <v>1784169900000</v>
      </c>
      <c r="DU104">
        <v>1584</v>
      </c>
      <c r="DW104">
        <v>1784169900000</v>
      </c>
      <c r="DX104">
        <v>136</v>
      </c>
      <c r="DZ104">
        <v>1784169900000</v>
      </c>
      <c r="EA104">
        <v>212</v>
      </c>
      <c r="EC104">
        <v>1784169900000</v>
      </c>
      <c r="ED104">
        <v>76</v>
      </c>
      <c r="EF104">
        <v>1784169900000</v>
      </c>
      <c r="EG104">
        <v>1692</v>
      </c>
      <c r="EI104">
        <v>1784169900000</v>
      </c>
      <c r="EJ104">
        <v>224</v>
      </c>
      <c r="EL104">
        <v>1784169900000</v>
      </c>
      <c r="EM104">
        <v>200</v>
      </c>
      <c r="EN104" s="6"/>
    </row>
    <row r="105" spans="1:144">
      <c r="A105">
        <v>1778036400000</v>
      </c>
      <c r="B105">
        <v>164</v>
      </c>
      <c r="D105">
        <v>1778036400000</v>
      </c>
      <c r="E105">
        <v>2128</v>
      </c>
      <c r="G105">
        <v>1778036400000</v>
      </c>
      <c r="H105">
        <v>180</v>
      </c>
      <c r="J105">
        <v>1778036400000</v>
      </c>
      <c r="K105">
        <v>288</v>
      </c>
      <c r="M105">
        <v>1778036400000</v>
      </c>
      <c r="N105">
        <v>88</v>
      </c>
      <c r="P105">
        <v>1778036400000</v>
      </c>
      <c r="Q105">
        <v>2236</v>
      </c>
      <c r="S105">
        <v>1778036400000</v>
      </c>
      <c r="T105">
        <v>152</v>
      </c>
      <c r="V105">
        <v>1778036400000</v>
      </c>
      <c r="W105">
        <v>188</v>
      </c>
      <c r="X105" s="6"/>
      <c r="Y105">
        <v>1778122800000</v>
      </c>
      <c r="Z105">
        <v>332</v>
      </c>
      <c r="AB105">
        <v>1778122800000</v>
      </c>
      <c r="AC105">
        <v>2216</v>
      </c>
      <c r="AE105">
        <v>1778122800000</v>
      </c>
      <c r="AF105">
        <v>156</v>
      </c>
      <c r="AH105">
        <v>1778122800000</v>
      </c>
      <c r="AI105">
        <v>240</v>
      </c>
      <c r="AK105">
        <v>1778122800000</v>
      </c>
      <c r="AL105">
        <v>68</v>
      </c>
      <c r="AN105">
        <v>1778122800000</v>
      </c>
      <c r="AO105">
        <v>2320</v>
      </c>
      <c r="AQ105">
        <v>1778122800000</v>
      </c>
      <c r="AR105">
        <v>104</v>
      </c>
      <c r="AT105">
        <v>1778122800000</v>
      </c>
      <c r="AU105">
        <v>252</v>
      </c>
      <c r="AV105" s="6"/>
      <c r="AW105">
        <v>1779159600000</v>
      </c>
      <c r="AX105">
        <v>300</v>
      </c>
      <c r="AZ105">
        <v>1779159600000</v>
      </c>
      <c r="BA105">
        <v>2192</v>
      </c>
      <c r="BC105">
        <v>1779159600000</v>
      </c>
      <c r="BD105">
        <v>112</v>
      </c>
      <c r="BF105">
        <v>1779159600000</v>
      </c>
      <c r="BG105">
        <v>220</v>
      </c>
      <c r="BI105">
        <v>1779159600000</v>
      </c>
      <c r="BJ105">
        <v>48</v>
      </c>
      <c r="BL105">
        <v>1779159600000</v>
      </c>
      <c r="BM105">
        <v>2092</v>
      </c>
      <c r="BO105">
        <v>1779159600000</v>
      </c>
      <c r="BP105">
        <v>104</v>
      </c>
      <c r="BR105">
        <v>1779159600000</v>
      </c>
      <c r="BS105">
        <v>172</v>
      </c>
      <c r="BT105" s="6"/>
      <c r="BU105">
        <v>1782270000000</v>
      </c>
      <c r="BV105">
        <v>128</v>
      </c>
      <c r="BX105">
        <v>1782270000000</v>
      </c>
      <c r="BY105">
        <v>1696</v>
      </c>
      <c r="CA105">
        <v>1782270000000</v>
      </c>
      <c r="CB105">
        <v>60</v>
      </c>
      <c r="CD105">
        <v>1782270000000</v>
      </c>
      <c r="CE105">
        <v>272</v>
      </c>
      <c r="CG105">
        <v>1782270000000</v>
      </c>
      <c r="CH105">
        <v>112</v>
      </c>
      <c r="CJ105">
        <v>1782270000000</v>
      </c>
      <c r="CK105">
        <v>1852</v>
      </c>
      <c r="CM105">
        <v>1782270000000</v>
      </c>
      <c r="CN105">
        <v>84</v>
      </c>
      <c r="CP105">
        <v>1782270000000</v>
      </c>
      <c r="CQ105">
        <v>228</v>
      </c>
      <c r="CR105" s="6"/>
      <c r="CS105">
        <v>1784084400000</v>
      </c>
      <c r="CT105">
        <v>144</v>
      </c>
      <c r="CV105">
        <v>1784084400000</v>
      </c>
      <c r="CW105">
        <v>1500</v>
      </c>
      <c r="CY105">
        <v>1784084400000</v>
      </c>
      <c r="CZ105">
        <v>84</v>
      </c>
      <c r="DB105">
        <v>1784084400000</v>
      </c>
      <c r="DC105">
        <v>216</v>
      </c>
      <c r="DE105">
        <v>1784084400000</v>
      </c>
      <c r="DF105">
        <v>64</v>
      </c>
      <c r="DH105">
        <v>1784084400000</v>
      </c>
      <c r="DI105">
        <v>1544</v>
      </c>
      <c r="DK105">
        <v>1784084400000</v>
      </c>
      <c r="DL105">
        <v>156</v>
      </c>
      <c r="DN105">
        <v>1784084400000</v>
      </c>
      <c r="DO105">
        <v>180</v>
      </c>
      <c r="DP105" s="6"/>
      <c r="DQ105">
        <v>1784170800000</v>
      </c>
      <c r="DR105">
        <v>260</v>
      </c>
      <c r="DT105">
        <v>1784170800000</v>
      </c>
      <c r="DU105">
        <v>1660</v>
      </c>
      <c r="DW105">
        <v>1784170800000</v>
      </c>
      <c r="DX105">
        <v>128</v>
      </c>
      <c r="DZ105">
        <v>1784170800000</v>
      </c>
      <c r="EA105">
        <v>212</v>
      </c>
      <c r="EC105">
        <v>1784170800000</v>
      </c>
      <c r="ED105">
        <v>88</v>
      </c>
      <c r="EF105">
        <v>1784170800000</v>
      </c>
      <c r="EG105">
        <v>1772</v>
      </c>
      <c r="EI105">
        <v>1784170800000</v>
      </c>
      <c r="EJ105">
        <v>168</v>
      </c>
      <c r="EL105">
        <v>1784170800000</v>
      </c>
      <c r="EM105">
        <v>192</v>
      </c>
      <c r="EN105" s="6"/>
    </row>
    <row r="106" spans="1:144">
      <c r="A106">
        <v>1778037300000</v>
      </c>
      <c r="B106">
        <v>124</v>
      </c>
      <c r="D106">
        <v>1778037300000</v>
      </c>
      <c r="E106">
        <v>2332</v>
      </c>
      <c r="G106">
        <v>1778037300000</v>
      </c>
      <c r="H106">
        <v>84</v>
      </c>
      <c r="J106">
        <v>1778037300000</v>
      </c>
      <c r="K106">
        <v>296</v>
      </c>
      <c r="M106">
        <v>1778037300000</v>
      </c>
      <c r="N106">
        <v>48</v>
      </c>
      <c r="P106">
        <v>1778037300000</v>
      </c>
      <c r="Q106">
        <v>2428</v>
      </c>
      <c r="S106">
        <v>1778037300000</v>
      </c>
      <c r="T106">
        <v>116</v>
      </c>
      <c r="V106">
        <v>1778037300000</v>
      </c>
      <c r="W106">
        <v>184</v>
      </c>
      <c r="X106" s="6"/>
      <c r="Y106">
        <v>1778123700000</v>
      </c>
      <c r="Z106">
        <v>108</v>
      </c>
      <c r="AB106">
        <v>1778123700000</v>
      </c>
      <c r="AC106">
        <v>2156</v>
      </c>
      <c r="AE106">
        <v>1778123700000</v>
      </c>
      <c r="AF106">
        <v>160</v>
      </c>
      <c r="AH106">
        <v>1778123700000</v>
      </c>
      <c r="AI106">
        <v>316</v>
      </c>
      <c r="AK106">
        <v>1778123700000</v>
      </c>
      <c r="AL106">
        <v>64</v>
      </c>
      <c r="AN106">
        <v>1778123700000</v>
      </c>
      <c r="AO106">
        <v>2472</v>
      </c>
      <c r="AQ106">
        <v>1778123700000</v>
      </c>
      <c r="AR106">
        <v>164</v>
      </c>
      <c r="AT106">
        <v>1778123700000</v>
      </c>
      <c r="AU106">
        <v>184</v>
      </c>
      <c r="AV106" s="6"/>
      <c r="AW106">
        <v>1779160500000</v>
      </c>
      <c r="AX106">
        <v>164</v>
      </c>
      <c r="AZ106">
        <v>1779160500000</v>
      </c>
      <c r="BA106">
        <v>1996</v>
      </c>
      <c r="BC106">
        <v>1779160500000</v>
      </c>
      <c r="BD106">
        <v>76</v>
      </c>
      <c r="BF106">
        <v>1779160500000</v>
      </c>
      <c r="BG106">
        <v>156</v>
      </c>
      <c r="BI106">
        <v>1779160500000</v>
      </c>
      <c r="BJ106">
        <v>48</v>
      </c>
      <c r="BL106">
        <v>1779160500000</v>
      </c>
      <c r="BM106">
        <v>2108</v>
      </c>
      <c r="BO106">
        <v>1779160500000</v>
      </c>
      <c r="BP106">
        <v>84</v>
      </c>
      <c r="BR106">
        <v>1779160500000</v>
      </c>
      <c r="BS106">
        <v>128</v>
      </c>
      <c r="BT106" s="6"/>
      <c r="BU106">
        <v>1782270900000</v>
      </c>
      <c r="BV106">
        <v>180</v>
      </c>
      <c r="BX106">
        <v>1782270900000</v>
      </c>
      <c r="BY106">
        <v>1576</v>
      </c>
      <c r="CA106">
        <v>1782270900000</v>
      </c>
      <c r="CB106">
        <v>104</v>
      </c>
      <c r="CD106">
        <v>1782270900000</v>
      </c>
      <c r="CE106">
        <v>304</v>
      </c>
      <c r="CG106">
        <v>1782270900000</v>
      </c>
      <c r="CH106">
        <v>96</v>
      </c>
      <c r="CJ106">
        <v>1782270900000</v>
      </c>
      <c r="CK106">
        <v>1772</v>
      </c>
      <c r="CM106">
        <v>1782270900000</v>
      </c>
      <c r="CN106">
        <v>228</v>
      </c>
      <c r="CP106">
        <v>1782270900000</v>
      </c>
      <c r="CQ106">
        <v>128</v>
      </c>
      <c r="CR106" s="6"/>
      <c r="CS106">
        <v>1784085300000</v>
      </c>
      <c r="CT106">
        <v>248</v>
      </c>
      <c r="CV106">
        <v>1784085300000</v>
      </c>
      <c r="CW106">
        <v>1372</v>
      </c>
      <c r="CY106">
        <v>1784085300000</v>
      </c>
      <c r="CZ106">
        <v>88</v>
      </c>
      <c r="DB106">
        <v>1784085300000</v>
      </c>
      <c r="DC106">
        <v>164</v>
      </c>
      <c r="DE106">
        <v>1784085300000</v>
      </c>
      <c r="DF106">
        <v>88</v>
      </c>
      <c r="DH106">
        <v>1784085300000</v>
      </c>
      <c r="DI106">
        <v>1764</v>
      </c>
      <c r="DK106">
        <v>1784085300000</v>
      </c>
      <c r="DL106">
        <v>140</v>
      </c>
      <c r="DN106">
        <v>1784085300000</v>
      </c>
      <c r="DO106">
        <v>144</v>
      </c>
      <c r="DP106" s="6"/>
      <c r="DQ106">
        <v>1784171700000</v>
      </c>
      <c r="DR106">
        <v>268</v>
      </c>
      <c r="DT106">
        <v>1784171700000</v>
      </c>
      <c r="DU106">
        <v>1476</v>
      </c>
      <c r="DW106">
        <v>1784171700000</v>
      </c>
      <c r="DX106">
        <v>80</v>
      </c>
      <c r="DZ106">
        <v>1784171700000</v>
      </c>
      <c r="EA106">
        <v>160</v>
      </c>
      <c r="EC106">
        <v>1784171700000</v>
      </c>
      <c r="ED106">
        <v>64</v>
      </c>
      <c r="EF106">
        <v>1784171700000</v>
      </c>
      <c r="EG106">
        <v>1748</v>
      </c>
      <c r="EI106">
        <v>1784171700000</v>
      </c>
      <c r="EJ106">
        <v>176</v>
      </c>
      <c r="EL106">
        <v>1784171700000</v>
      </c>
      <c r="EM106">
        <v>260</v>
      </c>
      <c r="EN106" s="6"/>
    </row>
    <row r="107" spans="1:144">
      <c r="A107">
        <v>1778038200000</v>
      </c>
      <c r="B107">
        <v>104</v>
      </c>
      <c r="D107">
        <v>1778038200000</v>
      </c>
      <c r="E107">
        <v>2084</v>
      </c>
      <c r="G107">
        <v>1778038200000</v>
      </c>
      <c r="H107">
        <v>144</v>
      </c>
      <c r="J107">
        <v>1778038200000</v>
      </c>
      <c r="K107">
        <v>256</v>
      </c>
      <c r="M107">
        <v>1778038200000</v>
      </c>
      <c r="N107">
        <v>44</v>
      </c>
      <c r="P107">
        <v>1778038200000</v>
      </c>
      <c r="Q107">
        <v>2228</v>
      </c>
      <c r="S107">
        <v>1778038200000</v>
      </c>
      <c r="T107">
        <v>128</v>
      </c>
      <c r="V107">
        <v>1778038200000</v>
      </c>
      <c r="W107">
        <v>144</v>
      </c>
      <c r="X107" s="6"/>
      <c r="Y107">
        <v>1778124600000</v>
      </c>
      <c r="Z107">
        <v>112</v>
      </c>
      <c r="AB107">
        <v>1778124600000</v>
      </c>
      <c r="AC107">
        <v>2000</v>
      </c>
      <c r="AE107">
        <v>1778124600000</v>
      </c>
      <c r="AF107">
        <v>100</v>
      </c>
      <c r="AH107">
        <v>1778124600000</v>
      </c>
      <c r="AI107">
        <v>344</v>
      </c>
      <c r="AK107">
        <v>1778124600000</v>
      </c>
      <c r="AL107">
        <v>84</v>
      </c>
      <c r="AN107">
        <v>1778124600000</v>
      </c>
      <c r="AO107">
        <v>2176</v>
      </c>
      <c r="AQ107">
        <v>1778124600000</v>
      </c>
      <c r="AR107">
        <v>80</v>
      </c>
      <c r="AT107">
        <v>1778124600000</v>
      </c>
      <c r="AU107">
        <v>200</v>
      </c>
      <c r="AV107" s="6"/>
      <c r="AW107">
        <v>1779161400000</v>
      </c>
      <c r="AX107">
        <v>120</v>
      </c>
      <c r="AZ107">
        <v>1779161400000</v>
      </c>
      <c r="BA107">
        <v>1928</v>
      </c>
      <c r="BC107">
        <v>1779161400000</v>
      </c>
      <c r="BD107">
        <v>56</v>
      </c>
      <c r="BF107">
        <v>1779161400000</v>
      </c>
      <c r="BG107">
        <v>228</v>
      </c>
      <c r="BI107">
        <v>1779161400000</v>
      </c>
      <c r="BJ107">
        <v>52</v>
      </c>
      <c r="BL107">
        <v>1779161400000</v>
      </c>
      <c r="BM107">
        <v>2312</v>
      </c>
      <c r="BO107">
        <v>1779161400000</v>
      </c>
      <c r="BP107">
        <v>100</v>
      </c>
      <c r="BR107">
        <v>1779161400000</v>
      </c>
      <c r="BS107">
        <v>156</v>
      </c>
      <c r="BT107" s="6"/>
      <c r="BU107">
        <v>1782271800000</v>
      </c>
      <c r="BV107">
        <v>152</v>
      </c>
      <c r="BX107">
        <v>1782271800000</v>
      </c>
      <c r="BY107">
        <v>1572</v>
      </c>
      <c r="CA107">
        <v>1782271800000</v>
      </c>
      <c r="CB107">
        <v>60</v>
      </c>
      <c r="CD107">
        <v>1782271800000</v>
      </c>
      <c r="CE107">
        <v>364</v>
      </c>
      <c r="CG107">
        <v>1782271800000</v>
      </c>
      <c r="CH107">
        <v>56</v>
      </c>
      <c r="CJ107">
        <v>1782271800000</v>
      </c>
      <c r="CK107">
        <v>1656</v>
      </c>
      <c r="CM107">
        <v>1782271800000</v>
      </c>
      <c r="CN107">
        <v>156</v>
      </c>
      <c r="CP107">
        <v>1782271800000</v>
      </c>
      <c r="CQ107">
        <v>136</v>
      </c>
      <c r="CR107" s="6"/>
      <c r="CS107">
        <v>1784086200000</v>
      </c>
      <c r="CT107">
        <v>288</v>
      </c>
      <c r="CV107">
        <v>1784086200000</v>
      </c>
      <c r="CW107">
        <v>1244</v>
      </c>
      <c r="CY107">
        <v>1784086200000</v>
      </c>
      <c r="CZ107">
        <v>64</v>
      </c>
      <c r="DB107">
        <v>1784086200000</v>
      </c>
      <c r="DC107">
        <v>288</v>
      </c>
      <c r="DE107">
        <v>1784086200000</v>
      </c>
      <c r="DF107">
        <v>84</v>
      </c>
      <c r="DH107">
        <v>1784086200000</v>
      </c>
      <c r="DI107">
        <v>1716</v>
      </c>
      <c r="DK107">
        <v>1784086200000</v>
      </c>
      <c r="DL107">
        <v>120</v>
      </c>
      <c r="DN107">
        <v>1784086200000</v>
      </c>
      <c r="DO107">
        <v>120</v>
      </c>
      <c r="DP107" s="6"/>
      <c r="DQ107">
        <v>1784172600000</v>
      </c>
      <c r="DR107">
        <v>80</v>
      </c>
      <c r="DT107">
        <v>1784172600000</v>
      </c>
      <c r="DU107">
        <v>1512</v>
      </c>
      <c r="DW107">
        <v>1784172600000</v>
      </c>
      <c r="DX107">
        <v>172</v>
      </c>
      <c r="DZ107">
        <v>1784172600000</v>
      </c>
      <c r="EA107">
        <v>156</v>
      </c>
      <c r="EC107">
        <v>1784172600000</v>
      </c>
      <c r="ED107">
        <v>68</v>
      </c>
      <c r="EF107">
        <v>1784172600000</v>
      </c>
      <c r="EG107">
        <v>1696</v>
      </c>
      <c r="EI107">
        <v>1784172600000</v>
      </c>
      <c r="EJ107">
        <v>108</v>
      </c>
      <c r="EL107">
        <v>1784172600000</v>
      </c>
      <c r="EM107">
        <v>176</v>
      </c>
      <c r="EN107" s="6"/>
    </row>
    <row r="108" spans="1:144">
      <c r="A108">
        <v>1778039100000</v>
      </c>
      <c r="B108">
        <v>188</v>
      </c>
      <c r="D108">
        <v>1778039100000</v>
      </c>
      <c r="E108">
        <v>2092</v>
      </c>
      <c r="G108">
        <v>1778039100000</v>
      </c>
      <c r="H108">
        <v>20</v>
      </c>
      <c r="J108">
        <v>1778039100000</v>
      </c>
      <c r="K108">
        <v>236</v>
      </c>
      <c r="M108">
        <v>1778039100000</v>
      </c>
      <c r="N108">
        <v>40</v>
      </c>
      <c r="P108">
        <v>1778039100000</v>
      </c>
      <c r="Q108">
        <v>2276</v>
      </c>
      <c r="S108">
        <v>1778039100000</v>
      </c>
      <c r="T108">
        <v>108</v>
      </c>
      <c r="V108">
        <v>1778039100000</v>
      </c>
      <c r="W108">
        <v>92</v>
      </c>
      <c r="X108" s="6"/>
      <c r="Y108">
        <v>1778125500000</v>
      </c>
      <c r="Z108">
        <v>108</v>
      </c>
      <c r="AB108">
        <v>1778125500000</v>
      </c>
      <c r="AC108">
        <v>1856</v>
      </c>
      <c r="AE108">
        <v>1778125500000</v>
      </c>
      <c r="AF108">
        <v>84</v>
      </c>
      <c r="AH108">
        <v>1778125500000</v>
      </c>
      <c r="AI108">
        <v>324</v>
      </c>
      <c r="AK108">
        <v>1778125500000</v>
      </c>
      <c r="AL108">
        <v>48</v>
      </c>
      <c r="AN108">
        <v>1778125500000</v>
      </c>
      <c r="AO108">
        <v>2252</v>
      </c>
      <c r="AQ108">
        <v>1778125500000</v>
      </c>
      <c r="AR108">
        <v>104</v>
      </c>
      <c r="AT108">
        <v>1778125500000</v>
      </c>
      <c r="AU108">
        <v>124</v>
      </c>
      <c r="AV108" s="6"/>
      <c r="AW108">
        <v>1779162300000</v>
      </c>
      <c r="AX108">
        <v>160</v>
      </c>
      <c r="AZ108">
        <v>1779162300000</v>
      </c>
      <c r="BA108">
        <v>1660</v>
      </c>
      <c r="BC108">
        <v>1779162300000</v>
      </c>
      <c r="BD108">
        <v>140</v>
      </c>
      <c r="BF108">
        <v>1779162300000</v>
      </c>
      <c r="BG108">
        <v>180</v>
      </c>
      <c r="BI108">
        <v>1779162300000</v>
      </c>
      <c r="BJ108">
        <v>44</v>
      </c>
      <c r="BL108">
        <v>1779162300000</v>
      </c>
      <c r="BM108">
        <v>1936</v>
      </c>
      <c r="BO108">
        <v>1779162300000</v>
      </c>
      <c r="BP108">
        <v>116</v>
      </c>
      <c r="BR108">
        <v>1779162300000</v>
      </c>
      <c r="BS108">
        <v>120</v>
      </c>
      <c r="BT108" s="6"/>
      <c r="BU108">
        <v>1782272700000</v>
      </c>
      <c r="BV108">
        <v>224</v>
      </c>
      <c r="BX108">
        <v>1782272700000</v>
      </c>
      <c r="BY108">
        <v>1436</v>
      </c>
      <c r="CA108">
        <v>1782272700000</v>
      </c>
      <c r="CB108">
        <v>116</v>
      </c>
      <c r="CD108">
        <v>1782272700000</v>
      </c>
      <c r="CE108">
        <v>312</v>
      </c>
      <c r="CG108">
        <v>1782272700000</v>
      </c>
      <c r="CH108">
        <v>56</v>
      </c>
      <c r="CJ108">
        <v>1782272700000</v>
      </c>
      <c r="CK108">
        <v>1852</v>
      </c>
      <c r="CM108">
        <v>1782272700000</v>
      </c>
      <c r="CN108">
        <v>104</v>
      </c>
      <c r="CP108">
        <v>1782272700000</v>
      </c>
      <c r="CQ108">
        <v>160</v>
      </c>
      <c r="CR108" s="6"/>
      <c r="CS108">
        <v>1784087100000</v>
      </c>
      <c r="CT108">
        <v>244</v>
      </c>
      <c r="CV108">
        <v>1784087100000</v>
      </c>
      <c r="CW108">
        <v>1176</v>
      </c>
      <c r="CY108">
        <v>1784087100000</v>
      </c>
      <c r="CZ108">
        <v>16</v>
      </c>
      <c r="DB108">
        <v>1784087100000</v>
      </c>
      <c r="DC108">
        <v>212</v>
      </c>
      <c r="DE108">
        <v>1784087100000</v>
      </c>
      <c r="DF108">
        <v>52</v>
      </c>
      <c r="DH108">
        <v>1784087100000</v>
      </c>
      <c r="DI108">
        <v>1172</v>
      </c>
      <c r="DK108">
        <v>1784087100000</v>
      </c>
      <c r="DL108">
        <v>164</v>
      </c>
      <c r="DN108">
        <v>1784087100000</v>
      </c>
      <c r="DO108">
        <v>132</v>
      </c>
      <c r="DP108" s="6"/>
      <c r="DQ108">
        <v>1784173500000</v>
      </c>
      <c r="DR108">
        <v>248</v>
      </c>
      <c r="DT108">
        <v>1784173500000</v>
      </c>
      <c r="DU108">
        <v>1252</v>
      </c>
      <c r="DW108">
        <v>1784173500000</v>
      </c>
      <c r="DX108">
        <v>204</v>
      </c>
      <c r="DZ108">
        <v>1784173500000</v>
      </c>
      <c r="EA108">
        <v>224</v>
      </c>
      <c r="EC108">
        <v>1784173500000</v>
      </c>
      <c r="ED108">
        <v>52</v>
      </c>
      <c r="EF108">
        <v>1784173500000</v>
      </c>
      <c r="EG108">
        <v>1584</v>
      </c>
      <c r="EI108">
        <v>1784173500000</v>
      </c>
      <c r="EJ108">
        <v>108</v>
      </c>
      <c r="EL108">
        <v>1784173500000</v>
      </c>
      <c r="EM108">
        <v>136</v>
      </c>
      <c r="EN108" s="6"/>
    </row>
    <row r="109" spans="1:144">
      <c r="A109">
        <v>1778040000000</v>
      </c>
      <c r="B109">
        <v>128</v>
      </c>
      <c r="D109">
        <v>1778040000000</v>
      </c>
      <c r="E109">
        <v>1700</v>
      </c>
      <c r="G109">
        <v>1778040000000</v>
      </c>
      <c r="H109">
        <v>120</v>
      </c>
      <c r="J109">
        <v>1778040000000</v>
      </c>
      <c r="K109">
        <v>444</v>
      </c>
      <c r="M109">
        <v>1778040000000</v>
      </c>
      <c r="N109">
        <v>88</v>
      </c>
      <c r="P109">
        <v>1778040000000</v>
      </c>
      <c r="Q109">
        <v>2520</v>
      </c>
      <c r="S109">
        <v>1778040000000</v>
      </c>
      <c r="T109">
        <v>108</v>
      </c>
      <c r="V109">
        <v>1778040000000</v>
      </c>
      <c r="W109">
        <v>128</v>
      </c>
      <c r="X109" s="6"/>
      <c r="Y109">
        <v>1778126400000</v>
      </c>
      <c r="Z109">
        <v>204</v>
      </c>
      <c r="AB109">
        <v>1778126400000</v>
      </c>
      <c r="AC109">
        <v>1848</v>
      </c>
      <c r="AE109">
        <v>1778126400000</v>
      </c>
      <c r="AF109">
        <v>36</v>
      </c>
      <c r="AH109">
        <v>1778126400000</v>
      </c>
      <c r="AI109">
        <v>264</v>
      </c>
      <c r="AK109">
        <v>1778126400000</v>
      </c>
      <c r="AL109">
        <v>52</v>
      </c>
      <c r="AN109">
        <v>1778126400000</v>
      </c>
      <c r="AO109">
        <v>2280</v>
      </c>
      <c r="AQ109">
        <v>1778126400000</v>
      </c>
      <c r="AR109">
        <v>88</v>
      </c>
      <c r="AT109">
        <v>1778126400000</v>
      </c>
      <c r="AU109">
        <v>132</v>
      </c>
      <c r="AV109" s="6"/>
      <c r="AW109">
        <v>1779163200000</v>
      </c>
      <c r="AX109">
        <v>140</v>
      </c>
      <c r="AZ109">
        <v>1779163200000</v>
      </c>
      <c r="BA109">
        <v>1728</v>
      </c>
      <c r="BC109">
        <v>1779163200000</v>
      </c>
      <c r="BD109">
        <v>60</v>
      </c>
      <c r="BF109">
        <v>1779163200000</v>
      </c>
      <c r="BG109">
        <v>252</v>
      </c>
      <c r="BI109">
        <v>1779163200000</v>
      </c>
      <c r="BJ109">
        <v>96</v>
      </c>
      <c r="BL109">
        <v>1779163200000</v>
      </c>
      <c r="BM109">
        <v>2192</v>
      </c>
      <c r="BO109">
        <v>1779163200000</v>
      </c>
      <c r="BP109">
        <v>100</v>
      </c>
      <c r="BR109">
        <v>1779163200000</v>
      </c>
      <c r="BS109">
        <v>188</v>
      </c>
      <c r="BT109" s="6"/>
      <c r="BU109">
        <v>1782273600000</v>
      </c>
      <c r="BV109">
        <v>160</v>
      </c>
      <c r="BX109">
        <v>1782273600000</v>
      </c>
      <c r="BY109">
        <v>1396</v>
      </c>
      <c r="CA109">
        <v>1782273600000</v>
      </c>
      <c r="CB109">
        <v>72</v>
      </c>
      <c r="CD109">
        <v>1782273600000</v>
      </c>
      <c r="CE109">
        <v>288</v>
      </c>
      <c r="CG109">
        <v>1782273600000</v>
      </c>
      <c r="CH109">
        <v>84</v>
      </c>
      <c r="CJ109">
        <v>1782273600000</v>
      </c>
      <c r="CK109">
        <v>1784</v>
      </c>
      <c r="CM109">
        <v>1782273600000</v>
      </c>
      <c r="CN109">
        <v>80</v>
      </c>
      <c r="CP109">
        <v>1782273600000</v>
      </c>
      <c r="CQ109">
        <v>232</v>
      </c>
      <c r="CR109" s="6"/>
      <c r="CS109">
        <v>1784088000000</v>
      </c>
      <c r="CT109">
        <v>144</v>
      </c>
      <c r="CV109">
        <v>1784088000000</v>
      </c>
      <c r="CW109">
        <v>1032</v>
      </c>
      <c r="CY109">
        <v>1784088000000</v>
      </c>
      <c r="CZ109">
        <v>40</v>
      </c>
      <c r="DB109">
        <v>1784088000000</v>
      </c>
      <c r="DC109">
        <v>200</v>
      </c>
      <c r="DE109">
        <v>1784088000000</v>
      </c>
      <c r="DF109">
        <v>64</v>
      </c>
      <c r="DH109">
        <v>1784088000000</v>
      </c>
      <c r="DI109">
        <v>1300</v>
      </c>
      <c r="DK109">
        <v>1784088000000</v>
      </c>
      <c r="DL109">
        <v>144</v>
      </c>
      <c r="DN109">
        <v>1784088000000</v>
      </c>
      <c r="DO109">
        <v>136</v>
      </c>
      <c r="DP109" s="6"/>
      <c r="DQ109">
        <v>1784174400000</v>
      </c>
      <c r="DR109">
        <v>312</v>
      </c>
      <c r="DT109">
        <v>1784174400000</v>
      </c>
      <c r="DU109">
        <v>1276</v>
      </c>
      <c r="DW109">
        <v>1784174400000</v>
      </c>
      <c r="DX109">
        <v>88</v>
      </c>
      <c r="DZ109">
        <v>1784174400000</v>
      </c>
      <c r="EA109">
        <v>288</v>
      </c>
      <c r="EC109">
        <v>1784174400000</v>
      </c>
      <c r="ED109">
        <v>64</v>
      </c>
      <c r="EF109">
        <v>1784174400000</v>
      </c>
      <c r="EG109">
        <v>1468</v>
      </c>
      <c r="EI109">
        <v>1784174400000</v>
      </c>
      <c r="EJ109">
        <v>144</v>
      </c>
      <c r="EL109">
        <v>1784174400000</v>
      </c>
      <c r="EM109">
        <v>136</v>
      </c>
      <c r="EN109" s="6"/>
    </row>
    <row r="110" spans="1:144">
      <c r="A110">
        <v>1778040900000</v>
      </c>
      <c r="B110">
        <v>128</v>
      </c>
      <c r="D110">
        <v>1778040900000</v>
      </c>
      <c r="E110">
        <v>1684</v>
      </c>
      <c r="G110">
        <v>1778040900000</v>
      </c>
      <c r="H110">
        <v>48</v>
      </c>
      <c r="J110">
        <v>1778040900000</v>
      </c>
      <c r="K110">
        <v>224</v>
      </c>
      <c r="M110">
        <v>1778040900000</v>
      </c>
      <c r="N110">
        <v>68</v>
      </c>
      <c r="P110">
        <v>1778040900000</v>
      </c>
      <c r="Q110">
        <v>2328</v>
      </c>
      <c r="S110">
        <v>1778040900000</v>
      </c>
      <c r="T110">
        <v>120</v>
      </c>
      <c r="V110">
        <v>1778040900000</v>
      </c>
      <c r="W110">
        <v>132</v>
      </c>
      <c r="X110" s="6"/>
      <c r="Y110">
        <v>1778127300000</v>
      </c>
      <c r="Z110">
        <v>104</v>
      </c>
      <c r="AB110">
        <v>1778127300000</v>
      </c>
      <c r="AC110">
        <v>1664</v>
      </c>
      <c r="AE110">
        <v>1778127300000</v>
      </c>
      <c r="AF110">
        <v>72</v>
      </c>
      <c r="AH110">
        <v>1778127300000</v>
      </c>
      <c r="AI110">
        <v>188</v>
      </c>
      <c r="AK110">
        <v>1778127300000</v>
      </c>
      <c r="AL110">
        <v>88</v>
      </c>
      <c r="AN110">
        <v>1778127300000</v>
      </c>
      <c r="AO110">
        <v>2092</v>
      </c>
      <c r="AQ110">
        <v>1778127300000</v>
      </c>
      <c r="AR110">
        <v>116</v>
      </c>
      <c r="AT110">
        <v>1778127300000</v>
      </c>
      <c r="AU110">
        <v>144</v>
      </c>
      <c r="AV110" s="6"/>
      <c r="AW110">
        <v>1779164100000</v>
      </c>
      <c r="AX110">
        <v>124</v>
      </c>
      <c r="AZ110">
        <v>1779164100000</v>
      </c>
      <c r="BA110">
        <v>1364</v>
      </c>
      <c r="BC110">
        <v>1779164100000</v>
      </c>
      <c r="BD110">
        <v>56</v>
      </c>
      <c r="BF110">
        <v>1779164100000</v>
      </c>
      <c r="BG110">
        <v>284</v>
      </c>
      <c r="BI110">
        <v>1779164100000</v>
      </c>
      <c r="BJ110">
        <v>92</v>
      </c>
      <c r="BL110">
        <v>1779164100000</v>
      </c>
      <c r="BM110">
        <v>2040</v>
      </c>
      <c r="BO110">
        <v>1779164100000</v>
      </c>
      <c r="BP110">
        <v>76</v>
      </c>
      <c r="BR110">
        <v>1779164100000</v>
      </c>
      <c r="BS110">
        <v>140</v>
      </c>
      <c r="BT110" s="6"/>
      <c r="BU110">
        <v>1782274500000</v>
      </c>
      <c r="BV110">
        <v>92</v>
      </c>
      <c r="BX110">
        <v>1782274500000</v>
      </c>
      <c r="BY110">
        <v>1304</v>
      </c>
      <c r="CA110">
        <v>1782274500000</v>
      </c>
      <c r="CB110">
        <v>52</v>
      </c>
      <c r="CD110">
        <v>1782274500000</v>
      </c>
      <c r="CE110">
        <v>252</v>
      </c>
      <c r="CG110">
        <v>1782274500000</v>
      </c>
      <c r="CH110">
        <v>104</v>
      </c>
      <c r="CJ110">
        <v>1782274500000</v>
      </c>
      <c r="CK110">
        <v>1552</v>
      </c>
      <c r="CM110">
        <v>1782274500000</v>
      </c>
      <c r="CN110">
        <v>68</v>
      </c>
      <c r="CP110">
        <v>1782274500000</v>
      </c>
      <c r="CQ110">
        <v>160</v>
      </c>
      <c r="CR110" s="6"/>
      <c r="CS110">
        <v>1784088900000</v>
      </c>
      <c r="CT110">
        <v>108</v>
      </c>
      <c r="CV110">
        <v>1784088900000</v>
      </c>
      <c r="CW110">
        <v>1056</v>
      </c>
      <c r="CY110">
        <v>1784088900000</v>
      </c>
      <c r="CZ110">
        <v>44</v>
      </c>
      <c r="DB110">
        <v>1784088900000</v>
      </c>
      <c r="DC110">
        <v>224</v>
      </c>
      <c r="DE110">
        <v>1784088900000</v>
      </c>
      <c r="DF110">
        <v>92</v>
      </c>
      <c r="DH110">
        <v>1784088900000</v>
      </c>
      <c r="DI110">
        <v>1088</v>
      </c>
      <c r="DK110">
        <v>1784088900000</v>
      </c>
      <c r="DL110">
        <v>96</v>
      </c>
      <c r="DN110">
        <v>1784088900000</v>
      </c>
      <c r="DO110">
        <v>120</v>
      </c>
      <c r="DP110" s="6"/>
      <c r="DQ110">
        <v>1784175300000</v>
      </c>
      <c r="DR110">
        <v>156</v>
      </c>
      <c r="DT110">
        <v>1784175300000</v>
      </c>
      <c r="DU110">
        <v>1068</v>
      </c>
      <c r="DW110">
        <v>1784175300000</v>
      </c>
      <c r="DX110">
        <v>68</v>
      </c>
      <c r="DZ110">
        <v>1784175300000</v>
      </c>
      <c r="EA110">
        <v>240</v>
      </c>
      <c r="EC110">
        <v>1784175300000</v>
      </c>
      <c r="ED110">
        <v>92</v>
      </c>
      <c r="EF110">
        <v>1784175300000</v>
      </c>
      <c r="EG110">
        <v>1448</v>
      </c>
      <c r="EI110">
        <v>1784175300000</v>
      </c>
      <c r="EJ110">
        <v>184</v>
      </c>
      <c r="EL110">
        <v>1784175300000</v>
      </c>
      <c r="EM110">
        <v>124</v>
      </c>
      <c r="EN110" s="6"/>
    </row>
    <row r="111" spans="1:144">
      <c r="A111">
        <v>1778041800000</v>
      </c>
      <c r="B111">
        <v>148</v>
      </c>
      <c r="D111">
        <v>1778041800000</v>
      </c>
      <c r="E111">
        <v>1740</v>
      </c>
      <c r="G111">
        <v>1778041800000</v>
      </c>
      <c r="H111">
        <v>116</v>
      </c>
      <c r="J111">
        <v>1778041800000</v>
      </c>
      <c r="K111">
        <v>156</v>
      </c>
      <c r="M111">
        <v>1778041800000</v>
      </c>
      <c r="N111">
        <v>40</v>
      </c>
      <c r="P111">
        <v>1778041800000</v>
      </c>
      <c r="Q111">
        <v>2276</v>
      </c>
      <c r="S111">
        <v>1778041800000</v>
      </c>
      <c r="T111">
        <v>88</v>
      </c>
      <c r="V111">
        <v>1778041800000</v>
      </c>
      <c r="W111">
        <v>120</v>
      </c>
      <c r="X111" s="6"/>
      <c r="Y111">
        <v>1778128200000</v>
      </c>
      <c r="Z111">
        <v>120</v>
      </c>
      <c r="AB111">
        <v>1778128200000</v>
      </c>
      <c r="AC111">
        <v>1688</v>
      </c>
      <c r="AE111">
        <v>1778128200000</v>
      </c>
      <c r="AF111">
        <v>56</v>
      </c>
      <c r="AH111">
        <v>1778128200000</v>
      </c>
      <c r="AI111">
        <v>404</v>
      </c>
      <c r="AK111">
        <v>1778128200000</v>
      </c>
      <c r="AL111">
        <v>84</v>
      </c>
      <c r="AN111">
        <v>1778128200000</v>
      </c>
      <c r="AO111">
        <v>2496</v>
      </c>
      <c r="AQ111">
        <v>1778128200000</v>
      </c>
      <c r="AR111">
        <v>108</v>
      </c>
      <c r="AT111">
        <v>1778128200000</v>
      </c>
      <c r="AU111">
        <v>128</v>
      </c>
      <c r="AV111" s="6"/>
      <c r="AW111">
        <v>1779165000000</v>
      </c>
      <c r="AX111">
        <v>52</v>
      </c>
      <c r="AZ111">
        <v>1779165000000</v>
      </c>
      <c r="BA111">
        <v>1564</v>
      </c>
      <c r="BC111">
        <v>1779165000000</v>
      </c>
      <c r="BD111">
        <v>40</v>
      </c>
      <c r="BF111">
        <v>1779165000000</v>
      </c>
      <c r="BG111">
        <v>208</v>
      </c>
      <c r="BI111">
        <v>1779165000000</v>
      </c>
      <c r="BJ111">
        <v>68</v>
      </c>
      <c r="BL111">
        <v>1779165000000</v>
      </c>
      <c r="BM111">
        <v>1944</v>
      </c>
      <c r="BO111">
        <v>1779165000000</v>
      </c>
      <c r="BP111">
        <v>52</v>
      </c>
      <c r="BR111">
        <v>1779165000000</v>
      </c>
      <c r="BS111">
        <v>152</v>
      </c>
      <c r="BT111" s="6"/>
      <c r="BU111">
        <v>1782275400000</v>
      </c>
      <c r="BV111">
        <v>236</v>
      </c>
      <c r="BX111">
        <v>1782275400000</v>
      </c>
      <c r="BY111">
        <v>1100</v>
      </c>
      <c r="CA111">
        <v>1782275400000</v>
      </c>
      <c r="CB111">
        <v>64</v>
      </c>
      <c r="CD111">
        <v>1782275400000</v>
      </c>
      <c r="CE111">
        <v>280</v>
      </c>
      <c r="CG111">
        <v>1782275400000</v>
      </c>
      <c r="CH111">
        <v>92</v>
      </c>
      <c r="CJ111">
        <v>1782275400000</v>
      </c>
      <c r="CK111">
        <v>1604</v>
      </c>
      <c r="CM111">
        <v>1782275400000</v>
      </c>
      <c r="CN111">
        <v>112</v>
      </c>
      <c r="CP111">
        <v>1782275400000</v>
      </c>
      <c r="CQ111">
        <v>160</v>
      </c>
      <c r="CR111" s="6"/>
      <c r="CS111">
        <v>1784089800000</v>
      </c>
      <c r="CT111">
        <v>156</v>
      </c>
      <c r="CV111">
        <v>1784089800000</v>
      </c>
      <c r="CW111">
        <v>1020</v>
      </c>
      <c r="CY111">
        <v>1784089800000</v>
      </c>
      <c r="CZ111">
        <v>44</v>
      </c>
      <c r="DB111">
        <v>1784089800000</v>
      </c>
      <c r="DC111">
        <v>200</v>
      </c>
      <c r="DE111">
        <v>1784089800000</v>
      </c>
      <c r="DF111">
        <v>104</v>
      </c>
      <c r="DH111">
        <v>1784089800000</v>
      </c>
      <c r="DI111">
        <v>1036</v>
      </c>
      <c r="DK111">
        <v>1784089800000</v>
      </c>
      <c r="DL111">
        <v>144</v>
      </c>
      <c r="DN111">
        <v>1784089800000</v>
      </c>
      <c r="DO111">
        <v>112</v>
      </c>
      <c r="DP111" s="6"/>
      <c r="DQ111">
        <v>1784176200000</v>
      </c>
      <c r="DR111">
        <v>132</v>
      </c>
      <c r="DT111">
        <v>1784176200000</v>
      </c>
      <c r="DU111">
        <v>996</v>
      </c>
      <c r="DW111">
        <v>1784176200000</v>
      </c>
      <c r="DX111">
        <v>52</v>
      </c>
      <c r="DZ111">
        <v>1784176200000</v>
      </c>
      <c r="EA111">
        <v>220</v>
      </c>
      <c r="EC111">
        <v>1784176200000</v>
      </c>
      <c r="ED111">
        <v>72</v>
      </c>
      <c r="EF111">
        <v>1784176200000</v>
      </c>
      <c r="EG111">
        <v>1120</v>
      </c>
      <c r="EI111">
        <v>1784176200000</v>
      </c>
      <c r="EJ111">
        <v>172</v>
      </c>
      <c r="EL111">
        <v>1784176200000</v>
      </c>
      <c r="EM111">
        <v>156</v>
      </c>
      <c r="EN111" s="6"/>
    </row>
    <row r="112" spans="1:144">
      <c r="A112">
        <v>1778042700000</v>
      </c>
      <c r="B112">
        <v>68</v>
      </c>
      <c r="D112">
        <v>1778042700000</v>
      </c>
      <c r="E112">
        <v>1572</v>
      </c>
      <c r="G112">
        <v>1778042700000</v>
      </c>
      <c r="H112">
        <v>68</v>
      </c>
      <c r="J112">
        <v>1778042700000</v>
      </c>
      <c r="K112">
        <v>136</v>
      </c>
      <c r="M112">
        <v>1778042700000</v>
      </c>
      <c r="N112">
        <v>56</v>
      </c>
      <c r="P112">
        <v>1778042700000</v>
      </c>
      <c r="Q112">
        <v>1808</v>
      </c>
      <c r="S112">
        <v>1778042700000</v>
      </c>
      <c r="T112">
        <v>48</v>
      </c>
      <c r="V112">
        <v>1778042700000</v>
      </c>
      <c r="W112">
        <v>108</v>
      </c>
      <c r="X112" s="6"/>
      <c r="Y112">
        <v>1778129100000</v>
      </c>
      <c r="Z112">
        <v>252</v>
      </c>
      <c r="AB112">
        <v>1778129100000</v>
      </c>
      <c r="AC112">
        <v>1660</v>
      </c>
      <c r="AE112">
        <v>1778129100000</v>
      </c>
      <c r="AF112">
        <v>24</v>
      </c>
      <c r="AH112">
        <v>1778129100000</v>
      </c>
      <c r="AI112">
        <v>348</v>
      </c>
      <c r="AK112">
        <v>1778129100000</v>
      </c>
      <c r="AL112">
        <v>68</v>
      </c>
      <c r="AN112">
        <v>1778129100000</v>
      </c>
      <c r="AO112">
        <v>2272</v>
      </c>
      <c r="AQ112">
        <v>1778129100000</v>
      </c>
      <c r="AR112">
        <v>72</v>
      </c>
      <c r="AT112">
        <v>1778129100000</v>
      </c>
      <c r="AU112">
        <v>88</v>
      </c>
      <c r="AV112" s="6"/>
      <c r="AW112">
        <v>1779165900000</v>
      </c>
      <c r="AX112">
        <v>56</v>
      </c>
      <c r="AZ112">
        <v>1779165900000</v>
      </c>
      <c r="BA112">
        <v>1560</v>
      </c>
      <c r="BC112">
        <v>1779165900000</v>
      </c>
      <c r="BD112">
        <v>32</v>
      </c>
      <c r="BF112">
        <v>1779165900000</v>
      </c>
      <c r="BG112">
        <v>156</v>
      </c>
      <c r="BI112">
        <v>1779165900000</v>
      </c>
      <c r="BJ112">
        <v>76</v>
      </c>
      <c r="BL112">
        <v>1779165900000</v>
      </c>
      <c r="BM112">
        <v>1956</v>
      </c>
      <c r="BO112">
        <v>1779165900000</v>
      </c>
      <c r="BP112">
        <v>52</v>
      </c>
      <c r="BR112">
        <v>1779165900000</v>
      </c>
      <c r="BS112">
        <v>120</v>
      </c>
      <c r="BT112" s="6"/>
      <c r="BU112">
        <v>1782276300000</v>
      </c>
      <c r="BV112">
        <v>44</v>
      </c>
      <c r="BX112">
        <v>1782276300000</v>
      </c>
      <c r="BY112">
        <v>1008</v>
      </c>
      <c r="CA112">
        <v>1782276300000</v>
      </c>
      <c r="CB112">
        <v>68</v>
      </c>
      <c r="CD112">
        <v>1782276300000</v>
      </c>
      <c r="CE112">
        <v>156</v>
      </c>
      <c r="CG112">
        <v>1782276300000</v>
      </c>
      <c r="CH112">
        <v>60</v>
      </c>
      <c r="CJ112">
        <v>1782276300000</v>
      </c>
      <c r="CK112">
        <v>1412</v>
      </c>
      <c r="CM112">
        <v>1782276300000</v>
      </c>
      <c r="CN112">
        <v>32</v>
      </c>
      <c r="CP112">
        <v>1782276300000</v>
      </c>
      <c r="CQ112">
        <v>132</v>
      </c>
      <c r="CR112" s="6"/>
      <c r="CS112">
        <v>1784090700000</v>
      </c>
      <c r="CT112">
        <v>136</v>
      </c>
      <c r="CV112">
        <v>1784090700000</v>
      </c>
      <c r="CW112">
        <v>940</v>
      </c>
      <c r="CY112">
        <v>1784090700000</v>
      </c>
      <c r="CZ112">
        <v>100</v>
      </c>
      <c r="DB112">
        <v>1784090700000</v>
      </c>
      <c r="DC112">
        <v>168</v>
      </c>
      <c r="DE112">
        <v>1784090700000</v>
      </c>
      <c r="DF112">
        <v>80</v>
      </c>
      <c r="DH112">
        <v>1784090700000</v>
      </c>
      <c r="DI112">
        <v>1008</v>
      </c>
      <c r="DK112">
        <v>1784090700000</v>
      </c>
      <c r="DL112">
        <v>88</v>
      </c>
      <c r="DN112">
        <v>1784090700000</v>
      </c>
      <c r="DO112">
        <v>144</v>
      </c>
      <c r="DP112" s="6"/>
      <c r="DQ112">
        <v>1784177100000</v>
      </c>
      <c r="DR112">
        <v>60</v>
      </c>
      <c r="DT112">
        <v>1784177100000</v>
      </c>
      <c r="DU112">
        <v>796</v>
      </c>
      <c r="DW112">
        <v>1784177100000</v>
      </c>
      <c r="DX112">
        <v>52</v>
      </c>
      <c r="DZ112">
        <v>1784177100000</v>
      </c>
      <c r="EA112">
        <v>220</v>
      </c>
      <c r="EC112">
        <v>1784177100000</v>
      </c>
      <c r="ED112">
        <v>48</v>
      </c>
      <c r="EF112">
        <v>1784177100000</v>
      </c>
      <c r="EG112">
        <v>1032</v>
      </c>
      <c r="EI112">
        <v>1784177100000</v>
      </c>
      <c r="EJ112">
        <v>112</v>
      </c>
      <c r="EL112">
        <v>1784177100000</v>
      </c>
      <c r="EM112">
        <v>116</v>
      </c>
      <c r="EN112" s="6"/>
    </row>
    <row r="113" spans="1:144">
      <c r="A113">
        <v>1778043600000</v>
      </c>
      <c r="B113">
        <v>92</v>
      </c>
      <c r="D113">
        <v>1778043600000</v>
      </c>
      <c r="E113">
        <v>1600</v>
      </c>
      <c r="G113">
        <v>1778043600000</v>
      </c>
      <c r="H113">
        <v>52</v>
      </c>
      <c r="J113">
        <v>1778043600000</v>
      </c>
      <c r="K113">
        <v>120</v>
      </c>
      <c r="M113">
        <v>1778043600000</v>
      </c>
      <c r="N113">
        <v>52</v>
      </c>
      <c r="P113">
        <v>1778043600000</v>
      </c>
      <c r="Q113">
        <v>1788</v>
      </c>
      <c r="S113">
        <v>1778043600000</v>
      </c>
      <c r="T113">
        <v>48</v>
      </c>
      <c r="V113">
        <v>1778043600000</v>
      </c>
      <c r="W113">
        <v>108</v>
      </c>
      <c r="X113" s="6"/>
      <c r="Y113">
        <v>1778130000000</v>
      </c>
      <c r="Z113">
        <v>44</v>
      </c>
      <c r="AB113">
        <v>1778130000000</v>
      </c>
      <c r="AC113">
        <v>1432</v>
      </c>
      <c r="AE113">
        <v>1778130000000</v>
      </c>
      <c r="AF113">
        <v>36</v>
      </c>
      <c r="AH113">
        <v>1778130000000</v>
      </c>
      <c r="AI113">
        <v>208</v>
      </c>
      <c r="AK113">
        <v>1778130000000</v>
      </c>
      <c r="AL113">
        <v>68</v>
      </c>
      <c r="AN113">
        <v>1778130000000</v>
      </c>
      <c r="AO113">
        <v>2216</v>
      </c>
      <c r="AQ113">
        <v>1778130000000</v>
      </c>
      <c r="AR113">
        <v>68</v>
      </c>
      <c r="AT113">
        <v>1778130000000</v>
      </c>
      <c r="AU113">
        <v>132</v>
      </c>
      <c r="AV113" s="6"/>
      <c r="AW113">
        <v>1779166800000</v>
      </c>
      <c r="AX113">
        <v>52</v>
      </c>
      <c r="AZ113">
        <v>1779166800000</v>
      </c>
      <c r="BA113">
        <v>1520</v>
      </c>
      <c r="BC113">
        <v>1779166800000</v>
      </c>
      <c r="BD113">
        <v>32</v>
      </c>
      <c r="BF113">
        <v>1779166800000</v>
      </c>
      <c r="BG113">
        <v>116</v>
      </c>
      <c r="BI113">
        <v>1779166800000</v>
      </c>
      <c r="BJ113">
        <v>64</v>
      </c>
      <c r="BL113">
        <v>1779166800000</v>
      </c>
      <c r="BM113">
        <v>1852</v>
      </c>
      <c r="BO113">
        <v>1779166800000</v>
      </c>
      <c r="BP113">
        <v>96</v>
      </c>
      <c r="BR113">
        <v>1779166800000</v>
      </c>
      <c r="BS113">
        <v>96</v>
      </c>
      <c r="BT113" s="6"/>
      <c r="BU113">
        <v>1782277200000</v>
      </c>
      <c r="BV113">
        <v>128</v>
      </c>
      <c r="BX113">
        <v>1782277200000</v>
      </c>
      <c r="BY113">
        <v>1060</v>
      </c>
      <c r="CA113">
        <v>1782277200000</v>
      </c>
      <c r="CB113">
        <v>148</v>
      </c>
      <c r="CD113">
        <v>1782277200000</v>
      </c>
      <c r="CE113">
        <v>268</v>
      </c>
      <c r="CG113">
        <v>1782277200000</v>
      </c>
      <c r="CH113">
        <v>64</v>
      </c>
      <c r="CJ113">
        <v>1782277200000</v>
      </c>
      <c r="CK113">
        <v>1380</v>
      </c>
      <c r="CM113">
        <v>1782277200000</v>
      </c>
      <c r="CN113">
        <v>76</v>
      </c>
      <c r="CP113">
        <v>1782277200000</v>
      </c>
      <c r="CQ113">
        <v>124</v>
      </c>
      <c r="CR113" s="6"/>
      <c r="CS113">
        <v>1784091600000</v>
      </c>
      <c r="CT113">
        <v>80</v>
      </c>
      <c r="CV113">
        <v>1784091600000</v>
      </c>
      <c r="CW113">
        <v>700</v>
      </c>
      <c r="CY113">
        <v>1784091600000</v>
      </c>
      <c r="CZ113">
        <v>32</v>
      </c>
      <c r="DB113">
        <v>1784091600000</v>
      </c>
      <c r="DC113">
        <v>148</v>
      </c>
      <c r="DE113">
        <v>1784091600000</v>
      </c>
      <c r="DF113">
        <v>56</v>
      </c>
      <c r="DH113">
        <v>1784091600000</v>
      </c>
      <c r="DI113">
        <v>1028</v>
      </c>
      <c r="DK113">
        <v>1784091600000</v>
      </c>
      <c r="DL113">
        <v>100</v>
      </c>
      <c r="DN113">
        <v>1784091600000</v>
      </c>
      <c r="DO113">
        <v>124</v>
      </c>
      <c r="DP113" s="6"/>
      <c r="DQ113">
        <v>1784178000000</v>
      </c>
      <c r="DR113">
        <v>28</v>
      </c>
      <c r="DT113">
        <v>1784178000000</v>
      </c>
      <c r="DU113">
        <v>984</v>
      </c>
      <c r="DW113">
        <v>1784178000000</v>
      </c>
      <c r="DX113">
        <v>36</v>
      </c>
      <c r="DZ113">
        <v>1784178000000</v>
      </c>
      <c r="EA113">
        <v>132</v>
      </c>
      <c r="EC113">
        <v>1784178000000</v>
      </c>
      <c r="ED113">
        <v>48</v>
      </c>
      <c r="EF113">
        <v>1784178000000</v>
      </c>
      <c r="EG113">
        <v>984</v>
      </c>
      <c r="EI113">
        <v>1784178000000</v>
      </c>
      <c r="EJ113">
        <v>80</v>
      </c>
      <c r="EL113">
        <v>1784178000000</v>
      </c>
      <c r="EM113">
        <v>120</v>
      </c>
      <c r="EN113" s="6"/>
    </row>
    <row r="114" spans="1:144">
      <c r="A114">
        <v>1778044500000</v>
      </c>
      <c r="B114">
        <v>248</v>
      </c>
      <c r="D114">
        <v>1778044500000</v>
      </c>
      <c r="E114">
        <v>1356</v>
      </c>
      <c r="G114">
        <v>1778044500000</v>
      </c>
      <c r="H114">
        <v>44</v>
      </c>
      <c r="J114">
        <v>1778044500000</v>
      </c>
      <c r="K114">
        <v>132</v>
      </c>
      <c r="M114">
        <v>1778044500000</v>
      </c>
      <c r="N114">
        <v>60</v>
      </c>
      <c r="P114">
        <v>1778044500000</v>
      </c>
      <c r="Q114">
        <v>1956</v>
      </c>
      <c r="S114">
        <v>1778044500000</v>
      </c>
      <c r="T114">
        <v>48</v>
      </c>
      <c r="V114">
        <v>1778044500000</v>
      </c>
      <c r="W114">
        <v>76</v>
      </c>
      <c r="X114" s="6"/>
      <c r="Y114">
        <v>1778130900000</v>
      </c>
      <c r="Z114">
        <v>116</v>
      </c>
      <c r="AB114">
        <v>1778130900000</v>
      </c>
      <c r="AC114">
        <v>1596</v>
      </c>
      <c r="AE114">
        <v>1778130900000</v>
      </c>
      <c r="AF114">
        <v>16</v>
      </c>
      <c r="AH114">
        <v>1778130900000</v>
      </c>
      <c r="AI114">
        <v>76</v>
      </c>
      <c r="AK114">
        <v>1778130900000</v>
      </c>
      <c r="AL114">
        <v>48</v>
      </c>
      <c r="AN114">
        <v>1778130900000</v>
      </c>
      <c r="AO114">
        <v>1896</v>
      </c>
      <c r="AQ114">
        <v>1778130900000</v>
      </c>
      <c r="AR114">
        <v>40</v>
      </c>
      <c r="AT114">
        <v>1778130900000</v>
      </c>
      <c r="AU114">
        <v>88</v>
      </c>
      <c r="AV114" s="6"/>
      <c r="AW114">
        <v>1779167700000</v>
      </c>
      <c r="AX114">
        <v>56</v>
      </c>
      <c r="AZ114">
        <v>1779167700000</v>
      </c>
      <c r="BA114">
        <v>1388</v>
      </c>
      <c r="BC114">
        <v>1779167700000</v>
      </c>
      <c r="BD114">
        <v>28</v>
      </c>
      <c r="BF114">
        <v>1779167700000</v>
      </c>
      <c r="BG114">
        <v>152</v>
      </c>
      <c r="BI114">
        <v>1779167700000</v>
      </c>
      <c r="BJ114">
        <v>68</v>
      </c>
      <c r="BL114">
        <v>1779167700000</v>
      </c>
      <c r="BM114">
        <v>1840</v>
      </c>
      <c r="BO114">
        <v>1779167700000</v>
      </c>
      <c r="BP114">
        <v>4</v>
      </c>
      <c r="BR114">
        <v>1779167700000</v>
      </c>
      <c r="BS114">
        <v>88</v>
      </c>
      <c r="BT114" s="6"/>
      <c r="BU114">
        <v>1782278100000</v>
      </c>
      <c r="BV114">
        <v>292</v>
      </c>
      <c r="BX114">
        <v>1782278100000</v>
      </c>
      <c r="BY114">
        <v>904</v>
      </c>
      <c r="CA114">
        <v>1782278100000</v>
      </c>
      <c r="CB114">
        <v>36</v>
      </c>
      <c r="CD114">
        <v>1782278100000</v>
      </c>
      <c r="CE114">
        <v>304</v>
      </c>
      <c r="CG114">
        <v>1782278100000</v>
      </c>
      <c r="CH114">
        <v>72</v>
      </c>
      <c r="CJ114">
        <v>1782278100000</v>
      </c>
      <c r="CK114">
        <v>1324</v>
      </c>
      <c r="CM114">
        <v>1782278100000</v>
      </c>
      <c r="CN114">
        <v>48</v>
      </c>
      <c r="CP114">
        <v>1782278100000</v>
      </c>
      <c r="CQ114">
        <v>132</v>
      </c>
      <c r="CR114" s="6"/>
      <c r="CS114">
        <v>1784092500000</v>
      </c>
      <c r="CT114">
        <v>72</v>
      </c>
      <c r="CV114">
        <v>1784092500000</v>
      </c>
      <c r="CW114">
        <v>640</v>
      </c>
      <c r="CY114">
        <v>1784092500000</v>
      </c>
      <c r="CZ114">
        <v>48</v>
      </c>
      <c r="DB114">
        <v>1784092500000</v>
      </c>
      <c r="DC114">
        <v>188</v>
      </c>
      <c r="DE114">
        <v>1784092500000</v>
      </c>
      <c r="DF114">
        <v>60</v>
      </c>
      <c r="DH114">
        <v>1784092500000</v>
      </c>
      <c r="DI114">
        <v>992</v>
      </c>
      <c r="DK114">
        <v>1784092500000</v>
      </c>
      <c r="DL114">
        <v>64</v>
      </c>
      <c r="DN114">
        <v>1784092500000</v>
      </c>
      <c r="DO114">
        <v>76</v>
      </c>
      <c r="DP114" s="6"/>
      <c r="DQ114">
        <v>1784178900000</v>
      </c>
      <c r="DR114">
        <v>44</v>
      </c>
      <c r="DT114">
        <v>1784178900000</v>
      </c>
      <c r="DU114">
        <v>568</v>
      </c>
      <c r="DW114">
        <v>1784178900000</v>
      </c>
      <c r="DX114">
        <v>32</v>
      </c>
      <c r="DZ114">
        <v>1784178900000</v>
      </c>
      <c r="EA114">
        <v>88</v>
      </c>
      <c r="EC114">
        <v>1784178900000</v>
      </c>
      <c r="ED114">
        <v>112</v>
      </c>
      <c r="EF114">
        <v>1784178900000</v>
      </c>
      <c r="EG114">
        <v>1096</v>
      </c>
      <c r="EI114">
        <v>1784178900000</v>
      </c>
      <c r="EJ114">
        <v>152</v>
      </c>
      <c r="EL114">
        <v>1784178900000</v>
      </c>
      <c r="EM114">
        <v>100</v>
      </c>
      <c r="EN114" s="6"/>
    </row>
    <row r="115" spans="1:144">
      <c r="A115">
        <v>1778045400000</v>
      </c>
      <c r="B115">
        <v>52</v>
      </c>
      <c r="D115">
        <v>1778045400000</v>
      </c>
      <c r="E115">
        <v>1272</v>
      </c>
      <c r="G115">
        <v>1778045400000</v>
      </c>
      <c r="H115">
        <v>24</v>
      </c>
      <c r="J115">
        <v>1778045400000</v>
      </c>
      <c r="K115">
        <v>124</v>
      </c>
      <c r="M115">
        <v>1778045400000</v>
      </c>
      <c r="N115">
        <v>64</v>
      </c>
      <c r="P115">
        <v>1778045400000</v>
      </c>
      <c r="Q115">
        <v>1900</v>
      </c>
      <c r="S115">
        <v>1778045400000</v>
      </c>
      <c r="T115">
        <v>20</v>
      </c>
      <c r="V115">
        <v>1778045400000</v>
      </c>
      <c r="W115">
        <v>56</v>
      </c>
      <c r="X115" s="6"/>
      <c r="Y115">
        <v>1778131800000</v>
      </c>
      <c r="Z115">
        <v>24</v>
      </c>
      <c r="AB115">
        <v>1778131800000</v>
      </c>
      <c r="AC115">
        <v>1392</v>
      </c>
      <c r="AE115">
        <v>1778131800000</v>
      </c>
      <c r="AF115">
        <v>36</v>
      </c>
      <c r="AH115">
        <v>1778131800000</v>
      </c>
      <c r="AI115">
        <v>152</v>
      </c>
      <c r="AK115">
        <v>1778131800000</v>
      </c>
      <c r="AL115">
        <v>48</v>
      </c>
      <c r="AN115">
        <v>1778131800000</v>
      </c>
      <c r="AO115">
        <v>1840</v>
      </c>
      <c r="AQ115">
        <v>1778131800000</v>
      </c>
      <c r="AR115">
        <v>52</v>
      </c>
      <c r="AT115">
        <v>1778131800000</v>
      </c>
      <c r="AU115">
        <v>84</v>
      </c>
      <c r="AV115" s="6"/>
      <c r="AW115">
        <v>1779168600000</v>
      </c>
      <c r="AX115">
        <v>16</v>
      </c>
      <c r="AZ115">
        <v>1779168600000</v>
      </c>
      <c r="BA115">
        <v>1348</v>
      </c>
      <c r="BC115">
        <v>1779168600000</v>
      </c>
      <c r="BD115">
        <v>40</v>
      </c>
      <c r="BF115">
        <v>1779168600000</v>
      </c>
      <c r="BG115">
        <v>68</v>
      </c>
      <c r="BI115">
        <v>1779168600000</v>
      </c>
      <c r="BJ115">
        <v>20</v>
      </c>
      <c r="BL115">
        <v>1779168600000</v>
      </c>
      <c r="BM115">
        <v>1796</v>
      </c>
      <c r="BO115">
        <v>1779168600000</v>
      </c>
      <c r="BP115">
        <v>16</v>
      </c>
      <c r="BR115">
        <v>1779168600000</v>
      </c>
      <c r="BS115">
        <v>64</v>
      </c>
      <c r="BT115" s="6"/>
      <c r="BU115">
        <v>1782279000000</v>
      </c>
      <c r="BV115">
        <v>80</v>
      </c>
      <c r="BX115">
        <v>1782279000000</v>
      </c>
      <c r="BY115">
        <v>756</v>
      </c>
      <c r="CA115">
        <v>1782279000000</v>
      </c>
      <c r="CB115">
        <v>88</v>
      </c>
      <c r="CD115">
        <v>1782279000000</v>
      </c>
      <c r="CE115">
        <v>180</v>
      </c>
      <c r="CG115">
        <v>1782279000000</v>
      </c>
      <c r="CH115">
        <v>44</v>
      </c>
      <c r="CJ115">
        <v>1782279000000</v>
      </c>
      <c r="CK115">
        <v>1428</v>
      </c>
      <c r="CM115">
        <v>1782279000000</v>
      </c>
      <c r="CN115">
        <v>108</v>
      </c>
      <c r="CP115">
        <v>1782279000000</v>
      </c>
      <c r="CQ115">
        <v>136</v>
      </c>
      <c r="CR115" s="6"/>
      <c r="CS115">
        <v>1784093400000</v>
      </c>
      <c r="CT115">
        <v>80</v>
      </c>
      <c r="CV115">
        <v>1784093400000</v>
      </c>
      <c r="CW115">
        <v>560</v>
      </c>
      <c r="CY115">
        <v>1784093400000</v>
      </c>
      <c r="CZ115">
        <v>56</v>
      </c>
      <c r="DB115">
        <v>1784093400000</v>
      </c>
      <c r="DC115">
        <v>104</v>
      </c>
      <c r="DE115">
        <v>1784093400000</v>
      </c>
      <c r="DF115">
        <v>36</v>
      </c>
      <c r="DH115">
        <v>1784093400000</v>
      </c>
      <c r="DI115">
        <v>888</v>
      </c>
      <c r="DK115">
        <v>1784093400000</v>
      </c>
      <c r="DL115">
        <v>44</v>
      </c>
      <c r="DN115">
        <v>1784093400000</v>
      </c>
      <c r="DO115">
        <v>100</v>
      </c>
      <c r="DP115" s="6"/>
      <c r="DQ115">
        <v>1784179800000</v>
      </c>
      <c r="DR115">
        <v>64</v>
      </c>
      <c r="DT115">
        <v>1784179800000</v>
      </c>
      <c r="DU115">
        <v>560</v>
      </c>
      <c r="DW115">
        <v>1784179800000</v>
      </c>
      <c r="DX115">
        <v>32</v>
      </c>
      <c r="DZ115">
        <v>1784179800000</v>
      </c>
      <c r="EA115">
        <v>172</v>
      </c>
      <c r="EC115">
        <v>1784179800000</v>
      </c>
      <c r="ED115">
        <v>60</v>
      </c>
      <c r="EF115">
        <v>1784179800000</v>
      </c>
      <c r="EG115">
        <v>692</v>
      </c>
      <c r="EI115">
        <v>1784179800000</v>
      </c>
      <c r="EJ115">
        <v>68</v>
      </c>
      <c r="EL115">
        <v>1784179800000</v>
      </c>
      <c r="EM115">
        <v>108</v>
      </c>
      <c r="EN115" s="6"/>
    </row>
    <row r="116" spans="1:144">
      <c r="A116">
        <v>1778046300000</v>
      </c>
      <c r="B116">
        <v>8</v>
      </c>
      <c r="D116">
        <v>1778046300000</v>
      </c>
      <c r="E116">
        <v>1432</v>
      </c>
      <c r="G116">
        <v>1778046300000</v>
      </c>
      <c r="H116">
        <v>60</v>
      </c>
      <c r="J116">
        <v>1778046300000</v>
      </c>
      <c r="K116">
        <v>64</v>
      </c>
      <c r="M116">
        <v>1778046300000</v>
      </c>
      <c r="N116">
        <v>56</v>
      </c>
      <c r="P116">
        <v>1778046300000</v>
      </c>
      <c r="Q116">
        <v>1252</v>
      </c>
      <c r="S116">
        <v>1778046300000</v>
      </c>
      <c r="T116">
        <v>20</v>
      </c>
      <c r="V116">
        <v>1778046300000</v>
      </c>
      <c r="W116">
        <v>68</v>
      </c>
      <c r="X116" s="6"/>
      <c r="Y116">
        <v>1778132700000</v>
      </c>
      <c r="Z116">
        <v>24</v>
      </c>
      <c r="AB116">
        <v>1778132700000</v>
      </c>
      <c r="AC116">
        <v>1516</v>
      </c>
      <c r="AE116">
        <v>1778132700000</v>
      </c>
      <c r="AF116">
        <v>36</v>
      </c>
      <c r="AH116">
        <v>1778132700000</v>
      </c>
      <c r="AI116">
        <v>124</v>
      </c>
      <c r="AK116">
        <v>1778132700000</v>
      </c>
      <c r="AL116">
        <v>56</v>
      </c>
      <c r="AN116">
        <v>1778132700000</v>
      </c>
      <c r="AO116">
        <v>1744</v>
      </c>
      <c r="AQ116">
        <v>1778132700000</v>
      </c>
      <c r="AR116">
        <v>32</v>
      </c>
      <c r="AT116">
        <v>1778132700000</v>
      </c>
      <c r="AU116">
        <v>72</v>
      </c>
      <c r="AV116" s="6"/>
      <c r="AW116">
        <v>1779169500000</v>
      </c>
      <c r="AX116">
        <v>8</v>
      </c>
      <c r="AZ116">
        <v>1779169500000</v>
      </c>
      <c r="BA116">
        <v>1148</v>
      </c>
      <c r="BC116">
        <v>1779169500000</v>
      </c>
      <c r="BD116">
        <v>8</v>
      </c>
      <c r="BF116">
        <v>1779169500000</v>
      </c>
      <c r="BG116">
        <v>104</v>
      </c>
      <c r="BI116">
        <v>1779169500000</v>
      </c>
      <c r="BJ116">
        <v>12</v>
      </c>
      <c r="BL116">
        <v>1779169500000</v>
      </c>
      <c r="BM116">
        <v>1756</v>
      </c>
      <c r="BO116">
        <v>1779169500000</v>
      </c>
      <c r="BP116">
        <v>44</v>
      </c>
      <c r="BR116">
        <v>1779169500000</v>
      </c>
      <c r="BS116">
        <v>40</v>
      </c>
      <c r="BT116" s="6"/>
      <c r="BU116">
        <v>1782279900000</v>
      </c>
      <c r="BV116">
        <v>24</v>
      </c>
      <c r="BX116">
        <v>1782279900000</v>
      </c>
      <c r="BY116">
        <v>680</v>
      </c>
      <c r="CA116">
        <v>1782279900000</v>
      </c>
      <c r="CB116">
        <v>8</v>
      </c>
      <c r="CD116">
        <v>1782279900000</v>
      </c>
      <c r="CE116">
        <v>200</v>
      </c>
      <c r="CG116">
        <v>1782279900000</v>
      </c>
      <c r="CH116">
        <v>48</v>
      </c>
      <c r="CJ116">
        <v>1782279900000</v>
      </c>
      <c r="CK116">
        <v>1324</v>
      </c>
      <c r="CM116">
        <v>1782279900000</v>
      </c>
      <c r="CN116">
        <v>100</v>
      </c>
      <c r="CP116">
        <v>1782279900000</v>
      </c>
      <c r="CQ116">
        <v>68</v>
      </c>
      <c r="CR116" s="6"/>
      <c r="CS116">
        <v>1784094300000</v>
      </c>
      <c r="CT116">
        <v>36</v>
      </c>
      <c r="CV116">
        <v>1784094300000</v>
      </c>
      <c r="CW116">
        <v>608</v>
      </c>
      <c r="CY116">
        <v>1784094300000</v>
      </c>
      <c r="CZ116">
        <v>20</v>
      </c>
      <c r="DB116">
        <v>1784094300000</v>
      </c>
      <c r="DC116">
        <v>80</v>
      </c>
      <c r="DE116">
        <v>1784094300000</v>
      </c>
      <c r="DF116">
        <v>36</v>
      </c>
      <c r="DH116">
        <v>1784094300000</v>
      </c>
      <c r="DI116">
        <v>852</v>
      </c>
      <c r="DK116">
        <v>1784094300000</v>
      </c>
      <c r="DL116">
        <v>156</v>
      </c>
      <c r="DN116">
        <v>1784094300000</v>
      </c>
      <c r="DO116">
        <v>60</v>
      </c>
      <c r="DP116" s="6"/>
      <c r="DQ116">
        <v>1784180700000</v>
      </c>
      <c r="DR116">
        <v>12</v>
      </c>
      <c r="DT116">
        <v>1784180700000</v>
      </c>
      <c r="DU116">
        <v>408</v>
      </c>
      <c r="DW116">
        <v>1784180700000</v>
      </c>
      <c r="DX116">
        <v>28</v>
      </c>
      <c r="DZ116">
        <v>1784180700000</v>
      </c>
      <c r="EA116">
        <v>128</v>
      </c>
      <c r="EC116">
        <v>1784180700000</v>
      </c>
      <c r="ED116">
        <v>36</v>
      </c>
      <c r="EF116">
        <v>1784180700000</v>
      </c>
      <c r="EG116">
        <v>628</v>
      </c>
      <c r="EI116">
        <v>1784180700000</v>
      </c>
      <c r="EJ116">
        <v>84</v>
      </c>
      <c r="EL116">
        <v>1784180700000</v>
      </c>
      <c r="EM116">
        <v>64</v>
      </c>
      <c r="EN116" s="6"/>
    </row>
    <row r="117" spans="1:144">
      <c r="X117" s="6"/>
      <c r="AV117" s="6"/>
      <c r="BT117" s="6"/>
      <c r="CR117" s="6"/>
      <c r="DP117" s="6"/>
      <c r="EN117" s="6"/>
    </row>
    <row r="118" spans="1:144">
      <c r="X118" s="6"/>
      <c r="AV118" s="6"/>
      <c r="BT118" s="6"/>
      <c r="CR118" s="6"/>
      <c r="DP118" s="6"/>
      <c r="EN118" s="6"/>
    </row>
    <row r="119" spans="1:144">
      <c r="X119" s="6"/>
      <c r="AV119" s="6"/>
      <c r="BT119" s="6"/>
      <c r="CR119" s="6"/>
      <c r="DP119" s="6"/>
      <c r="EN119" s="6"/>
    </row>
    <row r="120" spans="1:144">
      <c r="X120" s="6"/>
      <c r="AV120" s="6"/>
      <c r="BT120" s="6"/>
      <c r="CR120" s="6"/>
      <c r="DP120" s="6"/>
      <c r="EN120" s="6"/>
    </row>
    <row r="121" spans="1:144">
      <c r="X121" s="6"/>
      <c r="AV121" s="6"/>
      <c r="BT121" s="6"/>
      <c r="CR121" s="6"/>
      <c r="DP121" s="6"/>
      <c r="EN121" s="6"/>
    </row>
    <row r="122" spans="1:144">
      <c r="X122" s="6"/>
      <c r="AV122" s="6"/>
      <c r="BT122" s="6"/>
      <c r="CR122" s="6"/>
      <c r="DP122" s="6"/>
      <c r="EN122" s="6"/>
    </row>
  </sheetData>
  <hyperlinks>
    <hyperlink ref="A2" r:id="rId1" display="https://atspm.udot.utah.gov/performance-measures" xr:uid="{D2264DB2-99DB-4DD5-9A9E-1F528137EDC1}"/>
    <hyperlink ref="Y2" r:id="rId2" display="https://atspm.udot.utah.gov/performance-measures" xr:uid="{7C7FFC2C-7CEC-49F6-9B64-F784E41DC5D7}"/>
    <hyperlink ref="AW2" r:id="rId3" display="https://atspm.udot.utah.gov/performance-measures" xr:uid="{602AF921-2C6C-4EB2-A472-5E1D0A560251}"/>
    <hyperlink ref="BU2" r:id="rId4" display="https://atspm.udot.utah.gov/performance-measures" xr:uid="{6F4B89B4-1FF3-4831-B8DA-2FFC8853E7D2}"/>
    <hyperlink ref="CS2" r:id="rId5" display="https://atspm.udot.utah.gov/performance-measures" xr:uid="{59715B2C-44D8-4AA2-806A-C5156C49846E}"/>
    <hyperlink ref="DQ2" r:id="rId6" display="https://atspm.udot.utah.gov/performance-measures" xr:uid="{271BBD4D-10E6-41BC-9578-C6E388DE2CF9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F95B-A23C-481B-B5FF-71AB7EB9F949}">
  <dimension ref="A1:AA5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85546875" customWidth="1"/>
    <col min="2" max="2" width="14.28515625" customWidth="1"/>
    <col min="3" max="3" width="11.42578125" customWidth="1"/>
    <col min="4" max="4" width="21.85546875" customWidth="1"/>
    <col min="5" max="6" width="13.28515625" customWidth="1"/>
    <col min="7" max="26" width="21.85546875" customWidth="1"/>
    <col min="27" max="27" width="20" customWidth="1"/>
  </cols>
  <sheetData>
    <row r="1" spans="1:27" ht="42" customHeight="1">
      <c r="A1" s="20" t="s">
        <v>115</v>
      </c>
      <c r="B1" s="20" t="s">
        <v>116</v>
      </c>
      <c r="C1" s="20" t="s">
        <v>117</v>
      </c>
      <c r="D1" s="20" t="s">
        <v>118</v>
      </c>
      <c r="E1" s="20" t="s">
        <v>119</v>
      </c>
      <c r="F1" s="20" t="s">
        <v>120</v>
      </c>
      <c r="G1" s="20" t="s">
        <v>121</v>
      </c>
      <c r="H1" s="20" t="s">
        <v>122</v>
      </c>
      <c r="I1" s="20" t="s">
        <v>123</v>
      </c>
      <c r="J1" s="20" t="s">
        <v>124</v>
      </c>
      <c r="K1" s="20" t="s">
        <v>125</v>
      </c>
      <c r="L1" s="20" t="s">
        <v>126</v>
      </c>
      <c r="M1" s="20" t="s">
        <v>127</v>
      </c>
      <c r="N1" s="20" t="s">
        <v>128</v>
      </c>
      <c r="O1" s="20" t="s">
        <v>129</v>
      </c>
      <c r="P1" s="20" t="s">
        <v>130</v>
      </c>
      <c r="Q1" s="20" t="s">
        <v>131</v>
      </c>
      <c r="R1" s="20" t="s">
        <v>132</v>
      </c>
      <c r="S1" s="20" t="s">
        <v>133</v>
      </c>
      <c r="T1" s="20" t="s">
        <v>134</v>
      </c>
      <c r="U1" s="20" t="s">
        <v>135</v>
      </c>
      <c r="V1" s="20" t="s">
        <v>136</v>
      </c>
      <c r="W1" s="20" t="s">
        <v>137</v>
      </c>
      <c r="X1" s="20" t="s">
        <v>138</v>
      </c>
      <c r="Y1" s="20" t="s">
        <v>139</v>
      </c>
      <c r="Z1" s="20" t="s">
        <v>140</v>
      </c>
      <c r="AA1" s="20" t="s">
        <v>141</v>
      </c>
    </row>
    <row r="2" spans="1:27">
      <c r="A2" s="16">
        <v>46147</v>
      </c>
      <c r="B2" s="17">
        <v>46147</v>
      </c>
      <c r="C2" s="18">
        <v>0</v>
      </c>
      <c r="D2" t="s">
        <v>73</v>
      </c>
      <c r="E2" t="s">
        <v>142</v>
      </c>
      <c r="F2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19">
        <v>12</v>
      </c>
      <c r="T2" s="19">
        <v>520</v>
      </c>
      <c r="U2" s="19">
        <v>32</v>
      </c>
      <c r="V2" s="19">
        <v>124</v>
      </c>
      <c r="W2" s="19">
        <v>32</v>
      </c>
      <c r="X2" s="19">
        <v>1456</v>
      </c>
      <c r="Y2" s="19">
        <v>28</v>
      </c>
      <c r="Z2" s="19">
        <v>36</v>
      </c>
      <c r="AA2" s="14">
        <v>1</v>
      </c>
    </row>
    <row r="3" spans="1:27">
      <c r="A3" s="16">
        <v>46147.010416666664</v>
      </c>
      <c r="B3" s="17">
        <v>46147</v>
      </c>
      <c r="C3" s="18">
        <v>1.0416666666666666E-2</v>
      </c>
      <c r="D3" t="s">
        <v>73</v>
      </c>
      <c r="E3" t="s">
        <v>142</v>
      </c>
      <c r="F3">
        <v>1</v>
      </c>
      <c r="G3" s="4">
        <v>6.1</v>
      </c>
      <c r="H3" s="4">
        <v>6.1</v>
      </c>
      <c r="I3" s="4">
        <v>4.8499999999999996</v>
      </c>
      <c r="J3" s="4">
        <v>36.1</v>
      </c>
      <c r="K3" s="4">
        <v>36.1</v>
      </c>
      <c r="L3" s="4">
        <v>17.7</v>
      </c>
      <c r="M3" s="4">
        <v>36.6</v>
      </c>
      <c r="N3" s="4">
        <v>36.6</v>
      </c>
      <c r="O3" s="4">
        <v>7.5</v>
      </c>
      <c r="P3" s="4">
        <v>17.399999999999999</v>
      </c>
      <c r="Q3" s="4">
        <v>17.399999999999999</v>
      </c>
      <c r="R3" s="4">
        <v>17.23</v>
      </c>
      <c r="S3" s="19">
        <v>28</v>
      </c>
      <c r="T3" s="19">
        <v>356</v>
      </c>
      <c r="U3" s="19">
        <v>28</v>
      </c>
      <c r="V3" s="19">
        <v>44</v>
      </c>
      <c r="W3" s="19">
        <v>36</v>
      </c>
      <c r="X3" s="19">
        <v>1368</v>
      </c>
      <c r="Y3" s="19">
        <v>16</v>
      </c>
      <c r="Z3" s="19">
        <v>52</v>
      </c>
      <c r="AA3" s="14">
        <v>1</v>
      </c>
    </row>
    <row r="4" spans="1:27">
      <c r="A4" s="16">
        <v>46147.020833333336</v>
      </c>
      <c r="B4" s="17">
        <v>46147</v>
      </c>
      <c r="C4" s="18">
        <v>2.0833333333333332E-2</v>
      </c>
      <c r="D4" t="s">
        <v>73</v>
      </c>
      <c r="E4" t="s">
        <v>142</v>
      </c>
      <c r="F4">
        <v>1</v>
      </c>
      <c r="G4" s="4">
        <v>0</v>
      </c>
      <c r="H4" s="4">
        <v>0</v>
      </c>
      <c r="I4" s="4">
        <v>8.36</v>
      </c>
      <c r="J4" s="4">
        <v>27.35</v>
      </c>
      <c r="K4" s="4">
        <v>27.35</v>
      </c>
      <c r="L4" s="4">
        <v>5.65</v>
      </c>
      <c r="M4" s="4">
        <v>17.71</v>
      </c>
      <c r="N4" s="4">
        <v>17.71</v>
      </c>
      <c r="O4" s="4">
        <v>4.26</v>
      </c>
      <c r="P4" s="4">
        <v>36.770000000000003</v>
      </c>
      <c r="Q4" s="4">
        <v>36.770000000000003</v>
      </c>
      <c r="R4" s="4">
        <v>23.45</v>
      </c>
      <c r="S4" s="19">
        <v>12</v>
      </c>
      <c r="T4" s="19">
        <v>344</v>
      </c>
      <c r="U4" s="19">
        <v>0</v>
      </c>
      <c r="V4" s="19">
        <v>32</v>
      </c>
      <c r="W4" s="19">
        <v>32</v>
      </c>
      <c r="X4" s="19">
        <v>1352</v>
      </c>
      <c r="Y4" s="19">
        <v>32</v>
      </c>
      <c r="Z4" s="19">
        <v>36</v>
      </c>
      <c r="AA4" s="14">
        <v>0</v>
      </c>
    </row>
    <row r="5" spans="1:27">
      <c r="A5" s="16">
        <v>46147.03125</v>
      </c>
      <c r="B5" s="17">
        <v>46147</v>
      </c>
      <c r="C5" s="18">
        <v>3.125E-2</v>
      </c>
      <c r="D5" t="s">
        <v>73</v>
      </c>
      <c r="E5" t="s">
        <v>142</v>
      </c>
      <c r="F5">
        <v>1</v>
      </c>
      <c r="G5" s="4">
        <v>40.5</v>
      </c>
      <c r="H5" s="4">
        <v>40.5</v>
      </c>
      <c r="I5" s="4">
        <v>2.9</v>
      </c>
      <c r="J5" s="4">
        <v>0</v>
      </c>
      <c r="K5" s="4">
        <v>0</v>
      </c>
      <c r="L5" s="4">
        <v>8.27</v>
      </c>
      <c r="M5" s="4">
        <v>12.3</v>
      </c>
      <c r="N5" s="4">
        <v>12.3</v>
      </c>
      <c r="O5" s="4">
        <v>8.0299999999999994</v>
      </c>
      <c r="P5" s="4">
        <v>15.38</v>
      </c>
      <c r="Q5" s="4">
        <v>15.38</v>
      </c>
      <c r="R5" s="4">
        <v>18.07</v>
      </c>
      <c r="S5" s="19">
        <v>12</v>
      </c>
      <c r="T5" s="19">
        <v>744</v>
      </c>
      <c r="U5" s="19">
        <v>12</v>
      </c>
      <c r="V5" s="19">
        <v>72</v>
      </c>
      <c r="W5" s="19">
        <v>36</v>
      </c>
      <c r="X5" s="19">
        <v>1320</v>
      </c>
      <c r="Y5" s="19">
        <v>16</v>
      </c>
      <c r="Z5" s="19">
        <v>32</v>
      </c>
      <c r="AA5" s="14">
        <v>0</v>
      </c>
    </row>
    <row r="6" spans="1:27">
      <c r="A6" s="16">
        <v>46147.041666666664</v>
      </c>
      <c r="B6" s="17">
        <v>46147</v>
      </c>
      <c r="C6" s="18">
        <v>4.1666666666666664E-2</v>
      </c>
      <c r="D6" t="s">
        <v>73</v>
      </c>
      <c r="E6" t="s">
        <v>142</v>
      </c>
      <c r="F6">
        <v>1</v>
      </c>
      <c r="G6" s="4">
        <v>11.25</v>
      </c>
      <c r="H6" s="4">
        <v>11.25</v>
      </c>
      <c r="I6" s="4">
        <v>4.75</v>
      </c>
      <c r="J6" s="4">
        <v>0</v>
      </c>
      <c r="K6" s="4">
        <v>0</v>
      </c>
      <c r="L6" s="4">
        <v>11.87</v>
      </c>
      <c r="M6" s="4">
        <v>15.16</v>
      </c>
      <c r="N6" s="4">
        <v>15.16</v>
      </c>
      <c r="O6" s="4">
        <v>1.65</v>
      </c>
      <c r="P6" s="4">
        <v>15.93</v>
      </c>
      <c r="Q6" s="4">
        <v>15.93</v>
      </c>
      <c r="R6" s="4">
        <v>14.58</v>
      </c>
      <c r="S6" s="19">
        <v>12</v>
      </c>
      <c r="T6" s="19">
        <v>916</v>
      </c>
      <c r="U6" s="19">
        <v>20</v>
      </c>
      <c r="V6" s="19">
        <v>96</v>
      </c>
      <c r="W6" s="19">
        <v>40</v>
      </c>
      <c r="X6" s="19">
        <v>1388</v>
      </c>
      <c r="Y6" s="19">
        <v>52</v>
      </c>
      <c r="Z6" s="19">
        <v>16</v>
      </c>
      <c r="AA6" s="14">
        <v>0</v>
      </c>
    </row>
    <row r="7" spans="1:27">
      <c r="A7" s="16">
        <v>46147.052083333336</v>
      </c>
      <c r="B7" s="17">
        <v>46147</v>
      </c>
      <c r="C7" s="18">
        <v>5.2083333333333336E-2</v>
      </c>
      <c r="D7" t="s">
        <v>73</v>
      </c>
      <c r="E7" t="s">
        <v>142</v>
      </c>
      <c r="F7">
        <v>1</v>
      </c>
      <c r="G7" s="4">
        <v>0</v>
      </c>
      <c r="H7" s="4">
        <v>0</v>
      </c>
      <c r="I7" s="4">
        <v>6.7</v>
      </c>
      <c r="J7" s="4">
        <v>23.3</v>
      </c>
      <c r="K7" s="4">
        <v>23.3</v>
      </c>
      <c r="L7" s="4">
        <v>20.46</v>
      </c>
      <c r="M7" s="4">
        <v>14.49</v>
      </c>
      <c r="N7" s="4">
        <v>14.49</v>
      </c>
      <c r="O7" s="4">
        <v>4.5</v>
      </c>
      <c r="P7" s="4">
        <v>19.57</v>
      </c>
      <c r="Q7" s="4">
        <v>19.57</v>
      </c>
      <c r="R7" s="4">
        <v>10.35</v>
      </c>
      <c r="S7" s="19">
        <v>4</v>
      </c>
      <c r="T7" s="19">
        <v>704</v>
      </c>
      <c r="U7" s="19">
        <v>4</v>
      </c>
      <c r="V7" s="19">
        <v>60</v>
      </c>
      <c r="W7" s="19">
        <v>12</v>
      </c>
      <c r="X7" s="19">
        <v>1484</v>
      </c>
      <c r="Y7" s="19">
        <v>12</v>
      </c>
      <c r="Z7" s="19">
        <v>32</v>
      </c>
      <c r="AA7" s="14">
        <v>1</v>
      </c>
    </row>
    <row r="8" spans="1:27">
      <c r="A8" s="16">
        <v>46147.0625</v>
      </c>
      <c r="B8" s="17">
        <v>46147</v>
      </c>
      <c r="C8" s="18">
        <v>6.25E-2</v>
      </c>
      <c r="D8" t="s">
        <v>73</v>
      </c>
      <c r="E8" t="s">
        <v>142</v>
      </c>
      <c r="F8">
        <v>1</v>
      </c>
      <c r="G8" s="4">
        <v>8.6</v>
      </c>
      <c r="H8" s="4">
        <v>8.6</v>
      </c>
      <c r="I8" s="4">
        <v>10.38</v>
      </c>
      <c r="J8" s="4">
        <v>17.600000000000001</v>
      </c>
      <c r="K8" s="4">
        <v>17.600000000000001</v>
      </c>
      <c r="L8" s="4">
        <v>9.6</v>
      </c>
      <c r="M8" s="4">
        <v>27.8</v>
      </c>
      <c r="N8" s="4">
        <v>27.8</v>
      </c>
      <c r="O8" s="4">
        <v>6.69</v>
      </c>
      <c r="P8" s="4">
        <v>0</v>
      </c>
      <c r="Q8" s="4">
        <v>0</v>
      </c>
      <c r="R8" s="4">
        <v>9.4</v>
      </c>
      <c r="S8" s="19">
        <v>36</v>
      </c>
      <c r="T8" s="19">
        <v>580</v>
      </c>
      <c r="U8" s="19">
        <v>4</v>
      </c>
      <c r="V8" s="19">
        <v>24</v>
      </c>
      <c r="W8" s="19">
        <v>28</v>
      </c>
      <c r="X8" s="19">
        <v>1304</v>
      </c>
      <c r="Y8" s="19">
        <v>12</v>
      </c>
      <c r="Z8" s="19">
        <v>20</v>
      </c>
      <c r="AA8" s="14">
        <v>0</v>
      </c>
    </row>
    <row r="9" spans="1:27">
      <c r="A9" s="16">
        <v>46147.072916666664</v>
      </c>
      <c r="B9" s="17">
        <v>46147</v>
      </c>
      <c r="C9" s="18">
        <v>7.2916666666666671E-2</v>
      </c>
      <c r="D9" t="s">
        <v>73</v>
      </c>
      <c r="E9" t="s">
        <v>142</v>
      </c>
      <c r="F9">
        <v>1</v>
      </c>
      <c r="G9" s="4">
        <v>7.3</v>
      </c>
      <c r="H9" s="4">
        <v>7.3</v>
      </c>
      <c r="I9" s="4">
        <v>6.4</v>
      </c>
      <c r="J9" s="4">
        <v>0</v>
      </c>
      <c r="K9" s="4">
        <v>0</v>
      </c>
      <c r="L9" s="4">
        <v>8.1999999999999993</v>
      </c>
      <c r="M9" s="4">
        <v>20.9</v>
      </c>
      <c r="N9" s="4">
        <v>20.9</v>
      </c>
      <c r="O9" s="4">
        <v>2.83</v>
      </c>
      <c r="P9" s="4">
        <v>58.3</v>
      </c>
      <c r="Q9" s="4">
        <v>58.3</v>
      </c>
      <c r="R9" s="4">
        <v>15.66</v>
      </c>
      <c r="S9" s="19">
        <v>4</v>
      </c>
      <c r="T9" s="19">
        <v>696</v>
      </c>
      <c r="U9" s="19">
        <v>0</v>
      </c>
      <c r="V9" s="19">
        <v>36</v>
      </c>
      <c r="W9" s="19">
        <v>12</v>
      </c>
      <c r="X9" s="19">
        <v>1204</v>
      </c>
      <c r="Y9" s="19">
        <v>4</v>
      </c>
      <c r="Z9" s="19">
        <v>8</v>
      </c>
      <c r="AA9" s="14">
        <v>0</v>
      </c>
    </row>
    <row r="10" spans="1:27">
      <c r="A10" s="16">
        <v>46147.083333333336</v>
      </c>
      <c r="B10" s="17">
        <v>46147</v>
      </c>
      <c r="C10" s="18">
        <v>8.3333333333333329E-2</v>
      </c>
      <c r="D10" t="s">
        <v>73</v>
      </c>
      <c r="E10" t="s">
        <v>142</v>
      </c>
      <c r="F10">
        <v>1</v>
      </c>
      <c r="G10" s="4">
        <v>6.1</v>
      </c>
      <c r="H10" s="4">
        <v>6.1</v>
      </c>
      <c r="I10" s="4">
        <v>7.15</v>
      </c>
      <c r="J10" s="4">
        <v>0</v>
      </c>
      <c r="K10" s="4">
        <v>0</v>
      </c>
      <c r="L10" s="4">
        <v>6.55</v>
      </c>
      <c r="M10" s="4">
        <v>5.9</v>
      </c>
      <c r="N10" s="4">
        <v>5.9</v>
      </c>
      <c r="O10" s="4">
        <v>4.8499999999999996</v>
      </c>
      <c r="P10" s="4">
        <v>0</v>
      </c>
      <c r="Q10" s="4">
        <v>0</v>
      </c>
      <c r="R10" s="4">
        <v>6.2</v>
      </c>
      <c r="S10" s="19">
        <v>24</v>
      </c>
      <c r="T10" s="19">
        <v>652</v>
      </c>
      <c r="U10" s="19">
        <v>0</v>
      </c>
      <c r="V10" s="19">
        <v>60</v>
      </c>
      <c r="W10" s="19">
        <v>16</v>
      </c>
      <c r="X10" s="19">
        <v>1208</v>
      </c>
      <c r="Y10" s="19">
        <v>16</v>
      </c>
      <c r="Z10" s="19">
        <v>24</v>
      </c>
      <c r="AA10" s="14">
        <v>0</v>
      </c>
    </row>
    <row r="11" spans="1:27">
      <c r="A11" s="16">
        <v>46147.09375</v>
      </c>
      <c r="B11" s="17">
        <v>46147</v>
      </c>
      <c r="C11" s="18">
        <v>9.375E-2</v>
      </c>
      <c r="D11" t="s">
        <v>73</v>
      </c>
      <c r="E11" t="s">
        <v>142</v>
      </c>
      <c r="F11">
        <v>1</v>
      </c>
      <c r="G11" s="4">
        <v>4.5</v>
      </c>
      <c r="H11" s="4">
        <v>4.5</v>
      </c>
      <c r="I11" s="4">
        <v>5.6</v>
      </c>
      <c r="J11" s="4">
        <v>0</v>
      </c>
      <c r="K11" s="4">
        <v>0</v>
      </c>
      <c r="L11" s="4">
        <v>9.4600000000000009</v>
      </c>
      <c r="M11" s="4">
        <v>11.2</v>
      </c>
      <c r="N11" s="4">
        <v>11.2</v>
      </c>
      <c r="O11" s="4">
        <v>1.08</v>
      </c>
      <c r="P11" s="4">
        <v>28.3</v>
      </c>
      <c r="Q11" s="4">
        <v>28.3</v>
      </c>
      <c r="R11" s="4">
        <v>17.8</v>
      </c>
      <c r="S11" s="19">
        <v>36</v>
      </c>
      <c r="T11" s="19">
        <v>484</v>
      </c>
      <c r="U11" s="19">
        <v>8</v>
      </c>
      <c r="V11" s="19">
        <v>44</v>
      </c>
      <c r="W11" s="19">
        <v>12</v>
      </c>
      <c r="X11" s="19">
        <v>1080</v>
      </c>
      <c r="Y11" s="19">
        <v>20</v>
      </c>
      <c r="Z11" s="19">
        <v>0</v>
      </c>
      <c r="AA11" s="14">
        <v>0</v>
      </c>
    </row>
    <row r="12" spans="1:27">
      <c r="A12" s="16">
        <v>46147.104166666664</v>
      </c>
      <c r="B12" s="17">
        <v>46147</v>
      </c>
      <c r="C12" s="18">
        <v>0.10416666666666667</v>
      </c>
      <c r="D12" t="s">
        <v>73</v>
      </c>
      <c r="E12" t="s">
        <v>142</v>
      </c>
      <c r="F12">
        <v>1</v>
      </c>
      <c r="G12" s="4">
        <v>0</v>
      </c>
      <c r="H12" s="4">
        <v>0</v>
      </c>
      <c r="I12" s="4">
        <v>1</v>
      </c>
      <c r="J12" s="4">
        <v>6.95</v>
      </c>
      <c r="K12" s="4">
        <v>6.95</v>
      </c>
      <c r="L12" s="4">
        <v>13.1</v>
      </c>
      <c r="M12" s="4">
        <v>28.05</v>
      </c>
      <c r="N12" s="4">
        <v>28.05</v>
      </c>
      <c r="O12" s="4">
        <v>1.33</v>
      </c>
      <c r="P12" s="4">
        <v>14.23</v>
      </c>
      <c r="Q12" s="4">
        <v>14.23</v>
      </c>
      <c r="R12" s="4">
        <v>0</v>
      </c>
      <c r="S12" s="19">
        <v>4</v>
      </c>
      <c r="T12" s="19">
        <v>644</v>
      </c>
      <c r="U12" s="19">
        <v>0</v>
      </c>
      <c r="V12" s="19">
        <v>4</v>
      </c>
      <c r="W12" s="19">
        <v>12</v>
      </c>
      <c r="X12" s="19">
        <v>1100</v>
      </c>
      <c r="Y12" s="19">
        <v>0</v>
      </c>
      <c r="Z12" s="19">
        <v>8</v>
      </c>
      <c r="AA12" s="14">
        <v>0</v>
      </c>
    </row>
    <row r="13" spans="1:27">
      <c r="A13" s="16">
        <v>46147.114583333336</v>
      </c>
      <c r="B13" s="17">
        <v>46147</v>
      </c>
      <c r="C13" s="18">
        <v>0.11458333333333333</v>
      </c>
      <c r="D13" t="s">
        <v>73</v>
      </c>
      <c r="E13" t="s">
        <v>142</v>
      </c>
      <c r="F13">
        <v>1</v>
      </c>
      <c r="G13" s="4">
        <v>6.1</v>
      </c>
      <c r="H13" s="4">
        <v>6.1</v>
      </c>
      <c r="I13" s="4">
        <v>2</v>
      </c>
      <c r="J13" s="4">
        <v>0</v>
      </c>
      <c r="K13" s="4">
        <v>0</v>
      </c>
      <c r="L13" s="4">
        <v>6.1</v>
      </c>
      <c r="M13" s="4">
        <v>7.07</v>
      </c>
      <c r="N13" s="4">
        <v>7.07</v>
      </c>
      <c r="O13" s="4">
        <v>0.7</v>
      </c>
      <c r="P13" s="4">
        <v>0</v>
      </c>
      <c r="Q13" s="4">
        <v>0</v>
      </c>
      <c r="R13" s="4">
        <v>12.75</v>
      </c>
      <c r="S13" s="19">
        <v>0</v>
      </c>
      <c r="T13" s="19">
        <v>420</v>
      </c>
      <c r="U13" s="19">
        <v>4</v>
      </c>
      <c r="V13" s="19">
        <v>20</v>
      </c>
      <c r="W13" s="19">
        <v>20</v>
      </c>
      <c r="X13" s="19">
        <v>832</v>
      </c>
      <c r="Y13" s="19">
        <v>12</v>
      </c>
      <c r="Z13" s="19">
        <v>16</v>
      </c>
      <c r="AA13" s="14">
        <v>0</v>
      </c>
    </row>
    <row r="14" spans="1:27">
      <c r="A14" s="16">
        <v>46147.125</v>
      </c>
      <c r="B14" s="17">
        <v>46147</v>
      </c>
      <c r="C14" s="18">
        <v>0.125</v>
      </c>
      <c r="D14" t="s">
        <v>73</v>
      </c>
      <c r="E14" t="s">
        <v>142</v>
      </c>
      <c r="F14">
        <v>1</v>
      </c>
      <c r="G14" s="4">
        <v>0</v>
      </c>
      <c r="H14" s="4">
        <v>0</v>
      </c>
      <c r="I14" s="4">
        <v>1.6</v>
      </c>
      <c r="J14" s="4">
        <v>12.6</v>
      </c>
      <c r="K14" s="4">
        <v>12.6</v>
      </c>
      <c r="L14" s="4">
        <v>8</v>
      </c>
      <c r="M14" s="4">
        <v>8.93</v>
      </c>
      <c r="N14" s="4">
        <v>8.93</v>
      </c>
      <c r="O14" s="4">
        <v>3.17</v>
      </c>
      <c r="P14" s="4">
        <v>6.1</v>
      </c>
      <c r="Q14" s="4">
        <v>6.1</v>
      </c>
      <c r="R14" s="4">
        <v>6.1</v>
      </c>
      <c r="S14" s="19">
        <v>4</v>
      </c>
      <c r="T14" s="19">
        <v>472</v>
      </c>
      <c r="U14" s="19">
        <v>4</v>
      </c>
      <c r="V14" s="19">
        <v>8</v>
      </c>
      <c r="W14" s="19">
        <v>4</v>
      </c>
      <c r="X14" s="19">
        <v>1000</v>
      </c>
      <c r="Y14" s="19">
        <v>4</v>
      </c>
      <c r="Z14" s="19">
        <v>8</v>
      </c>
      <c r="AA14" s="14">
        <v>0</v>
      </c>
    </row>
    <row r="15" spans="1:27">
      <c r="A15" s="16">
        <v>46147.135416666664</v>
      </c>
      <c r="B15" s="17">
        <v>46147</v>
      </c>
      <c r="C15" s="18">
        <v>0.13541666666666666</v>
      </c>
      <c r="D15" t="s">
        <v>73</v>
      </c>
      <c r="E15" t="s">
        <v>142</v>
      </c>
      <c r="F15">
        <v>1</v>
      </c>
      <c r="G15" s="4">
        <v>7.1</v>
      </c>
      <c r="H15" s="4">
        <v>7.1</v>
      </c>
      <c r="I15" s="4">
        <v>1.03</v>
      </c>
      <c r="J15" s="4">
        <v>6.1</v>
      </c>
      <c r="K15" s="4">
        <v>6.1</v>
      </c>
      <c r="L15" s="4">
        <v>0</v>
      </c>
      <c r="M15" s="4">
        <v>7.3</v>
      </c>
      <c r="N15" s="4">
        <v>7.3</v>
      </c>
      <c r="O15" s="4">
        <v>6.3</v>
      </c>
      <c r="P15" s="4">
        <v>6.1</v>
      </c>
      <c r="Q15" s="4">
        <v>6.1</v>
      </c>
      <c r="R15" s="4">
        <v>6.5</v>
      </c>
      <c r="S15" s="19">
        <v>0</v>
      </c>
      <c r="T15" s="19">
        <v>312</v>
      </c>
      <c r="U15" s="19">
        <v>0</v>
      </c>
      <c r="V15" s="19">
        <v>16</v>
      </c>
      <c r="W15" s="19">
        <v>4</v>
      </c>
      <c r="X15" s="19">
        <v>1192</v>
      </c>
      <c r="Y15" s="19">
        <v>12</v>
      </c>
      <c r="Z15" s="19">
        <v>20</v>
      </c>
      <c r="AA15" s="14">
        <v>0</v>
      </c>
    </row>
    <row r="16" spans="1:27">
      <c r="A16" s="16">
        <v>46147.145833333336</v>
      </c>
      <c r="B16" s="17">
        <v>46147</v>
      </c>
      <c r="C16" s="18">
        <v>0.14583333333333334</v>
      </c>
      <c r="D16" t="s">
        <v>73</v>
      </c>
      <c r="E16" t="s">
        <v>142</v>
      </c>
      <c r="F16">
        <v>1</v>
      </c>
      <c r="G16" s="4">
        <v>0</v>
      </c>
      <c r="H16" s="4">
        <v>0</v>
      </c>
      <c r="I16" s="4">
        <v>1.1000000000000001</v>
      </c>
      <c r="J16" s="4">
        <v>0</v>
      </c>
      <c r="K16" s="4">
        <v>0</v>
      </c>
      <c r="L16" s="4">
        <v>6.1</v>
      </c>
      <c r="M16" s="4">
        <v>6.1</v>
      </c>
      <c r="N16" s="4">
        <v>6.1</v>
      </c>
      <c r="O16" s="4">
        <v>1.3</v>
      </c>
      <c r="P16" s="4">
        <v>7.4</v>
      </c>
      <c r="Q16" s="4">
        <v>7.4</v>
      </c>
      <c r="R16" s="4">
        <v>10.38</v>
      </c>
      <c r="S16" s="19">
        <v>28</v>
      </c>
      <c r="T16" s="19">
        <v>500</v>
      </c>
      <c r="U16" s="19">
        <v>4</v>
      </c>
      <c r="V16" s="19">
        <v>28</v>
      </c>
      <c r="W16" s="19">
        <v>24</v>
      </c>
      <c r="X16" s="19">
        <v>1352</v>
      </c>
      <c r="Y16" s="19">
        <v>20</v>
      </c>
      <c r="Z16" s="19">
        <v>20</v>
      </c>
      <c r="AA16" s="14">
        <v>0</v>
      </c>
    </row>
    <row r="17" spans="1:27">
      <c r="A17" s="16">
        <v>46147.15625</v>
      </c>
      <c r="B17" s="17">
        <v>46147</v>
      </c>
      <c r="C17" s="18">
        <v>0.15625</v>
      </c>
      <c r="D17" t="s">
        <v>73</v>
      </c>
      <c r="E17" t="s">
        <v>142</v>
      </c>
      <c r="F17">
        <v>1</v>
      </c>
      <c r="G17" s="4">
        <v>36.700000000000003</v>
      </c>
      <c r="H17" s="4">
        <v>36.700000000000003</v>
      </c>
      <c r="I17" s="4">
        <v>3.67</v>
      </c>
      <c r="J17" s="4">
        <v>27.5</v>
      </c>
      <c r="K17" s="4">
        <v>27.5</v>
      </c>
      <c r="L17" s="4">
        <v>9.17</v>
      </c>
      <c r="M17" s="4">
        <v>8.6199999999999992</v>
      </c>
      <c r="N17" s="4">
        <v>8.6199999999999992</v>
      </c>
      <c r="O17" s="4">
        <v>4.3099999999999996</v>
      </c>
      <c r="P17" s="4">
        <v>24.85</v>
      </c>
      <c r="Q17" s="4">
        <v>24.85</v>
      </c>
      <c r="R17" s="4">
        <v>15.85</v>
      </c>
      <c r="S17" s="19">
        <v>8</v>
      </c>
      <c r="T17" s="19">
        <v>632</v>
      </c>
      <c r="U17" s="19">
        <v>0</v>
      </c>
      <c r="V17" s="19">
        <v>28</v>
      </c>
      <c r="W17" s="19">
        <v>4</v>
      </c>
      <c r="X17" s="19">
        <v>1308</v>
      </c>
      <c r="Y17" s="19">
        <v>4</v>
      </c>
      <c r="Z17" s="19">
        <v>28</v>
      </c>
      <c r="AA17" s="14">
        <v>1</v>
      </c>
    </row>
    <row r="18" spans="1:27">
      <c r="A18" s="16">
        <v>46147.166666666664</v>
      </c>
      <c r="B18" s="17">
        <v>46147</v>
      </c>
      <c r="C18" s="18">
        <v>0.16666666666666666</v>
      </c>
      <c r="D18" t="s">
        <v>73</v>
      </c>
      <c r="E18" t="s">
        <v>142</v>
      </c>
      <c r="F18">
        <v>1</v>
      </c>
      <c r="G18" s="4">
        <v>0</v>
      </c>
      <c r="H18" s="4">
        <v>0</v>
      </c>
      <c r="I18" s="4">
        <v>7.1</v>
      </c>
      <c r="J18" s="4">
        <v>0</v>
      </c>
      <c r="K18" s="4">
        <v>0</v>
      </c>
      <c r="L18" s="4">
        <v>6.6</v>
      </c>
      <c r="M18" s="4">
        <v>6.1</v>
      </c>
      <c r="N18" s="4">
        <v>6.1</v>
      </c>
      <c r="O18" s="4">
        <v>8.68</v>
      </c>
      <c r="P18" s="4">
        <v>6.5</v>
      </c>
      <c r="Q18" s="4">
        <v>6.5</v>
      </c>
      <c r="R18" s="4">
        <v>7.2</v>
      </c>
      <c r="S18" s="19">
        <v>8</v>
      </c>
      <c r="T18" s="19">
        <v>1008</v>
      </c>
      <c r="U18" s="19">
        <v>12</v>
      </c>
      <c r="V18" s="19">
        <v>68</v>
      </c>
      <c r="W18" s="19">
        <v>8</v>
      </c>
      <c r="X18" s="19">
        <v>1308</v>
      </c>
      <c r="Y18" s="19">
        <v>8</v>
      </c>
      <c r="Z18" s="19">
        <v>20</v>
      </c>
      <c r="AA18" s="14">
        <v>1</v>
      </c>
    </row>
    <row r="19" spans="1:27">
      <c r="A19" s="16">
        <v>46147.177083333336</v>
      </c>
      <c r="B19" s="17">
        <v>46147</v>
      </c>
      <c r="C19" s="18">
        <v>0.17708333333333334</v>
      </c>
      <c r="D19" t="s">
        <v>73</v>
      </c>
      <c r="E19" t="s">
        <v>142</v>
      </c>
      <c r="F19">
        <v>1</v>
      </c>
      <c r="G19" s="4">
        <v>8.5</v>
      </c>
      <c r="H19" s="4">
        <v>8.5</v>
      </c>
      <c r="I19" s="4">
        <v>6.58</v>
      </c>
      <c r="J19" s="4">
        <v>22.4</v>
      </c>
      <c r="K19" s="4">
        <v>22.4</v>
      </c>
      <c r="L19" s="4">
        <v>4.1500000000000004</v>
      </c>
      <c r="M19" s="4">
        <v>7.95</v>
      </c>
      <c r="N19" s="4">
        <v>7.95</v>
      </c>
      <c r="O19" s="4">
        <v>3.26</v>
      </c>
      <c r="P19" s="4">
        <v>0</v>
      </c>
      <c r="Q19" s="4">
        <v>0</v>
      </c>
      <c r="R19" s="4">
        <v>7.47</v>
      </c>
      <c r="S19" s="19">
        <v>36</v>
      </c>
      <c r="T19" s="19">
        <v>1856</v>
      </c>
      <c r="U19" s="19">
        <v>4</v>
      </c>
      <c r="V19" s="19">
        <v>24</v>
      </c>
      <c r="W19" s="19">
        <v>4</v>
      </c>
      <c r="X19" s="19">
        <v>1244</v>
      </c>
      <c r="Y19" s="19">
        <v>8</v>
      </c>
      <c r="Z19" s="19">
        <v>28</v>
      </c>
      <c r="AA19" s="14">
        <v>0</v>
      </c>
    </row>
    <row r="20" spans="1:27">
      <c r="A20" s="16">
        <v>46147.1875</v>
      </c>
      <c r="B20" s="17">
        <v>46147</v>
      </c>
      <c r="C20" s="18">
        <v>0.1875</v>
      </c>
      <c r="D20" t="s">
        <v>73</v>
      </c>
      <c r="E20" t="s">
        <v>142</v>
      </c>
      <c r="F20">
        <v>1</v>
      </c>
      <c r="G20" s="4">
        <v>18.649999999999999</v>
      </c>
      <c r="H20" s="4">
        <v>18.649999999999999</v>
      </c>
      <c r="I20" s="4">
        <v>4.95</v>
      </c>
      <c r="J20" s="4">
        <v>0</v>
      </c>
      <c r="K20" s="4">
        <v>0</v>
      </c>
      <c r="L20" s="4">
        <v>11.05</v>
      </c>
      <c r="M20" s="4">
        <v>6.1</v>
      </c>
      <c r="N20" s="4">
        <v>6.1</v>
      </c>
      <c r="O20" s="4">
        <v>1.67</v>
      </c>
      <c r="P20" s="4">
        <v>14.2</v>
      </c>
      <c r="Q20" s="4">
        <v>14.2</v>
      </c>
      <c r="R20" s="4">
        <v>10.44</v>
      </c>
      <c r="S20" s="19">
        <v>8</v>
      </c>
      <c r="T20" s="19">
        <v>1872</v>
      </c>
      <c r="U20" s="19">
        <v>12</v>
      </c>
      <c r="V20" s="19">
        <v>56</v>
      </c>
      <c r="W20" s="19">
        <v>28</v>
      </c>
      <c r="X20" s="19">
        <v>1524</v>
      </c>
      <c r="Y20" s="19">
        <v>16</v>
      </c>
      <c r="Z20" s="19">
        <v>60</v>
      </c>
      <c r="AA20" s="14">
        <v>0</v>
      </c>
    </row>
    <row r="21" spans="1:27">
      <c r="A21" s="16">
        <v>46147.197916666664</v>
      </c>
      <c r="B21" s="17">
        <v>46147</v>
      </c>
      <c r="C21" s="18">
        <v>0.19791666666666666</v>
      </c>
      <c r="D21" t="s">
        <v>73</v>
      </c>
      <c r="E21" t="s">
        <v>142</v>
      </c>
      <c r="F21">
        <v>1</v>
      </c>
      <c r="G21" s="4">
        <v>1.7</v>
      </c>
      <c r="H21" s="4">
        <v>1.7</v>
      </c>
      <c r="I21" s="4">
        <v>2.4700000000000002</v>
      </c>
      <c r="J21" s="4">
        <v>6.5</v>
      </c>
      <c r="K21" s="4">
        <v>6.5</v>
      </c>
      <c r="L21" s="4">
        <v>10.73</v>
      </c>
      <c r="M21" s="4">
        <v>21</v>
      </c>
      <c r="N21" s="4">
        <v>21</v>
      </c>
      <c r="O21" s="4">
        <v>7.47</v>
      </c>
      <c r="P21" s="4">
        <v>20.7</v>
      </c>
      <c r="Q21" s="4">
        <v>20.7</v>
      </c>
      <c r="R21" s="4">
        <v>17.149999999999999</v>
      </c>
      <c r="S21" s="19">
        <v>8</v>
      </c>
      <c r="T21" s="19">
        <v>2116</v>
      </c>
      <c r="U21" s="19">
        <v>20</v>
      </c>
      <c r="V21" s="19">
        <v>20</v>
      </c>
      <c r="W21" s="19">
        <v>32</v>
      </c>
      <c r="X21" s="19">
        <v>2064</v>
      </c>
      <c r="Y21" s="19">
        <v>16</v>
      </c>
      <c r="Z21" s="19">
        <v>92</v>
      </c>
      <c r="AA21" s="14">
        <v>1</v>
      </c>
    </row>
    <row r="22" spans="1:27">
      <c r="A22" s="16">
        <v>46147.208333333336</v>
      </c>
      <c r="B22" s="17">
        <v>46147</v>
      </c>
      <c r="C22" s="18">
        <v>0.20833333333333334</v>
      </c>
      <c r="D22" t="s">
        <v>73</v>
      </c>
      <c r="E22" t="s">
        <v>142</v>
      </c>
      <c r="F22">
        <v>1</v>
      </c>
      <c r="G22" s="4">
        <v>43.5</v>
      </c>
      <c r="H22" s="4">
        <v>43.5</v>
      </c>
      <c r="I22" s="4">
        <v>6.75</v>
      </c>
      <c r="J22" s="4">
        <v>19.07</v>
      </c>
      <c r="K22" s="4">
        <v>19.07</v>
      </c>
      <c r="L22" s="4">
        <v>16.75</v>
      </c>
      <c r="M22" s="4">
        <v>22.68</v>
      </c>
      <c r="N22" s="4">
        <v>22.68</v>
      </c>
      <c r="O22" s="4">
        <v>4.88</v>
      </c>
      <c r="P22" s="4">
        <v>15</v>
      </c>
      <c r="Q22" s="4">
        <v>15</v>
      </c>
      <c r="R22" s="4">
        <v>12.83</v>
      </c>
      <c r="S22" s="19">
        <v>0</v>
      </c>
      <c r="T22" s="19">
        <v>2120</v>
      </c>
      <c r="U22" s="19">
        <v>12</v>
      </c>
      <c r="V22" s="19">
        <v>84</v>
      </c>
      <c r="W22" s="19">
        <v>28</v>
      </c>
      <c r="X22" s="19">
        <v>1252</v>
      </c>
      <c r="Y22" s="19">
        <v>0</v>
      </c>
      <c r="Z22" s="19">
        <v>88</v>
      </c>
      <c r="AA22" s="14">
        <v>0</v>
      </c>
    </row>
    <row r="23" spans="1:27">
      <c r="A23" s="16">
        <v>46147.21875</v>
      </c>
      <c r="B23" s="17">
        <v>46147</v>
      </c>
      <c r="C23" s="18">
        <v>0.21875</v>
      </c>
      <c r="D23" t="s">
        <v>73</v>
      </c>
      <c r="E23" t="s">
        <v>142</v>
      </c>
      <c r="F23">
        <v>1</v>
      </c>
      <c r="G23" s="4">
        <v>0</v>
      </c>
      <c r="H23" s="4">
        <v>0</v>
      </c>
      <c r="I23" s="4">
        <v>7.17</v>
      </c>
      <c r="J23" s="4">
        <v>0</v>
      </c>
      <c r="K23" s="4">
        <v>0</v>
      </c>
      <c r="L23" s="4">
        <v>25.05</v>
      </c>
      <c r="M23" s="4">
        <v>13.24</v>
      </c>
      <c r="N23" s="4">
        <v>13.24</v>
      </c>
      <c r="O23" s="4">
        <v>10.64</v>
      </c>
      <c r="P23" s="4">
        <v>0</v>
      </c>
      <c r="Q23" s="4">
        <v>0</v>
      </c>
      <c r="R23" s="4">
        <v>12.48</v>
      </c>
      <c r="S23" s="19">
        <v>12</v>
      </c>
      <c r="T23" s="19">
        <v>1844</v>
      </c>
      <c r="U23" s="19">
        <v>32</v>
      </c>
      <c r="V23" s="19">
        <v>120</v>
      </c>
      <c r="W23" s="19">
        <v>36</v>
      </c>
      <c r="X23" s="19">
        <v>1684</v>
      </c>
      <c r="Y23" s="19">
        <v>32</v>
      </c>
      <c r="Z23" s="19">
        <v>96</v>
      </c>
      <c r="AA23" s="14">
        <v>0</v>
      </c>
    </row>
    <row r="24" spans="1:27">
      <c r="A24" s="16">
        <v>46147.229166666664</v>
      </c>
      <c r="B24" s="17">
        <v>46147</v>
      </c>
      <c r="C24" s="18">
        <v>0.22916666666666666</v>
      </c>
      <c r="D24" t="s">
        <v>73</v>
      </c>
      <c r="E24" t="s">
        <v>142</v>
      </c>
      <c r="F24">
        <v>1</v>
      </c>
      <c r="G24" s="4">
        <v>17.45</v>
      </c>
      <c r="H24" s="4">
        <v>17.45</v>
      </c>
      <c r="I24" s="4">
        <v>10.84</v>
      </c>
      <c r="J24" s="4">
        <v>5.95</v>
      </c>
      <c r="K24" s="4">
        <v>5.95</v>
      </c>
      <c r="L24" s="4">
        <v>17.68</v>
      </c>
      <c r="M24" s="4">
        <v>29.69</v>
      </c>
      <c r="N24" s="4">
        <v>29.69</v>
      </c>
      <c r="O24" s="4">
        <v>12.93</v>
      </c>
      <c r="P24" s="4">
        <v>24.84</v>
      </c>
      <c r="Q24" s="4">
        <v>24.84</v>
      </c>
      <c r="R24" s="4">
        <v>21.29</v>
      </c>
      <c r="S24" s="19">
        <v>96</v>
      </c>
      <c r="T24" s="19">
        <v>1764</v>
      </c>
      <c r="U24" s="19">
        <v>16</v>
      </c>
      <c r="V24" s="19">
        <v>284</v>
      </c>
      <c r="W24" s="19">
        <v>56</v>
      </c>
      <c r="X24" s="19">
        <v>1876</v>
      </c>
      <c r="Y24" s="19">
        <v>44</v>
      </c>
      <c r="Z24" s="19">
        <v>116</v>
      </c>
      <c r="AA24" s="14">
        <v>0</v>
      </c>
    </row>
    <row r="25" spans="1:27">
      <c r="A25" s="16">
        <v>46147.239583333336</v>
      </c>
      <c r="B25" s="17">
        <v>46147</v>
      </c>
      <c r="C25" s="18">
        <v>0.23958333333333334</v>
      </c>
      <c r="D25" t="s">
        <v>73</v>
      </c>
      <c r="E25" t="s">
        <v>142</v>
      </c>
      <c r="F25">
        <v>1</v>
      </c>
      <c r="G25" s="4">
        <v>29.87</v>
      </c>
      <c r="H25" s="4">
        <v>29.87</v>
      </c>
      <c r="I25" s="4">
        <v>9.3699999999999992</v>
      </c>
      <c r="J25" s="4">
        <v>54.7</v>
      </c>
      <c r="K25" s="4">
        <v>54.7</v>
      </c>
      <c r="L25" s="4">
        <v>26.9</v>
      </c>
      <c r="M25" s="4">
        <v>24.39</v>
      </c>
      <c r="N25" s="4">
        <v>24.39</v>
      </c>
      <c r="O25" s="4">
        <v>21.93</v>
      </c>
      <c r="P25" s="4">
        <v>18.399999999999999</v>
      </c>
      <c r="Q25" s="4">
        <v>18.399999999999999</v>
      </c>
      <c r="R25" s="4">
        <v>23.95</v>
      </c>
      <c r="S25" s="19">
        <v>96</v>
      </c>
      <c r="T25" s="19">
        <v>1648</v>
      </c>
      <c r="U25" s="19">
        <v>36</v>
      </c>
      <c r="V25" s="19">
        <v>216</v>
      </c>
      <c r="W25" s="19">
        <v>84</v>
      </c>
      <c r="X25" s="19">
        <v>1868</v>
      </c>
      <c r="Y25" s="19">
        <v>48</v>
      </c>
      <c r="Z25" s="19">
        <v>140</v>
      </c>
      <c r="AA25" s="14">
        <v>1</v>
      </c>
    </row>
    <row r="26" spans="1:27">
      <c r="A26" s="16">
        <v>46147.25</v>
      </c>
      <c r="B26" s="17">
        <v>46147</v>
      </c>
      <c r="C26" s="18">
        <v>0.25</v>
      </c>
      <c r="D26" t="s">
        <v>73</v>
      </c>
      <c r="E26" t="s">
        <v>142</v>
      </c>
      <c r="F26">
        <v>1</v>
      </c>
      <c r="G26" s="4">
        <v>42.13</v>
      </c>
      <c r="H26" s="4">
        <v>42.13</v>
      </c>
      <c r="I26" s="4">
        <v>25.97</v>
      </c>
      <c r="J26" s="4">
        <v>60.38</v>
      </c>
      <c r="K26" s="4">
        <v>60.38</v>
      </c>
      <c r="L26" s="4">
        <v>22.05</v>
      </c>
      <c r="M26" s="4">
        <v>30.57</v>
      </c>
      <c r="N26" s="4">
        <v>30.57</v>
      </c>
      <c r="O26" s="4">
        <v>29.59</v>
      </c>
      <c r="P26" s="4">
        <v>38.979999999999997</v>
      </c>
      <c r="Q26" s="4">
        <v>38.979999999999997</v>
      </c>
      <c r="R26" s="4">
        <v>31.62</v>
      </c>
      <c r="S26" s="19">
        <v>120</v>
      </c>
      <c r="T26" s="19">
        <v>1464</v>
      </c>
      <c r="U26" s="19">
        <v>16</v>
      </c>
      <c r="V26" s="19">
        <v>168</v>
      </c>
      <c r="W26" s="19">
        <v>56</v>
      </c>
      <c r="X26" s="19">
        <v>1488</v>
      </c>
      <c r="Y26" s="19">
        <v>92</v>
      </c>
      <c r="Z26" s="19">
        <v>136</v>
      </c>
      <c r="AA26" s="14">
        <v>0</v>
      </c>
    </row>
    <row r="27" spans="1:27">
      <c r="A27" s="16">
        <v>46147.260416666664</v>
      </c>
      <c r="B27" s="17">
        <v>46147</v>
      </c>
      <c r="C27" s="18">
        <v>0.26041666666666669</v>
      </c>
      <c r="D27" t="s">
        <v>73</v>
      </c>
      <c r="E27" t="s">
        <v>142</v>
      </c>
      <c r="F27">
        <v>1</v>
      </c>
      <c r="G27" s="4">
        <v>42.72</v>
      </c>
      <c r="H27" s="4">
        <v>42.72</v>
      </c>
      <c r="I27" s="4">
        <v>20.96</v>
      </c>
      <c r="J27" s="4">
        <v>32.700000000000003</v>
      </c>
      <c r="K27" s="4">
        <v>32.700000000000003</v>
      </c>
      <c r="L27" s="4">
        <v>17.64</v>
      </c>
      <c r="M27" s="4">
        <v>37.26</v>
      </c>
      <c r="N27" s="4">
        <v>37.26</v>
      </c>
      <c r="O27" s="4">
        <v>32.26</v>
      </c>
      <c r="P27" s="4">
        <v>33.4</v>
      </c>
      <c r="Q27" s="4">
        <v>33.4</v>
      </c>
      <c r="R27" s="4">
        <v>28.18</v>
      </c>
      <c r="S27" s="19">
        <v>48</v>
      </c>
      <c r="T27" s="19">
        <v>1612</v>
      </c>
      <c r="U27" s="19">
        <v>32</v>
      </c>
      <c r="V27" s="19">
        <v>236</v>
      </c>
      <c r="W27" s="19">
        <v>64</v>
      </c>
      <c r="X27" s="19">
        <v>1936</v>
      </c>
      <c r="Y27" s="19">
        <v>52</v>
      </c>
      <c r="Z27" s="19">
        <v>148</v>
      </c>
      <c r="AA27" s="14">
        <v>1</v>
      </c>
    </row>
    <row r="28" spans="1:27">
      <c r="A28" s="16">
        <v>46147.270833333336</v>
      </c>
      <c r="B28" s="17">
        <v>46147</v>
      </c>
      <c r="C28" s="18">
        <v>0.27083333333333331</v>
      </c>
      <c r="D28" t="s">
        <v>73</v>
      </c>
      <c r="E28" t="s">
        <v>142</v>
      </c>
      <c r="F28">
        <v>1</v>
      </c>
      <c r="G28" s="4">
        <v>50.63</v>
      </c>
      <c r="H28" s="4">
        <v>50.63</v>
      </c>
      <c r="I28" s="4">
        <v>20.56</v>
      </c>
      <c r="J28" s="4">
        <v>18.77</v>
      </c>
      <c r="K28" s="4">
        <v>18.77</v>
      </c>
      <c r="L28" s="4">
        <v>23.8</v>
      </c>
      <c r="M28" s="4">
        <v>22.97</v>
      </c>
      <c r="N28" s="4">
        <v>22.97</v>
      </c>
      <c r="O28" s="4">
        <v>22.48</v>
      </c>
      <c r="P28" s="4">
        <v>82.84</v>
      </c>
      <c r="Q28" s="4">
        <v>82.84</v>
      </c>
      <c r="R28" s="4">
        <v>45.11</v>
      </c>
      <c r="S28" s="19">
        <v>84</v>
      </c>
      <c r="T28" s="19">
        <v>1640</v>
      </c>
      <c r="U28" s="19">
        <v>40</v>
      </c>
      <c r="V28" s="19">
        <v>204</v>
      </c>
      <c r="W28" s="19">
        <v>44</v>
      </c>
      <c r="X28" s="19">
        <v>2092</v>
      </c>
      <c r="Y28" s="19">
        <v>72</v>
      </c>
      <c r="Z28" s="19">
        <v>76</v>
      </c>
      <c r="AA28" s="14">
        <v>1</v>
      </c>
    </row>
    <row r="29" spans="1:27">
      <c r="A29" s="16">
        <v>46147.28125</v>
      </c>
      <c r="B29" s="17">
        <v>46147</v>
      </c>
      <c r="C29" s="18">
        <v>0.28125</v>
      </c>
      <c r="D29" t="s">
        <v>73</v>
      </c>
      <c r="E29" t="s">
        <v>142</v>
      </c>
      <c r="F29">
        <v>1</v>
      </c>
      <c r="G29" s="4">
        <v>57.53</v>
      </c>
      <c r="H29" s="4">
        <v>57.53</v>
      </c>
      <c r="I29" s="4">
        <v>42.58</v>
      </c>
      <c r="J29" s="4">
        <v>50.4</v>
      </c>
      <c r="K29" s="4">
        <v>50.4</v>
      </c>
      <c r="L29" s="4">
        <v>46.95</v>
      </c>
      <c r="M29" s="4">
        <v>98.4</v>
      </c>
      <c r="N29" s="4">
        <v>98.4</v>
      </c>
      <c r="O29" s="4">
        <v>50.7</v>
      </c>
      <c r="P29" s="4">
        <v>71.88</v>
      </c>
      <c r="Q29" s="4">
        <v>71.88</v>
      </c>
      <c r="R29" s="4">
        <v>79.3</v>
      </c>
      <c r="S29" s="19">
        <v>204</v>
      </c>
      <c r="T29" s="19">
        <v>1848</v>
      </c>
      <c r="U29" s="19">
        <v>48</v>
      </c>
      <c r="V29" s="19">
        <v>312</v>
      </c>
      <c r="W29" s="19">
        <v>52</v>
      </c>
      <c r="X29" s="19">
        <v>2272</v>
      </c>
      <c r="Y29" s="19">
        <v>116</v>
      </c>
      <c r="Z29" s="19">
        <v>140</v>
      </c>
      <c r="AA29" s="14">
        <v>0</v>
      </c>
    </row>
    <row r="30" spans="1:27">
      <c r="A30" s="16">
        <v>46147.291666666664</v>
      </c>
      <c r="B30" s="17">
        <v>46147</v>
      </c>
      <c r="C30" s="18">
        <v>0.29166666666666669</v>
      </c>
      <c r="D30" t="s">
        <v>73</v>
      </c>
      <c r="E30" t="s">
        <v>142</v>
      </c>
      <c r="F30">
        <v>1</v>
      </c>
      <c r="G30" s="4">
        <v>58.93</v>
      </c>
      <c r="H30" s="4">
        <v>58.93</v>
      </c>
      <c r="I30" s="4">
        <v>61.2</v>
      </c>
      <c r="J30" s="4">
        <v>117</v>
      </c>
      <c r="K30" s="4">
        <v>117</v>
      </c>
      <c r="L30" s="4">
        <v>77.760000000000005</v>
      </c>
      <c r="M30" s="4">
        <v>83.19</v>
      </c>
      <c r="N30" s="4">
        <v>83.19</v>
      </c>
      <c r="O30" s="4">
        <v>53.83</v>
      </c>
      <c r="P30" s="4">
        <v>59.66</v>
      </c>
      <c r="Q30" s="4">
        <v>59.66</v>
      </c>
      <c r="R30" s="4">
        <v>90.7</v>
      </c>
      <c r="S30" s="19">
        <v>120</v>
      </c>
      <c r="T30" s="19">
        <v>1612</v>
      </c>
      <c r="U30" s="19">
        <v>52</v>
      </c>
      <c r="V30" s="19">
        <v>268</v>
      </c>
      <c r="W30" s="19">
        <v>52</v>
      </c>
      <c r="X30" s="19">
        <v>2028</v>
      </c>
      <c r="Y30" s="19">
        <v>128</v>
      </c>
      <c r="Z30" s="19">
        <v>100</v>
      </c>
      <c r="AA30" s="14">
        <v>1</v>
      </c>
    </row>
    <row r="31" spans="1:27">
      <c r="A31" s="16">
        <v>46147.302083333336</v>
      </c>
      <c r="B31" s="17">
        <v>46147</v>
      </c>
      <c r="C31" s="18">
        <v>0.30208333333333331</v>
      </c>
      <c r="D31" t="s">
        <v>73</v>
      </c>
      <c r="E31" t="s">
        <v>142</v>
      </c>
      <c r="F31">
        <v>1</v>
      </c>
      <c r="G31" s="4">
        <v>76.38</v>
      </c>
      <c r="H31" s="4">
        <v>76.38</v>
      </c>
      <c r="I31" s="4">
        <v>40.65</v>
      </c>
      <c r="J31" s="4">
        <v>70.5</v>
      </c>
      <c r="K31" s="4">
        <v>70.5</v>
      </c>
      <c r="L31" s="4">
        <v>45.1</v>
      </c>
      <c r="M31" s="4">
        <v>109.05</v>
      </c>
      <c r="N31" s="4">
        <v>109.05</v>
      </c>
      <c r="O31" s="4">
        <v>50.2</v>
      </c>
      <c r="P31" s="4">
        <v>81.08</v>
      </c>
      <c r="Q31" s="4">
        <v>81.08</v>
      </c>
      <c r="R31" s="4">
        <v>103.05</v>
      </c>
      <c r="S31" s="19">
        <v>188</v>
      </c>
      <c r="T31" s="19">
        <v>1964</v>
      </c>
      <c r="U31" s="19">
        <v>52</v>
      </c>
      <c r="V31" s="19">
        <v>368</v>
      </c>
      <c r="W31" s="19">
        <v>64</v>
      </c>
      <c r="X31" s="19">
        <v>2380</v>
      </c>
      <c r="Y31" s="19">
        <v>112</v>
      </c>
      <c r="Z31" s="19">
        <v>184</v>
      </c>
      <c r="AA31" s="14">
        <v>1</v>
      </c>
    </row>
    <row r="32" spans="1:27">
      <c r="A32" s="16">
        <v>46147.3125</v>
      </c>
      <c r="B32" s="17">
        <v>46147</v>
      </c>
      <c r="C32" s="18">
        <v>0.3125</v>
      </c>
      <c r="D32" t="s">
        <v>73</v>
      </c>
      <c r="E32" t="s">
        <v>142</v>
      </c>
      <c r="F32">
        <v>1</v>
      </c>
      <c r="G32" s="4">
        <v>77.62</v>
      </c>
      <c r="H32" s="4">
        <v>77.62</v>
      </c>
      <c r="I32" s="4">
        <v>57.63</v>
      </c>
      <c r="J32" s="4">
        <v>75.45</v>
      </c>
      <c r="K32" s="4">
        <v>75.45</v>
      </c>
      <c r="L32" s="4">
        <v>48.03</v>
      </c>
      <c r="M32" s="4">
        <v>85.88</v>
      </c>
      <c r="N32" s="4">
        <v>85.88</v>
      </c>
      <c r="O32" s="4">
        <v>60.8</v>
      </c>
      <c r="P32" s="4">
        <v>26.1</v>
      </c>
      <c r="Q32" s="4">
        <v>26.1</v>
      </c>
      <c r="R32" s="4">
        <v>86.12</v>
      </c>
      <c r="S32" s="19">
        <v>144</v>
      </c>
      <c r="T32" s="19">
        <v>1748</v>
      </c>
      <c r="U32" s="19">
        <v>60</v>
      </c>
      <c r="V32" s="19">
        <v>472</v>
      </c>
      <c r="W32" s="19">
        <v>40</v>
      </c>
      <c r="X32" s="19">
        <v>2340</v>
      </c>
      <c r="Y32" s="19">
        <v>192</v>
      </c>
      <c r="Z32" s="19">
        <v>140</v>
      </c>
      <c r="AA32" s="14">
        <v>1</v>
      </c>
    </row>
    <row r="33" spans="1:27">
      <c r="A33" s="16">
        <v>46147.322916666664</v>
      </c>
      <c r="B33" s="17">
        <v>46147</v>
      </c>
      <c r="C33" s="18">
        <v>0.32291666666666669</v>
      </c>
      <c r="D33" t="s">
        <v>73</v>
      </c>
      <c r="E33" t="s">
        <v>142</v>
      </c>
      <c r="F33">
        <v>1</v>
      </c>
      <c r="G33" s="4">
        <v>81.62</v>
      </c>
      <c r="H33" s="4">
        <v>81.62</v>
      </c>
      <c r="I33" s="4">
        <v>72.900000000000006</v>
      </c>
      <c r="J33" s="4">
        <v>122.9</v>
      </c>
      <c r="K33" s="4">
        <v>122.9</v>
      </c>
      <c r="L33" s="4">
        <v>92.78</v>
      </c>
      <c r="M33" s="4">
        <v>146.37</v>
      </c>
      <c r="N33" s="4">
        <v>146.37</v>
      </c>
      <c r="O33" s="4">
        <v>73.95</v>
      </c>
      <c r="P33" s="4">
        <v>74.34</v>
      </c>
      <c r="Q33" s="4">
        <v>74.34</v>
      </c>
      <c r="R33" s="4">
        <v>79.83</v>
      </c>
      <c r="S33" s="19">
        <v>184</v>
      </c>
      <c r="T33" s="19">
        <v>1536</v>
      </c>
      <c r="U33" s="19">
        <v>68</v>
      </c>
      <c r="V33" s="19">
        <v>416</v>
      </c>
      <c r="W33" s="19">
        <v>44</v>
      </c>
      <c r="X33" s="19">
        <v>3036</v>
      </c>
      <c r="Y33" s="19">
        <v>184</v>
      </c>
      <c r="Z33" s="19">
        <v>208</v>
      </c>
      <c r="AA33" s="14">
        <v>1</v>
      </c>
    </row>
    <row r="34" spans="1:27">
      <c r="A34" s="16">
        <v>46147.333333333336</v>
      </c>
      <c r="B34" s="17">
        <v>46147</v>
      </c>
      <c r="C34" s="18">
        <v>0.33333333333333331</v>
      </c>
      <c r="D34" t="s">
        <v>73</v>
      </c>
      <c r="E34" t="s">
        <v>142</v>
      </c>
      <c r="F34">
        <v>1</v>
      </c>
      <c r="G34" s="4">
        <v>64.599999999999994</v>
      </c>
      <c r="H34" s="4">
        <v>64.599999999999994</v>
      </c>
      <c r="I34" s="4">
        <v>78.05</v>
      </c>
      <c r="J34" s="4">
        <v>78.8</v>
      </c>
      <c r="K34" s="4">
        <v>78.8</v>
      </c>
      <c r="L34" s="4">
        <v>66.37</v>
      </c>
      <c r="M34" s="4">
        <v>120.94</v>
      </c>
      <c r="N34" s="4">
        <v>120.94</v>
      </c>
      <c r="O34" s="4">
        <v>81.13</v>
      </c>
      <c r="P34" s="4">
        <v>112.15</v>
      </c>
      <c r="Q34" s="4">
        <v>112.15</v>
      </c>
      <c r="R34" s="4">
        <v>68.2</v>
      </c>
      <c r="S34" s="19">
        <v>148</v>
      </c>
      <c r="T34" s="19">
        <v>1668</v>
      </c>
      <c r="U34" s="19">
        <v>68</v>
      </c>
      <c r="V34" s="19">
        <v>360</v>
      </c>
      <c r="W34" s="19">
        <v>72</v>
      </c>
      <c r="X34" s="19">
        <v>2760</v>
      </c>
      <c r="Y34" s="19">
        <v>116</v>
      </c>
      <c r="Z34" s="19">
        <v>148</v>
      </c>
      <c r="AA34" s="14">
        <v>1</v>
      </c>
    </row>
    <row r="35" spans="1:27">
      <c r="A35" s="16">
        <v>46147.34375</v>
      </c>
      <c r="B35" s="17">
        <v>46147</v>
      </c>
      <c r="C35" s="18">
        <v>0.34375</v>
      </c>
      <c r="D35" t="s">
        <v>73</v>
      </c>
      <c r="E35" t="s">
        <v>142</v>
      </c>
      <c r="F35">
        <v>1</v>
      </c>
      <c r="G35" s="4">
        <v>88.61</v>
      </c>
      <c r="H35" s="4">
        <v>88.61</v>
      </c>
      <c r="I35" s="4">
        <v>71.349999999999994</v>
      </c>
      <c r="J35" s="4">
        <v>71.05</v>
      </c>
      <c r="K35" s="4">
        <v>71.05</v>
      </c>
      <c r="L35" s="4">
        <v>50.3</v>
      </c>
      <c r="M35" s="4">
        <v>92.23</v>
      </c>
      <c r="N35" s="4">
        <v>92.23</v>
      </c>
      <c r="O35" s="4">
        <v>75.319999999999993</v>
      </c>
      <c r="P35" s="4">
        <v>65.08</v>
      </c>
      <c r="Q35" s="4">
        <v>65.08</v>
      </c>
      <c r="R35" s="4">
        <v>86.1</v>
      </c>
      <c r="S35" s="19">
        <v>228</v>
      </c>
      <c r="T35" s="19">
        <v>1944</v>
      </c>
      <c r="U35" s="19">
        <v>64</v>
      </c>
      <c r="V35" s="19">
        <v>636</v>
      </c>
      <c r="W35" s="19">
        <v>76</v>
      </c>
      <c r="X35" s="19">
        <v>2436</v>
      </c>
      <c r="Y35" s="19">
        <v>144</v>
      </c>
      <c r="Z35" s="19">
        <v>160</v>
      </c>
      <c r="AA35" s="14">
        <v>1</v>
      </c>
    </row>
    <row r="36" spans="1:27">
      <c r="A36" s="16">
        <v>46147.354166666664</v>
      </c>
      <c r="B36" s="17">
        <v>46147</v>
      </c>
      <c r="C36" s="18">
        <v>0.35416666666666669</v>
      </c>
      <c r="D36" t="s">
        <v>73</v>
      </c>
      <c r="E36" t="s">
        <v>142</v>
      </c>
      <c r="F36">
        <v>1</v>
      </c>
      <c r="G36" s="4">
        <v>105.52</v>
      </c>
      <c r="H36" s="4">
        <v>105.52</v>
      </c>
      <c r="I36" s="4">
        <v>81.25</v>
      </c>
      <c r="J36" s="4">
        <v>78.3</v>
      </c>
      <c r="K36" s="4">
        <v>78.3</v>
      </c>
      <c r="L36" s="4">
        <v>30.4</v>
      </c>
      <c r="M36" s="4">
        <v>100.38</v>
      </c>
      <c r="N36" s="4">
        <v>100.38</v>
      </c>
      <c r="O36" s="4">
        <v>77.569999999999993</v>
      </c>
      <c r="P36" s="4">
        <v>77.3</v>
      </c>
      <c r="Q36" s="4">
        <v>77.3</v>
      </c>
      <c r="R36" s="4">
        <v>81.17</v>
      </c>
      <c r="S36" s="19">
        <v>268</v>
      </c>
      <c r="T36" s="19">
        <v>1600</v>
      </c>
      <c r="U36" s="19">
        <v>56</v>
      </c>
      <c r="V36" s="19">
        <v>360</v>
      </c>
      <c r="W36" s="19">
        <v>52</v>
      </c>
      <c r="X36" s="19">
        <v>2260</v>
      </c>
      <c r="Y36" s="19">
        <v>148</v>
      </c>
      <c r="Z36" s="19">
        <v>180</v>
      </c>
      <c r="AA36" s="14">
        <v>1</v>
      </c>
    </row>
    <row r="37" spans="1:27">
      <c r="A37" s="16">
        <v>46147.364583333336</v>
      </c>
      <c r="B37" s="17">
        <v>46147</v>
      </c>
      <c r="C37" s="18">
        <v>0.36458333333333331</v>
      </c>
      <c r="D37" t="s">
        <v>73</v>
      </c>
      <c r="E37" t="s">
        <v>142</v>
      </c>
      <c r="F37">
        <v>1</v>
      </c>
      <c r="G37" s="4">
        <v>77.900000000000006</v>
      </c>
      <c r="H37" s="4">
        <v>77.900000000000006</v>
      </c>
      <c r="I37" s="4">
        <v>76.45</v>
      </c>
      <c r="J37" s="4">
        <v>79.45</v>
      </c>
      <c r="K37" s="4">
        <v>79.45</v>
      </c>
      <c r="L37" s="4">
        <v>70.02</v>
      </c>
      <c r="M37" s="4">
        <v>96.42</v>
      </c>
      <c r="N37" s="4">
        <v>96.42</v>
      </c>
      <c r="O37" s="4">
        <v>74.92</v>
      </c>
      <c r="P37" s="4">
        <v>46.72</v>
      </c>
      <c r="Q37" s="4">
        <v>46.72</v>
      </c>
      <c r="R37" s="4">
        <v>103.86</v>
      </c>
      <c r="S37" s="19">
        <v>184</v>
      </c>
      <c r="T37" s="19">
        <v>2376</v>
      </c>
      <c r="U37" s="19">
        <v>52</v>
      </c>
      <c r="V37" s="19">
        <v>492</v>
      </c>
      <c r="W37" s="19">
        <v>52</v>
      </c>
      <c r="X37" s="19">
        <v>2584</v>
      </c>
      <c r="Y37" s="19">
        <v>164</v>
      </c>
      <c r="Z37" s="19">
        <v>244</v>
      </c>
      <c r="AA37" s="14">
        <v>1</v>
      </c>
    </row>
    <row r="38" spans="1:27">
      <c r="A38" s="16">
        <v>46147.375</v>
      </c>
      <c r="B38" s="17">
        <v>46147</v>
      </c>
      <c r="C38" s="18">
        <v>0.375</v>
      </c>
      <c r="D38" t="s">
        <v>73</v>
      </c>
      <c r="E38" t="s">
        <v>142</v>
      </c>
      <c r="F38">
        <v>1</v>
      </c>
      <c r="G38" s="4">
        <v>91.8</v>
      </c>
      <c r="H38" s="4">
        <v>91.8</v>
      </c>
      <c r="I38" s="4">
        <v>80.900000000000006</v>
      </c>
      <c r="J38" s="4">
        <v>96.5</v>
      </c>
      <c r="K38" s="4">
        <v>96.5</v>
      </c>
      <c r="L38" s="4">
        <v>73.53</v>
      </c>
      <c r="M38" s="4">
        <v>102.83</v>
      </c>
      <c r="N38" s="4">
        <v>102.83</v>
      </c>
      <c r="O38" s="4">
        <v>84.37</v>
      </c>
      <c r="P38" s="4">
        <v>76.900000000000006</v>
      </c>
      <c r="Q38" s="4">
        <v>76.900000000000006</v>
      </c>
      <c r="R38" s="4">
        <v>72.260000000000005</v>
      </c>
      <c r="S38" s="19">
        <v>256</v>
      </c>
      <c r="T38" s="19">
        <v>1624</v>
      </c>
      <c r="U38" s="19">
        <v>48</v>
      </c>
      <c r="V38" s="19">
        <v>472</v>
      </c>
      <c r="W38" s="19">
        <v>64</v>
      </c>
      <c r="X38" s="19">
        <v>2500</v>
      </c>
      <c r="Y38" s="19">
        <v>152</v>
      </c>
      <c r="Z38" s="19">
        <v>148</v>
      </c>
      <c r="AA38" s="14">
        <v>1</v>
      </c>
    </row>
    <row r="39" spans="1:27">
      <c r="A39" s="16">
        <v>46147.385416666664</v>
      </c>
      <c r="B39" s="17">
        <v>46147</v>
      </c>
      <c r="C39" s="18">
        <v>0.38541666666666669</v>
      </c>
      <c r="D39" t="s">
        <v>73</v>
      </c>
      <c r="E39" t="s">
        <v>142</v>
      </c>
      <c r="F39">
        <v>1</v>
      </c>
      <c r="G39" s="4">
        <v>66.02</v>
      </c>
      <c r="H39" s="4">
        <v>66.02</v>
      </c>
      <c r="I39" s="4">
        <v>0</v>
      </c>
      <c r="J39" s="4">
        <v>63.76</v>
      </c>
      <c r="K39" s="4">
        <v>63.76</v>
      </c>
      <c r="L39" s="4">
        <v>70.569999999999993</v>
      </c>
      <c r="M39" s="4">
        <v>100.14</v>
      </c>
      <c r="N39" s="4">
        <v>100.14</v>
      </c>
      <c r="O39" s="4">
        <v>75.930000000000007</v>
      </c>
      <c r="P39" s="4">
        <v>38.1</v>
      </c>
      <c r="Q39" s="4">
        <v>38.1</v>
      </c>
      <c r="R39" s="4">
        <v>83.26</v>
      </c>
      <c r="S39" s="19">
        <v>300</v>
      </c>
      <c r="T39" s="19">
        <v>1476</v>
      </c>
      <c r="U39" s="19">
        <v>56</v>
      </c>
      <c r="V39" s="19">
        <v>412</v>
      </c>
      <c r="W39" s="19">
        <v>56</v>
      </c>
      <c r="X39" s="19">
        <v>2352</v>
      </c>
      <c r="Y39" s="19">
        <v>120</v>
      </c>
      <c r="Z39" s="19">
        <v>168</v>
      </c>
      <c r="AA39" s="14">
        <v>1</v>
      </c>
    </row>
    <row r="40" spans="1:27">
      <c r="A40" s="16">
        <v>46147.395833333336</v>
      </c>
      <c r="B40" s="17">
        <v>46147</v>
      </c>
      <c r="C40" s="18">
        <v>0.39583333333333331</v>
      </c>
      <c r="D40" t="s">
        <v>73</v>
      </c>
      <c r="E40" t="s">
        <v>142</v>
      </c>
      <c r="F40">
        <v>1</v>
      </c>
      <c r="G40" s="4">
        <v>76.87</v>
      </c>
      <c r="H40" s="4">
        <v>76.87</v>
      </c>
      <c r="I40" s="4">
        <v>79.599999999999994</v>
      </c>
      <c r="J40" s="4">
        <v>78.95</v>
      </c>
      <c r="K40" s="4">
        <v>78.95</v>
      </c>
      <c r="L40" s="4">
        <v>66.7</v>
      </c>
      <c r="M40" s="4">
        <v>100.64</v>
      </c>
      <c r="N40" s="4">
        <v>100.64</v>
      </c>
      <c r="O40" s="4">
        <v>75.459999999999994</v>
      </c>
      <c r="P40" s="4">
        <v>67.23</v>
      </c>
      <c r="Q40" s="4">
        <v>67.23</v>
      </c>
      <c r="R40" s="4">
        <v>76.11</v>
      </c>
      <c r="S40" s="19">
        <v>160</v>
      </c>
      <c r="T40" s="19">
        <v>1252</v>
      </c>
      <c r="U40" s="19">
        <v>68</v>
      </c>
      <c r="V40" s="19">
        <v>584</v>
      </c>
      <c r="W40" s="19">
        <v>60</v>
      </c>
      <c r="X40" s="19">
        <v>2168</v>
      </c>
      <c r="Y40" s="19">
        <v>212</v>
      </c>
      <c r="Z40" s="19">
        <v>124</v>
      </c>
      <c r="AA40" s="14">
        <v>1</v>
      </c>
    </row>
    <row r="41" spans="1:27">
      <c r="A41" s="16">
        <v>46147.40625</v>
      </c>
      <c r="B41" s="17">
        <v>46147</v>
      </c>
      <c r="C41" s="18">
        <v>0.40625</v>
      </c>
      <c r="D41" t="s">
        <v>73</v>
      </c>
      <c r="E41" t="s">
        <v>142</v>
      </c>
      <c r="F41">
        <v>1</v>
      </c>
      <c r="G41" s="4">
        <v>70.92</v>
      </c>
      <c r="H41" s="4">
        <v>70.92</v>
      </c>
      <c r="I41" s="4">
        <v>63.37</v>
      </c>
      <c r="J41" s="4">
        <v>67.22</v>
      </c>
      <c r="K41" s="4">
        <v>67.22</v>
      </c>
      <c r="L41" s="4">
        <v>62.36</v>
      </c>
      <c r="M41" s="4">
        <v>85.5</v>
      </c>
      <c r="N41" s="4">
        <v>85.5</v>
      </c>
      <c r="O41" s="4">
        <v>80.75</v>
      </c>
      <c r="P41" s="4">
        <v>57.94</v>
      </c>
      <c r="Q41" s="4">
        <v>57.94</v>
      </c>
      <c r="R41" s="4">
        <v>77.22</v>
      </c>
      <c r="S41" s="19">
        <v>136</v>
      </c>
      <c r="T41" s="19">
        <v>1460</v>
      </c>
      <c r="U41" s="19">
        <v>264</v>
      </c>
      <c r="V41" s="19">
        <v>436</v>
      </c>
      <c r="W41" s="19">
        <v>36</v>
      </c>
      <c r="X41" s="19">
        <v>2408</v>
      </c>
      <c r="Y41" s="19">
        <v>220</v>
      </c>
      <c r="Z41" s="19">
        <v>220</v>
      </c>
      <c r="AA41" s="14">
        <v>1</v>
      </c>
    </row>
    <row r="42" spans="1:27">
      <c r="A42" s="16">
        <v>46147.416666666664</v>
      </c>
      <c r="B42" s="17">
        <v>46147</v>
      </c>
      <c r="C42" s="18">
        <v>0.41666666666666669</v>
      </c>
      <c r="D42" t="s">
        <v>73</v>
      </c>
      <c r="E42" t="s">
        <v>142</v>
      </c>
      <c r="F42">
        <v>1</v>
      </c>
      <c r="G42" s="4">
        <v>98.4</v>
      </c>
      <c r="H42" s="4">
        <v>98.4</v>
      </c>
      <c r="I42" s="4">
        <v>61.8</v>
      </c>
      <c r="J42" s="4">
        <v>103.38</v>
      </c>
      <c r="K42" s="4">
        <v>103.38</v>
      </c>
      <c r="L42" s="4">
        <v>62.42</v>
      </c>
      <c r="M42" s="4">
        <v>96.36</v>
      </c>
      <c r="N42" s="4">
        <v>96.36</v>
      </c>
      <c r="O42" s="4">
        <v>75.78</v>
      </c>
      <c r="P42" s="4">
        <v>46.22</v>
      </c>
      <c r="Q42" s="4">
        <v>46.22</v>
      </c>
      <c r="R42" s="4">
        <v>81</v>
      </c>
      <c r="S42" s="19">
        <v>160</v>
      </c>
      <c r="T42" s="19">
        <v>1308</v>
      </c>
      <c r="U42" s="19">
        <v>100</v>
      </c>
      <c r="V42" s="19">
        <v>400</v>
      </c>
      <c r="W42" s="19">
        <v>68</v>
      </c>
      <c r="X42" s="19">
        <v>2344</v>
      </c>
      <c r="Y42" s="19">
        <v>160</v>
      </c>
      <c r="Z42" s="19">
        <v>180</v>
      </c>
      <c r="AA42" s="14">
        <v>1</v>
      </c>
    </row>
    <row r="43" spans="1:27">
      <c r="A43" s="16">
        <v>46147.427083333336</v>
      </c>
      <c r="B43" s="17">
        <v>46147</v>
      </c>
      <c r="C43" s="18">
        <v>0.42708333333333331</v>
      </c>
      <c r="D43" t="s">
        <v>73</v>
      </c>
      <c r="E43" t="s">
        <v>142</v>
      </c>
      <c r="F43">
        <v>1</v>
      </c>
      <c r="G43" s="4">
        <v>97.2</v>
      </c>
      <c r="H43" s="4">
        <v>97.2</v>
      </c>
      <c r="I43" s="4">
        <v>68.099999999999994</v>
      </c>
      <c r="J43" s="4">
        <v>63.22</v>
      </c>
      <c r="K43" s="4">
        <v>63.22</v>
      </c>
      <c r="L43" s="4">
        <v>70.77</v>
      </c>
      <c r="M43" s="4">
        <v>89.48</v>
      </c>
      <c r="N43" s="4">
        <v>89.48</v>
      </c>
      <c r="O43" s="4">
        <v>84.35</v>
      </c>
      <c r="P43" s="4">
        <v>57.27</v>
      </c>
      <c r="Q43" s="4">
        <v>57.27</v>
      </c>
      <c r="R43" s="4">
        <v>86.18</v>
      </c>
      <c r="S43" s="19">
        <v>196</v>
      </c>
      <c r="T43" s="19">
        <v>1240</v>
      </c>
      <c r="U43" s="19">
        <v>72</v>
      </c>
      <c r="V43" s="19">
        <v>232</v>
      </c>
      <c r="W43" s="19">
        <v>64</v>
      </c>
      <c r="X43" s="19">
        <v>2372</v>
      </c>
      <c r="Y43" s="19">
        <v>92</v>
      </c>
      <c r="Z43" s="19">
        <v>124</v>
      </c>
      <c r="AA43" s="14">
        <v>1</v>
      </c>
    </row>
    <row r="44" spans="1:27">
      <c r="A44" s="16">
        <v>46147.4375</v>
      </c>
      <c r="B44" s="17">
        <v>46147</v>
      </c>
      <c r="C44" s="18">
        <v>0.4375</v>
      </c>
      <c r="D44" t="s">
        <v>73</v>
      </c>
      <c r="E44" t="s">
        <v>142</v>
      </c>
      <c r="F44">
        <v>1</v>
      </c>
      <c r="G44" s="4">
        <v>79.680000000000007</v>
      </c>
      <c r="H44" s="4">
        <v>79.680000000000007</v>
      </c>
      <c r="I44" s="4">
        <v>54.73</v>
      </c>
      <c r="J44" s="4">
        <v>99.07</v>
      </c>
      <c r="K44" s="4">
        <v>99.07</v>
      </c>
      <c r="L44" s="4">
        <v>94.12</v>
      </c>
      <c r="M44" s="4">
        <v>110.56</v>
      </c>
      <c r="N44" s="4">
        <v>110.56</v>
      </c>
      <c r="O44" s="4">
        <v>70.53</v>
      </c>
      <c r="P44" s="4">
        <v>130.32</v>
      </c>
      <c r="Q44" s="4">
        <v>130.32</v>
      </c>
      <c r="R44" s="4">
        <v>107.63</v>
      </c>
      <c r="S44" s="19">
        <v>220</v>
      </c>
      <c r="T44" s="19">
        <v>1192</v>
      </c>
      <c r="U44" s="19">
        <v>100</v>
      </c>
      <c r="V44" s="19">
        <v>268</v>
      </c>
      <c r="W44" s="19">
        <v>68</v>
      </c>
      <c r="X44" s="19">
        <v>2528</v>
      </c>
      <c r="Y44" s="19">
        <v>176</v>
      </c>
      <c r="Z44" s="19">
        <v>96</v>
      </c>
      <c r="AA44" s="14">
        <v>1</v>
      </c>
    </row>
    <row r="45" spans="1:27">
      <c r="A45" s="16">
        <v>46147.447916666664</v>
      </c>
      <c r="B45" s="17">
        <v>46147</v>
      </c>
      <c r="C45" s="18">
        <v>0.44791666666666669</v>
      </c>
      <c r="D45" t="s">
        <v>73</v>
      </c>
      <c r="E45" t="s">
        <v>142</v>
      </c>
      <c r="F45">
        <v>1</v>
      </c>
      <c r="G45" s="4">
        <v>75.78</v>
      </c>
      <c r="H45" s="4">
        <v>75.78</v>
      </c>
      <c r="I45" s="4">
        <v>73</v>
      </c>
      <c r="J45" s="4">
        <v>71.099999999999994</v>
      </c>
      <c r="K45" s="4">
        <v>71.099999999999994</v>
      </c>
      <c r="L45" s="4">
        <v>131.97</v>
      </c>
      <c r="M45" s="4">
        <v>76.58</v>
      </c>
      <c r="N45" s="4">
        <v>76.58</v>
      </c>
      <c r="O45" s="4">
        <v>55.67</v>
      </c>
      <c r="P45" s="4">
        <v>54.16</v>
      </c>
      <c r="Q45" s="4">
        <v>54.16</v>
      </c>
      <c r="R45" s="4">
        <v>160.9</v>
      </c>
      <c r="S45" s="19">
        <v>168</v>
      </c>
      <c r="T45" s="19">
        <v>1560</v>
      </c>
      <c r="U45" s="19">
        <v>76</v>
      </c>
      <c r="V45" s="19">
        <v>408</v>
      </c>
      <c r="W45" s="19">
        <v>92</v>
      </c>
      <c r="X45" s="19">
        <v>2652</v>
      </c>
      <c r="Y45" s="19">
        <v>232</v>
      </c>
      <c r="Z45" s="19">
        <v>208</v>
      </c>
      <c r="AA45" s="14">
        <v>1</v>
      </c>
    </row>
    <row r="46" spans="1:27">
      <c r="A46" s="16">
        <v>46147.458333333336</v>
      </c>
      <c r="B46" s="17">
        <v>46147</v>
      </c>
      <c r="C46" s="18">
        <v>0.45833333333333331</v>
      </c>
      <c r="D46" t="s">
        <v>73</v>
      </c>
      <c r="E46" t="s">
        <v>142</v>
      </c>
      <c r="F46">
        <v>1</v>
      </c>
      <c r="G46" s="4">
        <v>82.07</v>
      </c>
      <c r="H46" s="4">
        <v>82.07</v>
      </c>
      <c r="I46" s="4">
        <v>68.7</v>
      </c>
      <c r="J46" s="4">
        <v>86.83</v>
      </c>
      <c r="K46" s="4">
        <v>86.83</v>
      </c>
      <c r="L46" s="4">
        <v>69.78</v>
      </c>
      <c r="M46" s="4">
        <v>87.3</v>
      </c>
      <c r="N46" s="4">
        <v>87.3</v>
      </c>
      <c r="O46" s="4">
        <v>78.13</v>
      </c>
      <c r="P46" s="4">
        <v>80.03</v>
      </c>
      <c r="Q46" s="4">
        <v>80.03</v>
      </c>
      <c r="R46" s="4">
        <v>86.8</v>
      </c>
      <c r="S46" s="19">
        <v>208</v>
      </c>
      <c r="T46" s="19">
        <v>1624</v>
      </c>
      <c r="U46" s="19">
        <v>140</v>
      </c>
      <c r="V46" s="19">
        <v>364</v>
      </c>
      <c r="W46" s="19">
        <v>52</v>
      </c>
      <c r="X46" s="19">
        <v>2628</v>
      </c>
      <c r="Y46" s="19">
        <v>288</v>
      </c>
      <c r="Z46" s="19">
        <v>196</v>
      </c>
      <c r="AA46" s="14">
        <v>1</v>
      </c>
    </row>
    <row r="47" spans="1:27">
      <c r="A47" s="16">
        <v>46147.46875</v>
      </c>
      <c r="B47" s="17">
        <v>46147</v>
      </c>
      <c r="C47" s="18">
        <v>0.46875</v>
      </c>
      <c r="D47" t="s">
        <v>73</v>
      </c>
      <c r="E47" t="s">
        <v>142</v>
      </c>
      <c r="F47">
        <v>1</v>
      </c>
      <c r="G47" s="4">
        <v>78.63</v>
      </c>
      <c r="H47" s="4">
        <v>78.63</v>
      </c>
      <c r="I47" s="4">
        <v>67.8</v>
      </c>
      <c r="J47" s="4">
        <v>73.33</v>
      </c>
      <c r="K47" s="4">
        <v>73.33</v>
      </c>
      <c r="L47" s="4">
        <v>86.32</v>
      </c>
      <c r="M47" s="4">
        <v>103.18</v>
      </c>
      <c r="N47" s="4">
        <v>103.18</v>
      </c>
      <c r="O47" s="4">
        <v>81.17</v>
      </c>
      <c r="P47" s="4">
        <v>79.099999999999994</v>
      </c>
      <c r="Q47" s="4">
        <v>79.099999999999994</v>
      </c>
      <c r="R47" s="4">
        <v>91.38</v>
      </c>
      <c r="S47" s="19">
        <v>244</v>
      </c>
      <c r="T47" s="19">
        <v>1692</v>
      </c>
      <c r="U47" s="19">
        <v>108</v>
      </c>
      <c r="V47" s="19">
        <v>396</v>
      </c>
      <c r="W47" s="19">
        <v>100</v>
      </c>
      <c r="X47" s="19">
        <v>2632</v>
      </c>
      <c r="Y47" s="19">
        <v>212</v>
      </c>
      <c r="Z47" s="19">
        <v>220</v>
      </c>
      <c r="AA47" s="14">
        <v>1</v>
      </c>
    </row>
    <row r="48" spans="1:27">
      <c r="A48" s="16">
        <v>46147.479166666664</v>
      </c>
      <c r="B48" s="17">
        <v>46147</v>
      </c>
      <c r="C48" s="18">
        <v>0.47916666666666669</v>
      </c>
      <c r="D48" t="s">
        <v>73</v>
      </c>
      <c r="E48" t="s">
        <v>142</v>
      </c>
      <c r="F48">
        <v>1</v>
      </c>
      <c r="G48" s="4">
        <v>61.18</v>
      </c>
      <c r="H48" s="4">
        <v>61.18</v>
      </c>
      <c r="I48" s="4">
        <v>69.78</v>
      </c>
      <c r="J48" s="4">
        <v>93.8</v>
      </c>
      <c r="K48" s="4">
        <v>93.8</v>
      </c>
      <c r="L48" s="4">
        <v>59.87</v>
      </c>
      <c r="M48" s="4">
        <v>88.69</v>
      </c>
      <c r="N48" s="4">
        <v>88.69</v>
      </c>
      <c r="O48" s="4">
        <v>76.47</v>
      </c>
      <c r="P48" s="4">
        <v>60.37</v>
      </c>
      <c r="Q48" s="4">
        <v>60.37</v>
      </c>
      <c r="R48" s="4">
        <v>89.22</v>
      </c>
      <c r="S48" s="19">
        <v>140</v>
      </c>
      <c r="T48" s="19">
        <v>1596</v>
      </c>
      <c r="U48" s="19">
        <v>100</v>
      </c>
      <c r="V48" s="19">
        <v>464</v>
      </c>
      <c r="W48" s="19">
        <v>56</v>
      </c>
      <c r="X48" s="19">
        <v>2596</v>
      </c>
      <c r="Y48" s="19">
        <v>144</v>
      </c>
      <c r="Z48" s="19">
        <v>212</v>
      </c>
      <c r="AA48" s="14">
        <v>1</v>
      </c>
    </row>
    <row r="49" spans="1:27">
      <c r="A49" s="16">
        <v>46147.489583333336</v>
      </c>
      <c r="B49" s="17">
        <v>46147</v>
      </c>
      <c r="C49" s="18">
        <v>0.48958333333333331</v>
      </c>
      <c r="D49" t="s">
        <v>73</v>
      </c>
      <c r="E49" t="s">
        <v>142</v>
      </c>
      <c r="F49">
        <v>1</v>
      </c>
      <c r="G49" s="4">
        <v>104.64</v>
      </c>
      <c r="H49" s="4">
        <v>104.64</v>
      </c>
      <c r="I49" s="4">
        <v>60.67</v>
      </c>
      <c r="J49" s="4">
        <v>80.849999999999994</v>
      </c>
      <c r="K49" s="4">
        <v>80.849999999999994</v>
      </c>
      <c r="L49" s="4">
        <v>70.569999999999993</v>
      </c>
      <c r="M49" s="4">
        <v>99.33</v>
      </c>
      <c r="N49" s="4">
        <v>99.33</v>
      </c>
      <c r="O49" s="4">
        <v>78.34</v>
      </c>
      <c r="P49" s="4">
        <v>86.27</v>
      </c>
      <c r="Q49" s="4">
        <v>86.27</v>
      </c>
      <c r="R49" s="4">
        <v>75.17</v>
      </c>
      <c r="S49" s="19">
        <v>180</v>
      </c>
      <c r="T49" s="19">
        <v>1720</v>
      </c>
      <c r="U49" s="19">
        <v>104</v>
      </c>
      <c r="V49" s="19">
        <v>552</v>
      </c>
      <c r="W49" s="19">
        <v>72</v>
      </c>
      <c r="X49" s="19">
        <v>2832</v>
      </c>
      <c r="Y49" s="19">
        <v>148</v>
      </c>
      <c r="Z49" s="19">
        <v>244</v>
      </c>
      <c r="AA49" s="14">
        <v>1</v>
      </c>
    </row>
    <row r="50" spans="1:27">
      <c r="A50" s="16">
        <v>46147.5</v>
      </c>
      <c r="B50" s="17">
        <v>46147</v>
      </c>
      <c r="C50" s="18">
        <v>0.5</v>
      </c>
      <c r="D50" t="s">
        <v>73</v>
      </c>
      <c r="E50" t="s">
        <v>142</v>
      </c>
      <c r="F50">
        <v>1</v>
      </c>
      <c r="G50" s="4">
        <v>86.96</v>
      </c>
      <c r="H50" s="4">
        <v>86.96</v>
      </c>
      <c r="I50" s="4">
        <v>0</v>
      </c>
      <c r="J50" s="4">
        <v>69.38</v>
      </c>
      <c r="K50" s="4">
        <v>69.38</v>
      </c>
      <c r="L50" s="4">
        <v>62.76</v>
      </c>
      <c r="M50" s="4">
        <v>102.23</v>
      </c>
      <c r="N50" s="4">
        <v>102.23</v>
      </c>
      <c r="O50" s="4">
        <v>85.6</v>
      </c>
      <c r="P50" s="4">
        <v>86.95</v>
      </c>
      <c r="Q50" s="4">
        <v>86.95</v>
      </c>
      <c r="R50" s="4">
        <v>84.65</v>
      </c>
      <c r="S50" s="19">
        <v>420</v>
      </c>
      <c r="T50" s="19">
        <v>2088</v>
      </c>
      <c r="U50" s="19">
        <v>68</v>
      </c>
      <c r="V50" s="19">
        <v>320</v>
      </c>
      <c r="W50" s="19">
        <v>60</v>
      </c>
      <c r="X50" s="19">
        <v>2528</v>
      </c>
      <c r="Y50" s="19">
        <v>152</v>
      </c>
      <c r="Z50" s="19">
        <v>204</v>
      </c>
      <c r="AA50" s="14">
        <v>1</v>
      </c>
    </row>
    <row r="51" spans="1:27">
      <c r="A51" s="16">
        <v>46147.510416666664</v>
      </c>
      <c r="B51" s="17">
        <v>46147</v>
      </c>
      <c r="C51" s="18">
        <v>0.51041666666666663</v>
      </c>
      <c r="D51" t="s">
        <v>73</v>
      </c>
      <c r="E51" t="s">
        <v>142</v>
      </c>
      <c r="F51">
        <v>1</v>
      </c>
      <c r="G51" s="4">
        <v>121.87</v>
      </c>
      <c r="H51" s="4">
        <v>121.87</v>
      </c>
      <c r="I51" s="4">
        <v>81.7</v>
      </c>
      <c r="J51" s="4">
        <v>64.959999999999994</v>
      </c>
      <c r="K51" s="4">
        <v>64.959999999999994</v>
      </c>
      <c r="L51" s="4">
        <v>76.14</v>
      </c>
      <c r="M51" s="4">
        <v>99.6</v>
      </c>
      <c r="N51" s="4">
        <v>99.6</v>
      </c>
      <c r="O51" s="4">
        <v>90.8</v>
      </c>
      <c r="P51" s="4">
        <v>71.42</v>
      </c>
      <c r="Q51" s="4">
        <v>71.42</v>
      </c>
      <c r="R51" s="4">
        <v>81.849999999999994</v>
      </c>
      <c r="S51" s="19">
        <v>268</v>
      </c>
      <c r="T51" s="19">
        <v>2140</v>
      </c>
      <c r="U51" s="19">
        <v>120</v>
      </c>
      <c r="V51" s="19">
        <v>372</v>
      </c>
      <c r="W51" s="19">
        <v>56</v>
      </c>
      <c r="X51" s="19">
        <v>2580</v>
      </c>
      <c r="Y51" s="19">
        <v>152</v>
      </c>
      <c r="Z51" s="19">
        <v>184</v>
      </c>
      <c r="AA51" s="14">
        <v>1</v>
      </c>
    </row>
    <row r="52" spans="1:27">
      <c r="A52" s="16">
        <v>46147.520833333336</v>
      </c>
      <c r="B52" s="17">
        <v>46147</v>
      </c>
      <c r="C52" s="18">
        <v>0.52083333333333337</v>
      </c>
      <c r="D52" t="s">
        <v>73</v>
      </c>
      <c r="E52" t="s">
        <v>142</v>
      </c>
      <c r="F52">
        <v>1</v>
      </c>
      <c r="G52" s="4">
        <v>79.260000000000005</v>
      </c>
      <c r="H52" s="4">
        <v>79.260000000000005</v>
      </c>
      <c r="I52" s="4">
        <v>68.95</v>
      </c>
      <c r="J52" s="4">
        <v>49.48</v>
      </c>
      <c r="K52" s="4">
        <v>49.48</v>
      </c>
      <c r="L52" s="4">
        <v>68.92</v>
      </c>
      <c r="M52" s="4">
        <v>91.1</v>
      </c>
      <c r="N52" s="4">
        <v>91.1</v>
      </c>
      <c r="O52" s="4">
        <v>85.7</v>
      </c>
      <c r="P52" s="4">
        <v>76.760000000000005</v>
      </c>
      <c r="Q52" s="4">
        <v>76.760000000000005</v>
      </c>
      <c r="R52" s="4">
        <v>84.12</v>
      </c>
      <c r="S52" s="19">
        <v>300</v>
      </c>
      <c r="T52" s="19">
        <v>2312</v>
      </c>
      <c r="U52" s="19">
        <v>72</v>
      </c>
      <c r="V52" s="19">
        <v>388</v>
      </c>
      <c r="W52" s="19">
        <v>72</v>
      </c>
      <c r="X52" s="19">
        <v>2620</v>
      </c>
      <c r="Y52" s="19">
        <v>184</v>
      </c>
      <c r="Z52" s="19">
        <v>224</v>
      </c>
      <c r="AA52" s="14">
        <v>1</v>
      </c>
    </row>
    <row r="53" spans="1:27">
      <c r="A53" s="16">
        <v>46147.53125</v>
      </c>
      <c r="B53" s="17">
        <v>46147</v>
      </c>
      <c r="C53" s="18">
        <v>0.53125</v>
      </c>
      <c r="D53" t="s">
        <v>73</v>
      </c>
      <c r="E53" t="s">
        <v>142</v>
      </c>
      <c r="F53">
        <v>1</v>
      </c>
      <c r="G53" s="4">
        <v>95.38</v>
      </c>
      <c r="H53" s="4">
        <v>95.38</v>
      </c>
      <c r="I53" s="4">
        <v>76.900000000000006</v>
      </c>
      <c r="J53" s="4">
        <v>76.58</v>
      </c>
      <c r="K53" s="4">
        <v>76.58</v>
      </c>
      <c r="L53" s="4">
        <v>82.33</v>
      </c>
      <c r="M53" s="4">
        <v>100.54</v>
      </c>
      <c r="N53" s="4">
        <v>100.54</v>
      </c>
      <c r="O53" s="4">
        <v>83.27</v>
      </c>
      <c r="P53" s="4">
        <v>85.6</v>
      </c>
      <c r="Q53" s="4">
        <v>85.6</v>
      </c>
      <c r="R53" s="4">
        <v>86.08</v>
      </c>
      <c r="S53" s="19">
        <v>268</v>
      </c>
      <c r="T53" s="19">
        <v>2296</v>
      </c>
      <c r="U53" s="19">
        <v>92</v>
      </c>
      <c r="V53" s="19">
        <v>440</v>
      </c>
      <c r="W53" s="19">
        <v>68</v>
      </c>
      <c r="X53" s="19">
        <v>2672</v>
      </c>
      <c r="Y53" s="19">
        <v>240</v>
      </c>
      <c r="Z53" s="19">
        <v>228</v>
      </c>
      <c r="AA53" s="14">
        <v>1</v>
      </c>
    </row>
    <row r="54" spans="1:27">
      <c r="A54" s="16">
        <v>46147.541666666664</v>
      </c>
      <c r="B54" s="17">
        <v>46147</v>
      </c>
      <c r="C54" s="18">
        <v>0.54166666666666663</v>
      </c>
      <c r="D54" t="s">
        <v>73</v>
      </c>
      <c r="E54" t="s">
        <v>142</v>
      </c>
      <c r="F54">
        <v>1</v>
      </c>
      <c r="G54" s="4">
        <v>62.28</v>
      </c>
      <c r="H54" s="4">
        <v>62.28</v>
      </c>
      <c r="I54" s="4">
        <v>77.900000000000006</v>
      </c>
      <c r="J54" s="4">
        <v>68.349999999999994</v>
      </c>
      <c r="K54" s="4">
        <v>68.349999999999994</v>
      </c>
      <c r="L54" s="4">
        <v>60.07</v>
      </c>
      <c r="M54" s="4">
        <v>99.2</v>
      </c>
      <c r="N54" s="4">
        <v>99.2</v>
      </c>
      <c r="O54" s="4">
        <v>89.3</v>
      </c>
      <c r="P54" s="4">
        <v>61.18</v>
      </c>
      <c r="Q54" s="4">
        <v>61.18</v>
      </c>
      <c r="R54" s="4">
        <v>76.040000000000006</v>
      </c>
      <c r="S54" s="19">
        <v>132</v>
      </c>
      <c r="T54" s="19">
        <v>2376</v>
      </c>
      <c r="U54" s="19">
        <v>128</v>
      </c>
      <c r="V54" s="19">
        <v>384</v>
      </c>
      <c r="W54" s="19">
        <v>68</v>
      </c>
      <c r="X54" s="19">
        <v>2756</v>
      </c>
      <c r="Y54" s="19">
        <v>184</v>
      </c>
      <c r="Z54" s="19">
        <v>188</v>
      </c>
      <c r="AA54" s="14">
        <v>1</v>
      </c>
    </row>
    <row r="55" spans="1:27">
      <c r="A55" s="16">
        <v>46147.552083333336</v>
      </c>
      <c r="B55" s="17">
        <v>46147</v>
      </c>
      <c r="C55" s="18">
        <v>0.55208333333333337</v>
      </c>
      <c r="D55" t="s">
        <v>73</v>
      </c>
      <c r="E55" t="s">
        <v>142</v>
      </c>
      <c r="F55">
        <v>1</v>
      </c>
      <c r="G55" s="4">
        <v>90.57</v>
      </c>
      <c r="H55" s="4">
        <v>90.57</v>
      </c>
      <c r="I55" s="4">
        <v>65.3</v>
      </c>
      <c r="J55" s="4">
        <v>101.59</v>
      </c>
      <c r="K55" s="4">
        <v>101.59</v>
      </c>
      <c r="L55" s="4">
        <v>79.28</v>
      </c>
      <c r="M55" s="4">
        <v>95.87</v>
      </c>
      <c r="N55" s="4">
        <v>95.87</v>
      </c>
      <c r="O55" s="4">
        <v>82.9</v>
      </c>
      <c r="P55" s="4">
        <v>73.17</v>
      </c>
      <c r="Q55" s="4">
        <v>73.17</v>
      </c>
      <c r="R55" s="4">
        <v>80.67</v>
      </c>
      <c r="S55" s="19">
        <v>212</v>
      </c>
      <c r="T55" s="19">
        <v>2624</v>
      </c>
      <c r="U55" s="19">
        <v>88</v>
      </c>
      <c r="V55" s="19">
        <v>444</v>
      </c>
      <c r="W55" s="19">
        <v>68</v>
      </c>
      <c r="X55" s="19">
        <v>2564</v>
      </c>
      <c r="Y55" s="19">
        <v>160</v>
      </c>
      <c r="Z55" s="19">
        <v>200</v>
      </c>
      <c r="AA55" s="14">
        <v>1</v>
      </c>
    </row>
    <row r="56" spans="1:27">
      <c r="A56" s="16">
        <v>46147.5625</v>
      </c>
      <c r="B56" s="17">
        <v>46147</v>
      </c>
      <c r="C56" s="18">
        <v>0.5625</v>
      </c>
      <c r="D56" t="s">
        <v>73</v>
      </c>
      <c r="E56" t="s">
        <v>142</v>
      </c>
      <c r="F56">
        <v>1</v>
      </c>
      <c r="G56" s="4">
        <v>67.37</v>
      </c>
      <c r="H56" s="4">
        <v>67.37</v>
      </c>
      <c r="I56" s="4">
        <v>61.55</v>
      </c>
      <c r="J56" s="4">
        <v>107.57</v>
      </c>
      <c r="K56" s="4">
        <v>107.57</v>
      </c>
      <c r="L56" s="4">
        <v>62.6</v>
      </c>
      <c r="M56" s="4">
        <v>95.8</v>
      </c>
      <c r="N56" s="4">
        <v>95.8</v>
      </c>
      <c r="O56" s="4">
        <v>67.599999999999994</v>
      </c>
      <c r="P56" s="4">
        <v>50.1</v>
      </c>
      <c r="Q56" s="4">
        <v>50.1</v>
      </c>
      <c r="R56" s="4">
        <v>81.430000000000007</v>
      </c>
      <c r="S56" s="19">
        <v>260</v>
      </c>
      <c r="T56" s="19">
        <v>2184</v>
      </c>
      <c r="U56" s="19">
        <v>84</v>
      </c>
      <c r="V56" s="19">
        <v>364</v>
      </c>
      <c r="W56" s="19">
        <v>88</v>
      </c>
      <c r="X56" s="19">
        <v>2372</v>
      </c>
      <c r="Y56" s="19">
        <v>228</v>
      </c>
      <c r="Z56" s="19">
        <v>180</v>
      </c>
      <c r="AA56" s="14">
        <v>1</v>
      </c>
    </row>
    <row r="57" spans="1:27">
      <c r="A57" s="16">
        <v>46147.572916666664</v>
      </c>
      <c r="B57" s="17">
        <v>46147</v>
      </c>
      <c r="C57" s="18">
        <v>0.57291666666666663</v>
      </c>
      <c r="D57" t="s">
        <v>73</v>
      </c>
      <c r="E57" t="s">
        <v>142</v>
      </c>
      <c r="F57">
        <v>1</v>
      </c>
      <c r="G57" s="4">
        <v>122.78</v>
      </c>
      <c r="H57" s="4">
        <v>122.78</v>
      </c>
      <c r="I57" s="4">
        <v>81.3</v>
      </c>
      <c r="J57" s="4">
        <v>106.4</v>
      </c>
      <c r="K57" s="4">
        <v>106.4</v>
      </c>
      <c r="L57" s="4">
        <v>75.349999999999994</v>
      </c>
      <c r="M57" s="4">
        <v>103.8</v>
      </c>
      <c r="N57" s="4">
        <v>103.8</v>
      </c>
      <c r="O57" s="4">
        <v>83.3</v>
      </c>
      <c r="P57" s="4">
        <v>71.48</v>
      </c>
      <c r="Q57" s="4">
        <v>71.48</v>
      </c>
      <c r="R57" s="4">
        <v>98.13</v>
      </c>
      <c r="S57" s="19">
        <v>296</v>
      </c>
      <c r="T57" s="19">
        <v>2612</v>
      </c>
      <c r="U57" s="19">
        <v>172</v>
      </c>
      <c r="V57" s="19">
        <v>464</v>
      </c>
      <c r="W57" s="19">
        <v>92</v>
      </c>
      <c r="X57" s="19">
        <v>2624</v>
      </c>
      <c r="Y57" s="19">
        <v>196</v>
      </c>
      <c r="Z57" s="19">
        <v>232</v>
      </c>
      <c r="AA57" s="14">
        <v>1</v>
      </c>
    </row>
    <row r="58" spans="1:27">
      <c r="A58" s="16">
        <v>46147.583333333336</v>
      </c>
      <c r="B58" s="17">
        <v>46147</v>
      </c>
      <c r="C58" s="18">
        <v>0.58333333333333337</v>
      </c>
      <c r="D58" t="s">
        <v>73</v>
      </c>
      <c r="E58" t="s">
        <v>142</v>
      </c>
      <c r="F58">
        <v>1</v>
      </c>
      <c r="G58" s="4">
        <v>90.99</v>
      </c>
      <c r="H58" s="4">
        <v>90.99</v>
      </c>
      <c r="I58" s="4">
        <v>73.8</v>
      </c>
      <c r="J58" s="4">
        <v>59.98</v>
      </c>
      <c r="K58" s="4">
        <v>59.98</v>
      </c>
      <c r="L58" s="4">
        <v>81.03</v>
      </c>
      <c r="M58" s="4">
        <v>92.9</v>
      </c>
      <c r="N58" s="4">
        <v>92.9</v>
      </c>
      <c r="O58" s="4">
        <v>87.43</v>
      </c>
      <c r="P58" s="4">
        <v>52.64</v>
      </c>
      <c r="Q58" s="4">
        <v>52.64</v>
      </c>
      <c r="R58" s="4">
        <v>98.72</v>
      </c>
      <c r="S58" s="19">
        <v>264</v>
      </c>
      <c r="T58" s="19">
        <v>2432</v>
      </c>
      <c r="U58" s="19">
        <v>92</v>
      </c>
      <c r="V58" s="19">
        <v>372</v>
      </c>
      <c r="W58" s="19">
        <v>64</v>
      </c>
      <c r="X58" s="19">
        <v>2548</v>
      </c>
      <c r="Y58" s="19">
        <v>160</v>
      </c>
      <c r="Z58" s="19">
        <v>224</v>
      </c>
      <c r="AA58" s="14">
        <v>1</v>
      </c>
    </row>
    <row r="59" spans="1:27">
      <c r="A59" s="16">
        <v>46147.59375</v>
      </c>
      <c r="B59" s="17">
        <v>46147</v>
      </c>
      <c r="C59" s="18">
        <v>0.59375</v>
      </c>
      <c r="D59" t="s">
        <v>73</v>
      </c>
      <c r="E59" t="s">
        <v>142</v>
      </c>
      <c r="F59">
        <v>1</v>
      </c>
      <c r="G59" s="4">
        <v>99.57</v>
      </c>
      <c r="H59" s="4">
        <v>99.57</v>
      </c>
      <c r="I59" s="4">
        <v>70.900000000000006</v>
      </c>
      <c r="J59" s="4">
        <v>50.28</v>
      </c>
      <c r="K59" s="4">
        <v>50.28</v>
      </c>
      <c r="L59" s="4">
        <v>54.57</v>
      </c>
      <c r="M59" s="4">
        <v>98.37</v>
      </c>
      <c r="N59" s="4">
        <v>98.37</v>
      </c>
      <c r="O59" s="4">
        <v>82.36</v>
      </c>
      <c r="P59" s="4">
        <v>71.87</v>
      </c>
      <c r="Q59" s="4">
        <v>71.87</v>
      </c>
      <c r="R59" s="4">
        <v>77.569999999999993</v>
      </c>
      <c r="S59" s="19">
        <v>352</v>
      </c>
      <c r="T59" s="19">
        <v>2416</v>
      </c>
      <c r="U59" s="19">
        <v>100</v>
      </c>
      <c r="V59" s="19">
        <v>488</v>
      </c>
      <c r="W59" s="19">
        <v>72</v>
      </c>
      <c r="X59" s="19">
        <v>2760</v>
      </c>
      <c r="Y59" s="19">
        <v>180</v>
      </c>
      <c r="Z59" s="19">
        <v>248</v>
      </c>
      <c r="AA59" s="14">
        <v>1</v>
      </c>
    </row>
    <row r="60" spans="1:27">
      <c r="A60" s="16">
        <v>46147.604166666664</v>
      </c>
      <c r="B60" s="17">
        <v>46147</v>
      </c>
      <c r="C60" s="18">
        <v>0.60416666666666663</v>
      </c>
      <c r="D60" t="s">
        <v>73</v>
      </c>
      <c r="E60" t="s">
        <v>142</v>
      </c>
      <c r="F60">
        <v>1</v>
      </c>
      <c r="G60" s="4">
        <v>80.28</v>
      </c>
      <c r="H60" s="4">
        <v>80.28</v>
      </c>
      <c r="I60" s="4">
        <v>75.03</v>
      </c>
      <c r="J60" s="4">
        <v>94.12</v>
      </c>
      <c r="K60" s="4">
        <v>94.12</v>
      </c>
      <c r="L60" s="4">
        <v>58.82</v>
      </c>
      <c r="M60" s="4">
        <v>99.97</v>
      </c>
      <c r="N60" s="4">
        <v>99.97</v>
      </c>
      <c r="O60" s="4">
        <v>85.1</v>
      </c>
      <c r="P60" s="4">
        <v>104.92</v>
      </c>
      <c r="Q60" s="4">
        <v>104.92</v>
      </c>
      <c r="R60" s="4">
        <v>82.35</v>
      </c>
      <c r="S60" s="19">
        <v>304</v>
      </c>
      <c r="T60" s="19">
        <v>2292</v>
      </c>
      <c r="U60" s="19">
        <v>124</v>
      </c>
      <c r="V60" s="19">
        <v>424</v>
      </c>
      <c r="W60" s="19">
        <v>52</v>
      </c>
      <c r="X60" s="19">
        <v>2544</v>
      </c>
      <c r="Y60" s="19">
        <v>136</v>
      </c>
      <c r="Z60" s="19">
        <v>192</v>
      </c>
      <c r="AA60" s="14">
        <v>1</v>
      </c>
    </row>
    <row r="61" spans="1:27">
      <c r="A61" s="16">
        <v>46147.614583333336</v>
      </c>
      <c r="B61" s="17">
        <v>46147</v>
      </c>
      <c r="C61" s="18">
        <v>0.61458333333333337</v>
      </c>
      <c r="D61" t="s">
        <v>73</v>
      </c>
      <c r="E61" t="s">
        <v>142</v>
      </c>
      <c r="F61">
        <v>1</v>
      </c>
      <c r="G61" s="4">
        <v>83.54</v>
      </c>
      <c r="H61" s="4">
        <v>83.54</v>
      </c>
      <c r="I61" s="4">
        <v>65.3</v>
      </c>
      <c r="J61" s="4">
        <v>72.599999999999994</v>
      </c>
      <c r="K61" s="4">
        <v>72.599999999999994</v>
      </c>
      <c r="L61" s="4">
        <v>81.099999999999994</v>
      </c>
      <c r="M61" s="4">
        <v>103.8</v>
      </c>
      <c r="N61" s="4">
        <v>103.8</v>
      </c>
      <c r="O61" s="4">
        <v>88.97</v>
      </c>
      <c r="P61" s="4">
        <v>90.02</v>
      </c>
      <c r="Q61" s="4">
        <v>90.02</v>
      </c>
      <c r="R61" s="4">
        <v>73.45</v>
      </c>
      <c r="S61" s="19">
        <v>268</v>
      </c>
      <c r="T61" s="19">
        <v>2776</v>
      </c>
      <c r="U61" s="19">
        <v>104</v>
      </c>
      <c r="V61" s="19">
        <v>416</v>
      </c>
      <c r="W61" s="19">
        <v>100</v>
      </c>
      <c r="X61" s="19">
        <v>2840</v>
      </c>
      <c r="Y61" s="19">
        <v>324</v>
      </c>
      <c r="Z61" s="19">
        <v>200</v>
      </c>
      <c r="AA61" s="14">
        <v>1</v>
      </c>
    </row>
    <row r="62" spans="1:27">
      <c r="A62" s="16">
        <v>46147.625</v>
      </c>
      <c r="B62" s="17">
        <v>46147</v>
      </c>
      <c r="C62" s="18">
        <v>0.625</v>
      </c>
      <c r="D62" t="s">
        <v>73</v>
      </c>
      <c r="E62" t="s">
        <v>142</v>
      </c>
      <c r="F62">
        <v>1</v>
      </c>
      <c r="G62" s="4">
        <v>91.95</v>
      </c>
      <c r="H62" s="4">
        <v>91.95</v>
      </c>
      <c r="I62" s="4">
        <v>78.55</v>
      </c>
      <c r="J62" s="4">
        <v>73.36</v>
      </c>
      <c r="K62" s="4">
        <v>73.36</v>
      </c>
      <c r="L62" s="4">
        <v>77.98</v>
      </c>
      <c r="M62" s="4">
        <v>97.83</v>
      </c>
      <c r="N62" s="4">
        <v>97.83</v>
      </c>
      <c r="O62" s="4">
        <v>88.67</v>
      </c>
      <c r="P62" s="4">
        <v>85.95</v>
      </c>
      <c r="Q62" s="4">
        <v>85.95</v>
      </c>
      <c r="R62" s="4">
        <v>78.38</v>
      </c>
      <c r="S62" s="19">
        <v>168</v>
      </c>
      <c r="T62" s="19">
        <v>2528</v>
      </c>
      <c r="U62" s="19">
        <v>108</v>
      </c>
      <c r="V62" s="19">
        <v>488</v>
      </c>
      <c r="W62" s="19">
        <v>68</v>
      </c>
      <c r="X62" s="19">
        <v>2908</v>
      </c>
      <c r="Y62" s="19">
        <v>224</v>
      </c>
      <c r="Z62" s="19">
        <v>304</v>
      </c>
      <c r="AA62" s="14">
        <v>1</v>
      </c>
    </row>
    <row r="63" spans="1:27">
      <c r="A63" s="16">
        <v>46147.635416666664</v>
      </c>
      <c r="B63" s="17">
        <v>46147</v>
      </c>
      <c r="C63" s="18">
        <v>0.63541666666666663</v>
      </c>
      <c r="D63" t="s">
        <v>73</v>
      </c>
      <c r="E63" t="s">
        <v>142</v>
      </c>
      <c r="F63">
        <v>1</v>
      </c>
      <c r="G63" s="4">
        <v>105.08</v>
      </c>
      <c r="H63" s="4">
        <v>105.08</v>
      </c>
      <c r="I63" s="4">
        <v>91.9</v>
      </c>
      <c r="J63" s="4">
        <v>72.430000000000007</v>
      </c>
      <c r="K63" s="4">
        <v>72.430000000000007</v>
      </c>
      <c r="L63" s="4">
        <v>72.94</v>
      </c>
      <c r="M63" s="4">
        <v>85.5</v>
      </c>
      <c r="N63" s="4">
        <v>85.5</v>
      </c>
      <c r="O63" s="4">
        <v>67</v>
      </c>
      <c r="P63" s="4">
        <v>70.13</v>
      </c>
      <c r="Q63" s="4">
        <v>70.13</v>
      </c>
      <c r="R63" s="4">
        <v>64.63</v>
      </c>
      <c r="S63" s="19">
        <v>560</v>
      </c>
      <c r="T63" s="19">
        <v>2588</v>
      </c>
      <c r="U63" s="19">
        <v>128</v>
      </c>
      <c r="V63" s="19">
        <v>544</v>
      </c>
      <c r="W63" s="19">
        <v>76</v>
      </c>
      <c r="X63" s="19">
        <v>2788</v>
      </c>
      <c r="Y63" s="19">
        <v>252</v>
      </c>
      <c r="Z63" s="19">
        <v>220</v>
      </c>
      <c r="AA63" s="14">
        <v>1</v>
      </c>
    </row>
    <row r="64" spans="1:27">
      <c r="A64" s="16">
        <v>46147.645833333336</v>
      </c>
      <c r="B64" s="17">
        <v>46147</v>
      </c>
      <c r="C64" s="18">
        <v>0.64583333333333337</v>
      </c>
      <c r="D64" t="s">
        <v>73</v>
      </c>
      <c r="E64" t="s">
        <v>142</v>
      </c>
      <c r="F64">
        <v>1</v>
      </c>
      <c r="G64" s="4">
        <v>75.02</v>
      </c>
      <c r="H64" s="4">
        <v>75.02</v>
      </c>
      <c r="I64" s="4">
        <v>0</v>
      </c>
      <c r="J64" s="4">
        <v>98.17</v>
      </c>
      <c r="K64" s="4">
        <v>98.17</v>
      </c>
      <c r="L64" s="4">
        <v>89.94</v>
      </c>
      <c r="M64" s="4">
        <v>114.08</v>
      </c>
      <c r="N64" s="4">
        <v>114.08</v>
      </c>
      <c r="O64" s="4">
        <v>93.2</v>
      </c>
      <c r="P64" s="4">
        <v>131.46</v>
      </c>
      <c r="Q64" s="4">
        <v>131.46</v>
      </c>
      <c r="R64" s="4">
        <v>89.5</v>
      </c>
      <c r="S64" s="19">
        <v>120</v>
      </c>
      <c r="T64" s="19">
        <v>2524</v>
      </c>
      <c r="U64" s="19">
        <v>232</v>
      </c>
      <c r="V64" s="19">
        <v>392</v>
      </c>
      <c r="W64" s="19">
        <v>80</v>
      </c>
      <c r="X64" s="19">
        <v>2820</v>
      </c>
      <c r="Y64" s="19">
        <v>168</v>
      </c>
      <c r="Z64" s="19">
        <v>160</v>
      </c>
      <c r="AA64" s="14">
        <v>1</v>
      </c>
    </row>
    <row r="65" spans="1:27">
      <c r="A65" s="16">
        <v>46147.65625</v>
      </c>
      <c r="B65" s="17">
        <v>46147</v>
      </c>
      <c r="C65" s="18">
        <v>0.65625</v>
      </c>
      <c r="D65" t="s">
        <v>73</v>
      </c>
      <c r="E65" t="s">
        <v>142</v>
      </c>
      <c r="F65">
        <v>1</v>
      </c>
      <c r="G65" s="4">
        <v>95.2</v>
      </c>
      <c r="H65" s="4">
        <v>95.2</v>
      </c>
      <c r="I65" s="4">
        <v>65.900000000000006</v>
      </c>
      <c r="J65" s="4">
        <v>68.92</v>
      </c>
      <c r="K65" s="4">
        <v>68.92</v>
      </c>
      <c r="L65" s="4">
        <v>71.23</v>
      </c>
      <c r="M65" s="4">
        <v>114.38</v>
      </c>
      <c r="N65" s="4">
        <v>114.38</v>
      </c>
      <c r="O65" s="4">
        <v>92.65</v>
      </c>
      <c r="P65" s="4">
        <v>69.040000000000006</v>
      </c>
      <c r="Q65" s="4">
        <v>69.040000000000006</v>
      </c>
      <c r="R65" s="4">
        <v>128.9</v>
      </c>
      <c r="S65" s="19">
        <v>200</v>
      </c>
      <c r="T65" s="19">
        <v>2568</v>
      </c>
      <c r="U65" s="19">
        <v>104</v>
      </c>
      <c r="V65" s="19">
        <v>300</v>
      </c>
      <c r="W65" s="19">
        <v>80</v>
      </c>
      <c r="X65" s="19">
        <v>2824</v>
      </c>
      <c r="Y65" s="19">
        <v>212</v>
      </c>
      <c r="Z65" s="19">
        <v>216</v>
      </c>
      <c r="AA65" s="14">
        <v>1</v>
      </c>
    </row>
    <row r="66" spans="1:27">
      <c r="A66" s="16">
        <v>46147.666666666664</v>
      </c>
      <c r="B66" s="17">
        <v>46147</v>
      </c>
      <c r="C66" s="18">
        <v>0.66666666666666663</v>
      </c>
      <c r="D66" t="s">
        <v>73</v>
      </c>
      <c r="E66" t="s">
        <v>142</v>
      </c>
      <c r="F66">
        <v>1</v>
      </c>
      <c r="G66" s="4">
        <v>107.76</v>
      </c>
      <c r="H66" s="4">
        <v>107.76</v>
      </c>
      <c r="I66" s="4">
        <v>93.5</v>
      </c>
      <c r="J66" s="4">
        <v>70.63</v>
      </c>
      <c r="K66" s="4">
        <v>70.63</v>
      </c>
      <c r="L66" s="4">
        <v>93.05</v>
      </c>
      <c r="M66" s="4">
        <v>113.7</v>
      </c>
      <c r="N66" s="4">
        <v>113.7</v>
      </c>
      <c r="O66" s="4">
        <v>91</v>
      </c>
      <c r="P66" s="4">
        <v>113.53</v>
      </c>
      <c r="Q66" s="4">
        <v>113.53</v>
      </c>
      <c r="R66" s="4">
        <v>96.7</v>
      </c>
      <c r="S66" s="19">
        <v>112</v>
      </c>
      <c r="T66" s="19">
        <v>2416</v>
      </c>
      <c r="U66" s="19">
        <v>72</v>
      </c>
      <c r="V66" s="19">
        <v>416</v>
      </c>
      <c r="W66" s="19">
        <v>56</v>
      </c>
      <c r="X66" s="19">
        <v>2924</v>
      </c>
      <c r="Y66" s="19">
        <v>116</v>
      </c>
      <c r="Z66" s="19">
        <v>172</v>
      </c>
      <c r="AA66" s="14">
        <v>1</v>
      </c>
    </row>
    <row r="67" spans="1:27">
      <c r="A67" s="16">
        <v>46147.677083333336</v>
      </c>
      <c r="B67" s="17">
        <v>46147</v>
      </c>
      <c r="C67" s="18">
        <v>0.67708333333333337</v>
      </c>
      <c r="D67" t="s">
        <v>73</v>
      </c>
      <c r="E67" t="s">
        <v>142</v>
      </c>
      <c r="F67">
        <v>1</v>
      </c>
      <c r="G67" s="4">
        <v>106.72</v>
      </c>
      <c r="H67" s="4">
        <v>106.72</v>
      </c>
      <c r="I67" s="4">
        <v>55</v>
      </c>
      <c r="J67" s="4">
        <v>153.6</v>
      </c>
      <c r="K67" s="4">
        <v>153.6</v>
      </c>
      <c r="L67" s="4">
        <v>97.15</v>
      </c>
      <c r="M67" s="4">
        <v>113.9</v>
      </c>
      <c r="N67" s="4">
        <v>113.9</v>
      </c>
      <c r="O67" s="4">
        <v>94.3</v>
      </c>
      <c r="P67" s="4">
        <v>129.4</v>
      </c>
      <c r="Q67" s="4">
        <v>129.4</v>
      </c>
      <c r="R67" s="4">
        <v>94.05</v>
      </c>
      <c r="S67" s="19">
        <v>264</v>
      </c>
      <c r="T67" s="19">
        <v>2516</v>
      </c>
      <c r="U67" s="19">
        <v>164</v>
      </c>
      <c r="V67" s="19">
        <v>260</v>
      </c>
      <c r="W67" s="19">
        <v>80</v>
      </c>
      <c r="X67" s="19">
        <v>2812</v>
      </c>
      <c r="Y67" s="19">
        <v>112</v>
      </c>
      <c r="Z67" s="19">
        <v>172</v>
      </c>
      <c r="AA67" s="14">
        <v>1</v>
      </c>
    </row>
    <row r="68" spans="1:27">
      <c r="A68" s="16">
        <v>46147.6875</v>
      </c>
      <c r="B68" s="17">
        <v>46147</v>
      </c>
      <c r="C68" s="18">
        <v>0.6875</v>
      </c>
      <c r="D68" t="s">
        <v>73</v>
      </c>
      <c r="E68" t="s">
        <v>142</v>
      </c>
      <c r="F68">
        <v>1</v>
      </c>
      <c r="G68" s="4">
        <v>107.78</v>
      </c>
      <c r="H68" s="4">
        <v>107.78</v>
      </c>
      <c r="I68" s="4">
        <v>92.45</v>
      </c>
      <c r="J68" s="4">
        <v>72.94</v>
      </c>
      <c r="K68" s="4">
        <v>72.94</v>
      </c>
      <c r="L68" s="4">
        <v>103.2</v>
      </c>
      <c r="M68" s="4">
        <v>112.93</v>
      </c>
      <c r="N68" s="4">
        <v>112.93</v>
      </c>
      <c r="O68" s="4">
        <v>89.78</v>
      </c>
      <c r="P68" s="4">
        <v>123.78</v>
      </c>
      <c r="Q68" s="4">
        <v>123.78</v>
      </c>
      <c r="R68" s="4">
        <v>0</v>
      </c>
      <c r="S68" s="19">
        <v>192</v>
      </c>
      <c r="T68" s="19">
        <v>2732</v>
      </c>
      <c r="U68" s="19">
        <v>108</v>
      </c>
      <c r="V68" s="19">
        <v>424</v>
      </c>
      <c r="W68" s="19">
        <v>112</v>
      </c>
      <c r="X68" s="19">
        <v>2976</v>
      </c>
      <c r="Y68" s="19">
        <v>164</v>
      </c>
      <c r="Z68" s="19">
        <v>240</v>
      </c>
      <c r="AA68" s="14">
        <v>1</v>
      </c>
    </row>
    <row r="69" spans="1:27">
      <c r="A69" s="16">
        <v>46147.697916666664</v>
      </c>
      <c r="B69" s="17">
        <v>46147</v>
      </c>
      <c r="C69" s="18">
        <v>0.69791666666666663</v>
      </c>
      <c r="D69" t="s">
        <v>73</v>
      </c>
      <c r="E69" t="s">
        <v>142</v>
      </c>
      <c r="F69">
        <v>1</v>
      </c>
      <c r="G69" s="4">
        <v>109.22</v>
      </c>
      <c r="H69" s="4">
        <v>109.22</v>
      </c>
      <c r="I69" s="4">
        <v>91.23</v>
      </c>
      <c r="J69" s="4">
        <v>98.14</v>
      </c>
      <c r="K69" s="4">
        <v>98.14</v>
      </c>
      <c r="L69" s="4">
        <v>84.96</v>
      </c>
      <c r="M69" s="4">
        <v>105.68</v>
      </c>
      <c r="N69" s="4">
        <v>105.68</v>
      </c>
      <c r="O69" s="4">
        <v>96.93</v>
      </c>
      <c r="P69" s="4">
        <v>79.349999999999994</v>
      </c>
      <c r="Q69" s="4">
        <v>79.349999999999994</v>
      </c>
      <c r="R69" s="4">
        <v>81.45</v>
      </c>
      <c r="S69" s="19">
        <v>100</v>
      </c>
      <c r="T69" s="19">
        <v>2684</v>
      </c>
      <c r="U69" s="19">
        <v>140</v>
      </c>
      <c r="V69" s="19">
        <v>288</v>
      </c>
      <c r="W69" s="19">
        <v>112</v>
      </c>
      <c r="X69" s="19">
        <v>2908</v>
      </c>
      <c r="Y69" s="19">
        <v>140</v>
      </c>
      <c r="Z69" s="19">
        <v>220</v>
      </c>
      <c r="AA69" s="14">
        <v>1</v>
      </c>
    </row>
    <row r="70" spans="1:27">
      <c r="A70" s="16">
        <v>46147.708333333336</v>
      </c>
      <c r="B70" s="17">
        <v>46147</v>
      </c>
      <c r="C70" s="18">
        <v>0.70833333333333337</v>
      </c>
      <c r="D70" t="s">
        <v>73</v>
      </c>
      <c r="E70" t="s">
        <v>142</v>
      </c>
      <c r="F70">
        <v>1</v>
      </c>
      <c r="G70" s="4">
        <v>91.56</v>
      </c>
      <c r="H70" s="4">
        <v>91.56</v>
      </c>
      <c r="I70" s="4">
        <v>91.27</v>
      </c>
      <c r="J70" s="4">
        <v>74.47</v>
      </c>
      <c r="K70" s="4">
        <v>74.47</v>
      </c>
      <c r="L70" s="4">
        <v>83.58</v>
      </c>
      <c r="M70" s="4">
        <v>98.5</v>
      </c>
      <c r="N70" s="4">
        <v>98.5</v>
      </c>
      <c r="O70" s="4">
        <v>97.9</v>
      </c>
      <c r="P70" s="4">
        <v>131.38</v>
      </c>
      <c r="Q70" s="4">
        <v>131.38</v>
      </c>
      <c r="R70" s="4">
        <v>87.45</v>
      </c>
      <c r="S70" s="19">
        <v>132</v>
      </c>
      <c r="T70" s="19">
        <v>2768</v>
      </c>
      <c r="U70" s="19">
        <v>384</v>
      </c>
      <c r="V70" s="19">
        <v>312</v>
      </c>
      <c r="W70" s="19">
        <v>52</v>
      </c>
      <c r="X70" s="19">
        <v>3040</v>
      </c>
      <c r="Y70" s="19">
        <v>264</v>
      </c>
      <c r="Z70" s="19">
        <v>164</v>
      </c>
      <c r="AA70" s="14">
        <v>1</v>
      </c>
    </row>
    <row r="71" spans="1:27">
      <c r="A71" s="16">
        <v>46147.71875</v>
      </c>
      <c r="B71" s="17">
        <v>46147</v>
      </c>
      <c r="C71" s="18">
        <v>0.71875</v>
      </c>
      <c r="D71" t="s">
        <v>73</v>
      </c>
      <c r="E71" t="s">
        <v>142</v>
      </c>
      <c r="F71">
        <v>1</v>
      </c>
      <c r="G71" s="4">
        <v>96.2</v>
      </c>
      <c r="H71" s="4">
        <v>96.2</v>
      </c>
      <c r="I71" s="4">
        <v>98.2</v>
      </c>
      <c r="J71" s="4">
        <v>80.650000000000006</v>
      </c>
      <c r="K71" s="4">
        <v>80.650000000000006</v>
      </c>
      <c r="L71" s="4">
        <v>93.53</v>
      </c>
      <c r="M71" s="4">
        <v>112.2</v>
      </c>
      <c r="N71" s="4">
        <v>112.2</v>
      </c>
      <c r="O71" s="4">
        <v>0</v>
      </c>
      <c r="P71" s="4">
        <v>72.5</v>
      </c>
      <c r="Q71" s="4">
        <v>72.5</v>
      </c>
      <c r="R71" s="4">
        <v>0</v>
      </c>
      <c r="S71" s="19">
        <v>188</v>
      </c>
      <c r="T71" s="19">
        <v>2416</v>
      </c>
      <c r="U71" s="19">
        <v>128</v>
      </c>
      <c r="V71" s="19">
        <v>384</v>
      </c>
      <c r="W71" s="19">
        <v>84</v>
      </c>
      <c r="X71" s="19">
        <v>2820</v>
      </c>
      <c r="Y71" s="19">
        <v>260</v>
      </c>
      <c r="Z71" s="19">
        <v>252</v>
      </c>
      <c r="AA71" s="14">
        <v>1</v>
      </c>
    </row>
    <row r="72" spans="1:27">
      <c r="A72" s="16">
        <v>46147.729166666664</v>
      </c>
      <c r="B72" s="17">
        <v>46147</v>
      </c>
      <c r="C72" s="18">
        <v>0.72916666666666663</v>
      </c>
      <c r="D72" t="s">
        <v>73</v>
      </c>
      <c r="E72" t="s">
        <v>142</v>
      </c>
      <c r="F72">
        <v>1</v>
      </c>
      <c r="G72" s="4">
        <v>94.17</v>
      </c>
      <c r="H72" s="4">
        <v>94.17</v>
      </c>
      <c r="I72" s="4">
        <v>0</v>
      </c>
      <c r="J72" s="4">
        <v>68.77</v>
      </c>
      <c r="K72" s="4">
        <v>68.77</v>
      </c>
      <c r="L72" s="4">
        <v>87.28</v>
      </c>
      <c r="M72" s="4">
        <v>114.27</v>
      </c>
      <c r="N72" s="4">
        <v>114.27</v>
      </c>
      <c r="O72" s="4">
        <v>99</v>
      </c>
      <c r="P72" s="4">
        <v>69.72</v>
      </c>
      <c r="Q72" s="4">
        <v>69.72</v>
      </c>
      <c r="R72" s="4">
        <v>94.25</v>
      </c>
      <c r="S72" s="19">
        <v>152</v>
      </c>
      <c r="T72" s="19">
        <v>2204</v>
      </c>
      <c r="U72" s="19">
        <v>76</v>
      </c>
      <c r="V72" s="19">
        <v>328</v>
      </c>
      <c r="W72" s="19">
        <v>56</v>
      </c>
      <c r="X72" s="19">
        <v>2576</v>
      </c>
      <c r="Y72" s="19">
        <v>108</v>
      </c>
      <c r="Z72" s="19">
        <v>160</v>
      </c>
      <c r="AA72" s="14">
        <v>1</v>
      </c>
    </row>
    <row r="73" spans="1:27">
      <c r="A73" s="16">
        <v>46147.739583333336</v>
      </c>
      <c r="B73" s="17">
        <v>46147</v>
      </c>
      <c r="C73" s="18">
        <v>0.73958333333333337</v>
      </c>
      <c r="D73" t="s">
        <v>73</v>
      </c>
      <c r="E73" t="s">
        <v>142</v>
      </c>
      <c r="F73">
        <v>1</v>
      </c>
      <c r="G73" s="4">
        <v>129.55000000000001</v>
      </c>
      <c r="H73" s="4">
        <v>129.55000000000001</v>
      </c>
      <c r="I73" s="4">
        <v>98.6</v>
      </c>
      <c r="J73" s="4">
        <v>107.22</v>
      </c>
      <c r="K73" s="4">
        <v>107.22</v>
      </c>
      <c r="L73" s="4">
        <v>97.93</v>
      </c>
      <c r="M73" s="4">
        <v>134.25</v>
      </c>
      <c r="N73" s="4">
        <v>134.25</v>
      </c>
      <c r="O73" s="4">
        <v>91.7</v>
      </c>
      <c r="P73" s="4">
        <v>138.08000000000001</v>
      </c>
      <c r="Q73" s="4">
        <v>138.08000000000001</v>
      </c>
      <c r="R73" s="4">
        <v>106.2</v>
      </c>
      <c r="S73" s="19">
        <v>248</v>
      </c>
      <c r="T73" s="19">
        <v>2608</v>
      </c>
      <c r="U73" s="19">
        <v>112</v>
      </c>
      <c r="V73" s="19">
        <v>436</v>
      </c>
      <c r="W73" s="19">
        <v>140</v>
      </c>
      <c r="X73" s="19">
        <v>3020</v>
      </c>
      <c r="Y73" s="19">
        <v>140</v>
      </c>
      <c r="Z73" s="19">
        <v>144</v>
      </c>
      <c r="AA73" s="14">
        <v>1</v>
      </c>
    </row>
    <row r="74" spans="1:27">
      <c r="A74" s="16">
        <v>46147.75</v>
      </c>
      <c r="B74" s="17">
        <v>46147</v>
      </c>
      <c r="C74" s="18">
        <v>0.75</v>
      </c>
      <c r="D74" t="s">
        <v>73</v>
      </c>
      <c r="E74" t="s">
        <v>142</v>
      </c>
      <c r="F74">
        <v>1</v>
      </c>
      <c r="G74" s="4">
        <v>81.48</v>
      </c>
      <c r="H74" s="4">
        <v>81.48</v>
      </c>
      <c r="I74" s="4">
        <v>93.07</v>
      </c>
      <c r="J74" s="4">
        <v>69.23</v>
      </c>
      <c r="K74" s="4">
        <v>69.23</v>
      </c>
      <c r="L74" s="4">
        <v>92.06</v>
      </c>
      <c r="M74" s="4">
        <v>104.4</v>
      </c>
      <c r="N74" s="4">
        <v>104.4</v>
      </c>
      <c r="O74" s="4">
        <v>97.33</v>
      </c>
      <c r="P74" s="4">
        <v>87.92</v>
      </c>
      <c r="Q74" s="4">
        <v>87.92</v>
      </c>
      <c r="R74" s="4">
        <v>86.15</v>
      </c>
      <c r="S74" s="19">
        <v>148</v>
      </c>
      <c r="T74" s="19">
        <v>2592</v>
      </c>
      <c r="U74" s="19">
        <v>88</v>
      </c>
      <c r="V74" s="19">
        <v>480</v>
      </c>
      <c r="W74" s="19">
        <v>96</v>
      </c>
      <c r="X74" s="19">
        <v>2860</v>
      </c>
      <c r="Y74" s="19">
        <v>268</v>
      </c>
      <c r="Z74" s="19">
        <v>268</v>
      </c>
      <c r="AA74" s="14">
        <v>1</v>
      </c>
    </row>
    <row r="75" spans="1:27">
      <c r="A75" s="16">
        <v>46147.760416666664</v>
      </c>
      <c r="B75" s="17">
        <v>46147</v>
      </c>
      <c r="C75" s="18">
        <v>0.76041666666666663</v>
      </c>
      <c r="D75" t="s">
        <v>73</v>
      </c>
      <c r="E75" t="s">
        <v>142</v>
      </c>
      <c r="F75">
        <v>1</v>
      </c>
      <c r="G75" s="4">
        <v>104.68</v>
      </c>
      <c r="H75" s="4">
        <v>104.68</v>
      </c>
      <c r="I75" s="4">
        <v>89.85</v>
      </c>
      <c r="J75" s="4">
        <v>95.85</v>
      </c>
      <c r="K75" s="4">
        <v>95.85</v>
      </c>
      <c r="L75" s="4">
        <v>92.92</v>
      </c>
      <c r="M75" s="4">
        <v>110.38</v>
      </c>
      <c r="N75" s="4">
        <v>110.38</v>
      </c>
      <c r="O75" s="4">
        <v>89.85</v>
      </c>
      <c r="P75" s="4">
        <v>39.369999999999997</v>
      </c>
      <c r="Q75" s="4">
        <v>39.369999999999997</v>
      </c>
      <c r="R75" s="4">
        <v>95.5</v>
      </c>
      <c r="S75" s="19">
        <v>124</v>
      </c>
      <c r="T75" s="19">
        <v>2556</v>
      </c>
      <c r="U75" s="19">
        <v>92</v>
      </c>
      <c r="V75" s="19">
        <v>456</v>
      </c>
      <c r="W75" s="19">
        <v>92</v>
      </c>
      <c r="X75" s="19">
        <v>2668</v>
      </c>
      <c r="Y75" s="19">
        <v>176</v>
      </c>
      <c r="Z75" s="19">
        <v>216</v>
      </c>
      <c r="AA75" s="14">
        <v>1</v>
      </c>
    </row>
    <row r="76" spans="1:27">
      <c r="A76" s="16">
        <v>46147.770833333336</v>
      </c>
      <c r="B76" s="17">
        <v>46147</v>
      </c>
      <c r="C76" s="18">
        <v>0.77083333333333337</v>
      </c>
      <c r="D76" t="s">
        <v>73</v>
      </c>
      <c r="E76" t="s">
        <v>142</v>
      </c>
      <c r="F76">
        <v>1</v>
      </c>
      <c r="G76" s="4">
        <v>109.45</v>
      </c>
      <c r="H76" s="4">
        <v>109.45</v>
      </c>
      <c r="I76" s="4">
        <v>72.25</v>
      </c>
      <c r="J76" s="4">
        <v>108.72</v>
      </c>
      <c r="K76" s="4">
        <v>108.72</v>
      </c>
      <c r="L76" s="4">
        <v>94.65</v>
      </c>
      <c r="M76" s="4">
        <v>107.1</v>
      </c>
      <c r="N76" s="4">
        <v>107.1</v>
      </c>
      <c r="O76" s="4">
        <v>96.5</v>
      </c>
      <c r="P76" s="4">
        <v>124.85</v>
      </c>
      <c r="Q76" s="4">
        <v>124.85</v>
      </c>
      <c r="R76" s="4">
        <v>102.75</v>
      </c>
      <c r="S76" s="19">
        <v>216</v>
      </c>
      <c r="T76" s="19">
        <v>2312</v>
      </c>
      <c r="U76" s="19">
        <v>104</v>
      </c>
      <c r="V76" s="19">
        <v>392</v>
      </c>
      <c r="W76" s="19">
        <v>92</v>
      </c>
      <c r="X76" s="19">
        <v>2620</v>
      </c>
      <c r="Y76" s="19">
        <v>76</v>
      </c>
      <c r="Z76" s="19">
        <v>260</v>
      </c>
      <c r="AA76" s="14">
        <v>1</v>
      </c>
    </row>
    <row r="77" spans="1:27">
      <c r="A77" s="16">
        <v>46147.78125</v>
      </c>
      <c r="B77" s="17">
        <v>46147</v>
      </c>
      <c r="C77" s="18">
        <v>0.78125</v>
      </c>
      <c r="D77" t="s">
        <v>73</v>
      </c>
      <c r="E77" t="s">
        <v>142</v>
      </c>
      <c r="F77">
        <v>1</v>
      </c>
      <c r="G77" s="4">
        <v>82.03</v>
      </c>
      <c r="H77" s="4">
        <v>82.03</v>
      </c>
      <c r="I77" s="4">
        <v>78.7</v>
      </c>
      <c r="J77" s="4">
        <v>66.72</v>
      </c>
      <c r="K77" s="4">
        <v>66.72</v>
      </c>
      <c r="L77" s="4">
        <v>89</v>
      </c>
      <c r="M77" s="4">
        <v>102.23</v>
      </c>
      <c r="N77" s="4">
        <v>102.23</v>
      </c>
      <c r="O77" s="4">
        <v>78.88</v>
      </c>
      <c r="P77" s="4">
        <v>115.2</v>
      </c>
      <c r="Q77" s="4">
        <v>115.2</v>
      </c>
      <c r="R77" s="4">
        <v>101.52</v>
      </c>
      <c r="S77" s="19">
        <v>216</v>
      </c>
      <c r="T77" s="19">
        <v>2248</v>
      </c>
      <c r="U77" s="19">
        <v>96</v>
      </c>
      <c r="V77" s="19">
        <v>324</v>
      </c>
      <c r="W77" s="19">
        <v>96</v>
      </c>
      <c r="X77" s="19">
        <v>2448</v>
      </c>
      <c r="Y77" s="19">
        <v>128</v>
      </c>
      <c r="Z77" s="19">
        <v>152</v>
      </c>
      <c r="AA77" s="14">
        <v>1</v>
      </c>
    </row>
    <row r="78" spans="1:27">
      <c r="A78" s="16">
        <v>46147.791666666664</v>
      </c>
      <c r="B78" s="17">
        <v>46147</v>
      </c>
      <c r="C78" s="18">
        <v>0.79166666666666663</v>
      </c>
      <c r="D78" t="s">
        <v>73</v>
      </c>
      <c r="E78" t="s">
        <v>142</v>
      </c>
      <c r="F78">
        <v>1</v>
      </c>
      <c r="G78" s="4">
        <v>93.25</v>
      </c>
      <c r="H78" s="4">
        <v>93.25</v>
      </c>
      <c r="I78" s="4">
        <v>77</v>
      </c>
      <c r="J78" s="4">
        <v>88</v>
      </c>
      <c r="K78" s="4">
        <v>88</v>
      </c>
      <c r="L78" s="4">
        <v>99.22</v>
      </c>
      <c r="M78" s="4">
        <v>106.95</v>
      </c>
      <c r="N78" s="4">
        <v>106.95</v>
      </c>
      <c r="O78" s="4">
        <v>91.15</v>
      </c>
      <c r="P78" s="4">
        <v>121.83</v>
      </c>
      <c r="Q78" s="4">
        <v>121.83</v>
      </c>
      <c r="R78" s="4">
        <v>102.95</v>
      </c>
      <c r="S78" s="19">
        <v>152</v>
      </c>
      <c r="T78" s="19">
        <v>2268</v>
      </c>
      <c r="U78" s="19">
        <v>156</v>
      </c>
      <c r="V78" s="19">
        <v>292</v>
      </c>
      <c r="W78" s="19">
        <v>84</v>
      </c>
      <c r="X78" s="19">
        <v>2816</v>
      </c>
      <c r="Y78" s="19">
        <v>132</v>
      </c>
      <c r="Z78" s="19">
        <v>280</v>
      </c>
      <c r="AA78" s="14">
        <v>1</v>
      </c>
    </row>
    <row r="79" spans="1:27">
      <c r="A79" s="16">
        <v>46147.802083333336</v>
      </c>
      <c r="B79" s="17">
        <v>46147</v>
      </c>
      <c r="C79" s="18">
        <v>0.80208333333333337</v>
      </c>
      <c r="D79" t="s">
        <v>73</v>
      </c>
      <c r="E79" t="s">
        <v>142</v>
      </c>
      <c r="F79">
        <v>1</v>
      </c>
      <c r="G79" s="4">
        <v>122.27</v>
      </c>
      <c r="H79" s="4">
        <v>122.27</v>
      </c>
      <c r="I79" s="4">
        <v>79.400000000000006</v>
      </c>
      <c r="J79" s="4">
        <v>81.599999999999994</v>
      </c>
      <c r="K79" s="4">
        <v>81.599999999999994</v>
      </c>
      <c r="L79" s="4">
        <v>61.43</v>
      </c>
      <c r="M79" s="4">
        <v>97.98</v>
      </c>
      <c r="N79" s="4">
        <v>97.98</v>
      </c>
      <c r="O79" s="4">
        <v>93.1</v>
      </c>
      <c r="P79" s="4">
        <v>92.4</v>
      </c>
      <c r="Q79" s="4">
        <v>92.4</v>
      </c>
      <c r="R79" s="4">
        <v>72.02</v>
      </c>
      <c r="S79" s="19">
        <v>140</v>
      </c>
      <c r="T79" s="19">
        <v>2160</v>
      </c>
      <c r="U79" s="19">
        <v>144</v>
      </c>
      <c r="V79" s="19">
        <v>424</v>
      </c>
      <c r="W79" s="19">
        <v>60</v>
      </c>
      <c r="X79" s="19">
        <v>2444</v>
      </c>
      <c r="Y79" s="19">
        <v>172</v>
      </c>
      <c r="Z79" s="19">
        <v>344</v>
      </c>
      <c r="AA79" s="14">
        <v>1</v>
      </c>
    </row>
    <row r="80" spans="1:27">
      <c r="A80" s="16">
        <v>46147.8125</v>
      </c>
      <c r="B80" s="17">
        <v>46147</v>
      </c>
      <c r="C80" s="18">
        <v>0.8125</v>
      </c>
      <c r="D80" t="s">
        <v>73</v>
      </c>
      <c r="E80" t="s">
        <v>142</v>
      </c>
      <c r="F80">
        <v>1</v>
      </c>
      <c r="G80" s="4">
        <v>102.7</v>
      </c>
      <c r="H80" s="4">
        <v>102.7</v>
      </c>
      <c r="I80" s="4">
        <v>69.95</v>
      </c>
      <c r="J80" s="4">
        <v>76.78</v>
      </c>
      <c r="K80" s="4">
        <v>76.78</v>
      </c>
      <c r="L80" s="4">
        <v>55.22</v>
      </c>
      <c r="M80" s="4">
        <v>90.4</v>
      </c>
      <c r="N80" s="4">
        <v>90.4</v>
      </c>
      <c r="O80" s="4">
        <v>78.98</v>
      </c>
      <c r="P80" s="4">
        <v>70.959999999999994</v>
      </c>
      <c r="Q80" s="4">
        <v>70.959999999999994</v>
      </c>
      <c r="R80" s="4">
        <v>58.43</v>
      </c>
      <c r="S80" s="19">
        <v>160</v>
      </c>
      <c r="T80" s="19">
        <v>2156</v>
      </c>
      <c r="U80" s="19">
        <v>88</v>
      </c>
      <c r="V80" s="19">
        <v>356</v>
      </c>
      <c r="W80" s="19">
        <v>88</v>
      </c>
      <c r="X80" s="19">
        <v>2536</v>
      </c>
      <c r="Y80" s="19">
        <v>88</v>
      </c>
      <c r="Z80" s="19">
        <v>244</v>
      </c>
      <c r="AA80" s="14">
        <v>0</v>
      </c>
    </row>
    <row r="81" spans="1:27">
      <c r="A81" s="16">
        <v>46147.822916666664</v>
      </c>
      <c r="B81" s="17">
        <v>46147</v>
      </c>
      <c r="C81" s="18">
        <v>0.82291666666666663</v>
      </c>
      <c r="D81" t="s">
        <v>73</v>
      </c>
      <c r="E81" t="s">
        <v>142</v>
      </c>
      <c r="F81">
        <v>1</v>
      </c>
      <c r="G81" s="4">
        <v>81.5</v>
      </c>
      <c r="H81" s="4">
        <v>81.5</v>
      </c>
      <c r="I81" s="4">
        <v>52.47</v>
      </c>
      <c r="J81" s="4">
        <v>72.37</v>
      </c>
      <c r="K81" s="4">
        <v>72.37</v>
      </c>
      <c r="L81" s="4">
        <v>48.9</v>
      </c>
      <c r="M81" s="4">
        <v>101.71</v>
      </c>
      <c r="N81" s="4">
        <v>101.71</v>
      </c>
      <c r="O81" s="4">
        <v>82.65</v>
      </c>
      <c r="P81" s="4">
        <v>82.88</v>
      </c>
      <c r="Q81" s="4">
        <v>82.88</v>
      </c>
      <c r="R81" s="4">
        <v>84.7</v>
      </c>
      <c r="S81" s="19">
        <v>168</v>
      </c>
      <c r="T81" s="19">
        <v>2156</v>
      </c>
      <c r="U81" s="19">
        <v>124</v>
      </c>
      <c r="V81" s="19">
        <v>280</v>
      </c>
      <c r="W81" s="19">
        <v>60</v>
      </c>
      <c r="X81" s="19">
        <v>2296</v>
      </c>
      <c r="Y81" s="19">
        <v>108</v>
      </c>
      <c r="Z81" s="19">
        <v>220</v>
      </c>
      <c r="AA81" s="14">
        <v>1</v>
      </c>
    </row>
    <row r="82" spans="1:27">
      <c r="A82" s="16">
        <v>46147.833333333336</v>
      </c>
      <c r="B82" s="17">
        <v>46147</v>
      </c>
      <c r="C82" s="18">
        <v>0.83333333333333337</v>
      </c>
      <c r="D82" t="s">
        <v>73</v>
      </c>
      <c r="E82" t="s">
        <v>142</v>
      </c>
      <c r="F82">
        <v>1</v>
      </c>
      <c r="G82" s="4">
        <v>64.599999999999994</v>
      </c>
      <c r="H82" s="4">
        <v>64.599999999999994</v>
      </c>
      <c r="I82" s="4">
        <v>67.150000000000006</v>
      </c>
      <c r="J82" s="4">
        <v>65.64</v>
      </c>
      <c r="K82" s="4">
        <v>65.64</v>
      </c>
      <c r="L82" s="4">
        <v>70.930000000000007</v>
      </c>
      <c r="M82" s="4">
        <v>88.32</v>
      </c>
      <c r="N82" s="4">
        <v>88.32</v>
      </c>
      <c r="O82" s="4">
        <v>74.03</v>
      </c>
      <c r="P82" s="4">
        <v>95.22</v>
      </c>
      <c r="Q82" s="4">
        <v>95.22</v>
      </c>
      <c r="R82" s="4">
        <v>69.760000000000005</v>
      </c>
      <c r="S82" s="19">
        <v>256</v>
      </c>
      <c r="T82" s="19">
        <v>2276</v>
      </c>
      <c r="U82" s="19">
        <v>108</v>
      </c>
      <c r="V82" s="19">
        <v>436</v>
      </c>
      <c r="W82" s="19">
        <v>72</v>
      </c>
      <c r="X82" s="19">
        <v>2360</v>
      </c>
      <c r="Y82" s="19">
        <v>228</v>
      </c>
      <c r="Z82" s="19">
        <v>208</v>
      </c>
      <c r="AA82" s="14">
        <v>1</v>
      </c>
    </row>
    <row r="83" spans="1:27">
      <c r="A83" s="16">
        <v>46147.84375</v>
      </c>
      <c r="B83" s="17">
        <v>46147</v>
      </c>
      <c r="C83" s="18">
        <v>0.84375</v>
      </c>
      <c r="D83" t="s">
        <v>73</v>
      </c>
      <c r="E83" t="s">
        <v>142</v>
      </c>
      <c r="F83">
        <v>1</v>
      </c>
      <c r="G83" s="4">
        <v>95.77</v>
      </c>
      <c r="H83" s="4">
        <v>95.77</v>
      </c>
      <c r="I83" s="4">
        <v>75.44</v>
      </c>
      <c r="J83" s="4">
        <v>70.72</v>
      </c>
      <c r="K83" s="4">
        <v>70.72</v>
      </c>
      <c r="L83" s="4">
        <v>50.97</v>
      </c>
      <c r="M83" s="4">
        <v>96.35</v>
      </c>
      <c r="N83" s="4">
        <v>96.35</v>
      </c>
      <c r="O83" s="4">
        <v>80.400000000000006</v>
      </c>
      <c r="P83" s="4">
        <v>69.2</v>
      </c>
      <c r="Q83" s="4">
        <v>69.2</v>
      </c>
      <c r="R83" s="4">
        <v>78.8</v>
      </c>
      <c r="S83" s="19">
        <v>256</v>
      </c>
      <c r="T83" s="19">
        <v>2164</v>
      </c>
      <c r="U83" s="19">
        <v>76</v>
      </c>
      <c r="V83" s="19">
        <v>512</v>
      </c>
      <c r="W83" s="19">
        <v>60</v>
      </c>
      <c r="X83" s="19">
        <v>2476</v>
      </c>
      <c r="Y83" s="19">
        <v>156</v>
      </c>
      <c r="Z83" s="19">
        <v>192</v>
      </c>
      <c r="AA83" s="14">
        <v>1</v>
      </c>
    </row>
    <row r="84" spans="1:27">
      <c r="A84" s="16">
        <v>46147.854166666664</v>
      </c>
      <c r="B84" s="17">
        <v>46147</v>
      </c>
      <c r="C84" s="18">
        <v>0.85416666666666663</v>
      </c>
      <c r="D84" t="s">
        <v>73</v>
      </c>
      <c r="E84" t="s">
        <v>142</v>
      </c>
      <c r="F84">
        <v>1</v>
      </c>
      <c r="G84" s="4">
        <v>81.31</v>
      </c>
      <c r="H84" s="4">
        <v>81.31</v>
      </c>
      <c r="I84" s="4">
        <v>76.33</v>
      </c>
      <c r="J84" s="4">
        <v>55.32</v>
      </c>
      <c r="K84" s="4">
        <v>55.32</v>
      </c>
      <c r="L84" s="4">
        <v>69.28</v>
      </c>
      <c r="M84" s="4">
        <v>97.78</v>
      </c>
      <c r="N84" s="4">
        <v>97.78</v>
      </c>
      <c r="O84" s="4">
        <v>90.25</v>
      </c>
      <c r="P84" s="4">
        <v>79.08</v>
      </c>
      <c r="Q84" s="4">
        <v>79.08</v>
      </c>
      <c r="R84" s="4">
        <v>86.93</v>
      </c>
      <c r="S84" s="19">
        <v>116</v>
      </c>
      <c r="T84" s="19">
        <v>2192</v>
      </c>
      <c r="U84" s="19">
        <v>52</v>
      </c>
      <c r="V84" s="19">
        <v>444</v>
      </c>
      <c r="W84" s="19">
        <v>64</v>
      </c>
      <c r="X84" s="19">
        <v>2440</v>
      </c>
      <c r="Y84" s="19">
        <v>152</v>
      </c>
      <c r="Z84" s="19">
        <v>164</v>
      </c>
      <c r="AA84" s="14">
        <v>1</v>
      </c>
    </row>
    <row r="85" spans="1:27">
      <c r="A85" s="16">
        <v>46147.864583333336</v>
      </c>
      <c r="B85" s="17">
        <v>46147</v>
      </c>
      <c r="C85" s="18">
        <v>0.86458333333333337</v>
      </c>
      <c r="D85" t="s">
        <v>73</v>
      </c>
      <c r="E85" t="s">
        <v>142</v>
      </c>
      <c r="F85">
        <v>1</v>
      </c>
      <c r="G85" s="4">
        <v>85.23</v>
      </c>
      <c r="H85" s="4">
        <v>85.23</v>
      </c>
      <c r="I85" s="4">
        <v>68.25</v>
      </c>
      <c r="J85" s="4">
        <v>90.65</v>
      </c>
      <c r="K85" s="4">
        <v>90.65</v>
      </c>
      <c r="L85" s="4">
        <v>65.28</v>
      </c>
      <c r="M85" s="4">
        <v>76.319999999999993</v>
      </c>
      <c r="N85" s="4">
        <v>76.319999999999993</v>
      </c>
      <c r="O85" s="4">
        <v>80.900000000000006</v>
      </c>
      <c r="P85" s="4">
        <v>74.13</v>
      </c>
      <c r="Q85" s="4">
        <v>74.13</v>
      </c>
      <c r="R85" s="4">
        <v>67.83</v>
      </c>
      <c r="S85" s="19">
        <v>252</v>
      </c>
      <c r="T85" s="19">
        <v>2216</v>
      </c>
      <c r="U85" s="19">
        <v>92</v>
      </c>
      <c r="V85" s="19">
        <v>344</v>
      </c>
      <c r="W85" s="19">
        <v>52</v>
      </c>
      <c r="X85" s="19">
        <v>2356</v>
      </c>
      <c r="Y85" s="19">
        <v>96</v>
      </c>
      <c r="Z85" s="19">
        <v>184</v>
      </c>
      <c r="AA85" s="14">
        <v>1</v>
      </c>
    </row>
    <row r="86" spans="1:27">
      <c r="A86" s="16">
        <v>46147.875</v>
      </c>
      <c r="B86" s="17">
        <v>46147</v>
      </c>
      <c r="C86" s="18">
        <v>0.875</v>
      </c>
      <c r="D86" t="s">
        <v>73</v>
      </c>
      <c r="E86" t="s">
        <v>142</v>
      </c>
      <c r="F86">
        <v>1</v>
      </c>
      <c r="G86" s="4">
        <v>67.72</v>
      </c>
      <c r="H86" s="4">
        <v>67.72</v>
      </c>
      <c r="I86" s="4">
        <v>62.43</v>
      </c>
      <c r="J86" s="4">
        <v>73.03</v>
      </c>
      <c r="K86" s="4">
        <v>73.03</v>
      </c>
      <c r="L86" s="4">
        <v>65.3</v>
      </c>
      <c r="M86" s="4">
        <v>113.9</v>
      </c>
      <c r="N86" s="4">
        <v>113.9</v>
      </c>
      <c r="O86" s="4">
        <v>80.400000000000006</v>
      </c>
      <c r="P86" s="4">
        <v>65.8</v>
      </c>
      <c r="Q86" s="4">
        <v>65.8</v>
      </c>
      <c r="R86" s="4">
        <v>78.709999999999994</v>
      </c>
      <c r="S86" s="19">
        <v>164</v>
      </c>
      <c r="T86" s="19">
        <v>2128</v>
      </c>
      <c r="U86" s="19">
        <v>180</v>
      </c>
      <c r="V86" s="19">
        <v>288</v>
      </c>
      <c r="W86" s="19">
        <v>88</v>
      </c>
      <c r="X86" s="19">
        <v>2236</v>
      </c>
      <c r="Y86" s="19">
        <v>152</v>
      </c>
      <c r="Z86" s="19">
        <v>188</v>
      </c>
      <c r="AA86" s="14">
        <v>1</v>
      </c>
    </row>
    <row r="87" spans="1:27">
      <c r="A87" s="16">
        <v>46147.885416666664</v>
      </c>
      <c r="B87" s="17">
        <v>46147</v>
      </c>
      <c r="C87" s="18">
        <v>0.88541666666666663</v>
      </c>
      <c r="D87" t="s">
        <v>73</v>
      </c>
      <c r="E87" t="s">
        <v>142</v>
      </c>
      <c r="F87">
        <v>1</v>
      </c>
      <c r="G87" s="4">
        <v>82.17</v>
      </c>
      <c r="H87" s="4">
        <v>82.17</v>
      </c>
      <c r="I87" s="4">
        <v>61.8</v>
      </c>
      <c r="J87" s="4">
        <v>56.7</v>
      </c>
      <c r="K87" s="4">
        <v>56.7</v>
      </c>
      <c r="L87" s="4">
        <v>71.239999999999995</v>
      </c>
      <c r="M87" s="4">
        <v>75.13</v>
      </c>
      <c r="N87" s="4">
        <v>75.13</v>
      </c>
      <c r="O87" s="4">
        <v>79.3</v>
      </c>
      <c r="P87" s="4">
        <v>63.34</v>
      </c>
      <c r="Q87" s="4">
        <v>63.34</v>
      </c>
      <c r="R87" s="4">
        <v>85.62</v>
      </c>
      <c r="S87" s="19">
        <v>124</v>
      </c>
      <c r="T87" s="19">
        <v>2332</v>
      </c>
      <c r="U87" s="19">
        <v>84</v>
      </c>
      <c r="V87" s="19">
        <v>296</v>
      </c>
      <c r="W87" s="19">
        <v>48</v>
      </c>
      <c r="X87" s="19">
        <v>2428</v>
      </c>
      <c r="Y87" s="19">
        <v>116</v>
      </c>
      <c r="Z87" s="19">
        <v>184</v>
      </c>
      <c r="AA87" s="14">
        <v>1</v>
      </c>
    </row>
    <row r="88" spans="1:27">
      <c r="A88" s="16">
        <v>46147.895833333336</v>
      </c>
      <c r="B88" s="17">
        <v>46147</v>
      </c>
      <c r="C88" s="18">
        <v>0.89583333333333337</v>
      </c>
      <c r="D88" t="s">
        <v>73</v>
      </c>
      <c r="E88" t="s">
        <v>142</v>
      </c>
      <c r="F88">
        <v>1</v>
      </c>
      <c r="G88" s="4">
        <v>91.77</v>
      </c>
      <c r="H88" s="4">
        <v>91.77</v>
      </c>
      <c r="I88" s="4">
        <v>63.66</v>
      </c>
      <c r="J88" s="4">
        <v>98.04</v>
      </c>
      <c r="K88" s="4">
        <v>98.04</v>
      </c>
      <c r="L88" s="4">
        <v>71.63</v>
      </c>
      <c r="M88" s="4">
        <v>75.13</v>
      </c>
      <c r="N88" s="4">
        <v>75.13</v>
      </c>
      <c r="O88" s="4">
        <v>83.26</v>
      </c>
      <c r="P88" s="4">
        <v>59.03</v>
      </c>
      <c r="Q88" s="4">
        <v>59.03</v>
      </c>
      <c r="R88" s="4">
        <v>90.37</v>
      </c>
      <c r="S88" s="19">
        <v>104</v>
      </c>
      <c r="T88" s="19">
        <v>2084</v>
      </c>
      <c r="U88" s="19">
        <v>144</v>
      </c>
      <c r="V88" s="19">
        <v>256</v>
      </c>
      <c r="W88" s="19">
        <v>44</v>
      </c>
      <c r="X88" s="19">
        <v>2228</v>
      </c>
      <c r="Y88" s="19">
        <v>128</v>
      </c>
      <c r="Z88" s="19">
        <v>144</v>
      </c>
      <c r="AA88" s="14">
        <v>1</v>
      </c>
    </row>
    <row r="89" spans="1:27">
      <c r="A89" s="16">
        <v>46147.90625</v>
      </c>
      <c r="B89" s="17">
        <v>46147</v>
      </c>
      <c r="C89" s="18">
        <v>0.90625</v>
      </c>
      <c r="D89" t="s">
        <v>73</v>
      </c>
      <c r="E89" t="s">
        <v>142</v>
      </c>
      <c r="F89">
        <v>1</v>
      </c>
      <c r="G89" s="4">
        <v>85.09</v>
      </c>
      <c r="H89" s="4">
        <v>85.09</v>
      </c>
      <c r="I89" s="4">
        <v>54.82</v>
      </c>
      <c r="J89" s="4">
        <v>67.459999999999994</v>
      </c>
      <c r="K89" s="4">
        <v>67.459999999999994</v>
      </c>
      <c r="L89" s="4">
        <v>62.07</v>
      </c>
      <c r="M89" s="4">
        <v>76.22</v>
      </c>
      <c r="N89" s="4">
        <v>76.22</v>
      </c>
      <c r="O89" s="4">
        <v>76.040000000000006</v>
      </c>
      <c r="P89" s="4">
        <v>94.2</v>
      </c>
      <c r="Q89" s="4">
        <v>94.2</v>
      </c>
      <c r="R89" s="4">
        <v>92.1</v>
      </c>
      <c r="S89" s="19">
        <v>188</v>
      </c>
      <c r="T89" s="19">
        <v>2092</v>
      </c>
      <c r="U89" s="19">
        <v>20</v>
      </c>
      <c r="V89" s="19">
        <v>236</v>
      </c>
      <c r="W89" s="19">
        <v>40</v>
      </c>
      <c r="X89" s="19">
        <v>2276</v>
      </c>
      <c r="Y89" s="19">
        <v>108</v>
      </c>
      <c r="Z89" s="19">
        <v>92</v>
      </c>
      <c r="AA89" s="14">
        <v>1</v>
      </c>
    </row>
    <row r="90" spans="1:27">
      <c r="A90" s="16">
        <v>46147.916666666664</v>
      </c>
      <c r="B90" s="17">
        <v>46147</v>
      </c>
      <c r="C90" s="18">
        <v>0.91666666666666663</v>
      </c>
      <c r="D90" t="s">
        <v>73</v>
      </c>
      <c r="E90" t="s">
        <v>142</v>
      </c>
      <c r="F90">
        <v>1</v>
      </c>
      <c r="G90" s="4">
        <v>69.459999999999994</v>
      </c>
      <c r="H90" s="4">
        <v>69.459999999999994</v>
      </c>
      <c r="I90" s="4">
        <v>38.96</v>
      </c>
      <c r="J90" s="4">
        <v>50.1</v>
      </c>
      <c r="K90" s="4">
        <v>50.1</v>
      </c>
      <c r="L90" s="4">
        <v>49.94</v>
      </c>
      <c r="M90" s="4">
        <v>96</v>
      </c>
      <c r="N90" s="4">
        <v>96</v>
      </c>
      <c r="O90" s="4">
        <v>61.48</v>
      </c>
      <c r="P90" s="4">
        <v>83.87</v>
      </c>
      <c r="Q90" s="4">
        <v>83.87</v>
      </c>
      <c r="R90" s="4">
        <v>83.1</v>
      </c>
      <c r="S90" s="19">
        <v>128</v>
      </c>
      <c r="T90" s="19">
        <v>1700</v>
      </c>
      <c r="U90" s="19">
        <v>120</v>
      </c>
      <c r="V90" s="19">
        <v>444</v>
      </c>
      <c r="W90" s="19">
        <v>88</v>
      </c>
      <c r="X90" s="19">
        <v>2520</v>
      </c>
      <c r="Y90" s="19">
        <v>108</v>
      </c>
      <c r="Z90" s="19">
        <v>128</v>
      </c>
      <c r="AA90" s="14">
        <v>1</v>
      </c>
    </row>
    <row r="91" spans="1:27">
      <c r="A91" s="16">
        <v>46147.927083333336</v>
      </c>
      <c r="B91" s="17">
        <v>46147</v>
      </c>
      <c r="C91" s="18">
        <v>0.92708333333333337</v>
      </c>
      <c r="D91" t="s">
        <v>73</v>
      </c>
      <c r="E91" t="s">
        <v>142</v>
      </c>
      <c r="F91">
        <v>1</v>
      </c>
      <c r="G91" s="4">
        <v>53.94</v>
      </c>
      <c r="H91" s="4">
        <v>53.94</v>
      </c>
      <c r="I91" s="4">
        <v>53.04</v>
      </c>
      <c r="J91" s="4">
        <v>36.1</v>
      </c>
      <c r="K91" s="4">
        <v>36.1</v>
      </c>
      <c r="L91" s="4">
        <v>24.06</v>
      </c>
      <c r="M91" s="4">
        <v>65.930000000000007</v>
      </c>
      <c r="N91" s="4">
        <v>65.930000000000007</v>
      </c>
      <c r="O91" s="4">
        <v>55.59</v>
      </c>
      <c r="P91" s="4">
        <v>49.32</v>
      </c>
      <c r="Q91" s="4">
        <v>49.32</v>
      </c>
      <c r="R91" s="4">
        <v>41.55</v>
      </c>
      <c r="S91" s="19">
        <v>128</v>
      </c>
      <c r="T91" s="19">
        <v>1684</v>
      </c>
      <c r="U91" s="19">
        <v>48</v>
      </c>
      <c r="V91" s="19">
        <v>224</v>
      </c>
      <c r="W91" s="19">
        <v>68</v>
      </c>
      <c r="X91" s="19">
        <v>2328</v>
      </c>
      <c r="Y91" s="19">
        <v>120</v>
      </c>
      <c r="Z91" s="19">
        <v>132</v>
      </c>
      <c r="AA91" s="14">
        <v>1</v>
      </c>
    </row>
    <row r="92" spans="1:27">
      <c r="A92" s="16">
        <v>46147.9375</v>
      </c>
      <c r="B92" s="17">
        <v>46147</v>
      </c>
      <c r="C92" s="18">
        <v>0.9375</v>
      </c>
      <c r="D92" t="s">
        <v>73</v>
      </c>
      <c r="E92" t="s">
        <v>142</v>
      </c>
      <c r="F92">
        <v>1</v>
      </c>
      <c r="G92" s="4">
        <v>32.53</v>
      </c>
      <c r="H92" s="4">
        <v>32.53</v>
      </c>
      <c r="I92" s="4">
        <v>33.43</v>
      </c>
      <c r="J92" s="4">
        <v>43.98</v>
      </c>
      <c r="K92" s="4">
        <v>43.98</v>
      </c>
      <c r="L92" s="4">
        <v>37.049999999999997</v>
      </c>
      <c r="M92" s="4">
        <v>15.51</v>
      </c>
      <c r="N92" s="4">
        <v>15.51</v>
      </c>
      <c r="O92" s="4">
        <v>34.130000000000003</v>
      </c>
      <c r="P92" s="4">
        <v>28.02</v>
      </c>
      <c r="Q92" s="4">
        <v>28.02</v>
      </c>
      <c r="R92" s="4">
        <v>35.6</v>
      </c>
      <c r="S92" s="19">
        <v>148</v>
      </c>
      <c r="T92" s="19">
        <v>1740</v>
      </c>
      <c r="U92" s="19">
        <v>116</v>
      </c>
      <c r="V92" s="19">
        <v>156</v>
      </c>
      <c r="W92" s="19">
        <v>40</v>
      </c>
      <c r="X92" s="19">
        <v>2276</v>
      </c>
      <c r="Y92" s="19">
        <v>88</v>
      </c>
      <c r="Z92" s="19">
        <v>120</v>
      </c>
      <c r="AA92" s="14">
        <v>1</v>
      </c>
    </row>
    <row r="93" spans="1:27">
      <c r="A93" s="16">
        <v>46147.947916666664</v>
      </c>
      <c r="B93" s="17">
        <v>46147</v>
      </c>
      <c r="C93" s="18">
        <v>0.94791666666666663</v>
      </c>
      <c r="D93" t="s">
        <v>73</v>
      </c>
      <c r="E93" t="s">
        <v>142</v>
      </c>
      <c r="F93">
        <v>1</v>
      </c>
      <c r="G93" s="4">
        <v>29.5</v>
      </c>
      <c r="H93" s="4">
        <v>29.5</v>
      </c>
      <c r="I93" s="4">
        <v>18.920000000000002</v>
      </c>
      <c r="J93" s="4">
        <v>60.2</v>
      </c>
      <c r="K93" s="4">
        <v>60.2</v>
      </c>
      <c r="L93" s="4">
        <v>28.59</v>
      </c>
      <c r="M93" s="4">
        <v>29.64</v>
      </c>
      <c r="N93" s="4">
        <v>29.64</v>
      </c>
      <c r="O93" s="4">
        <v>24.43</v>
      </c>
      <c r="P93" s="4">
        <v>51.9</v>
      </c>
      <c r="Q93" s="4">
        <v>51.9</v>
      </c>
      <c r="R93" s="4">
        <v>37.520000000000003</v>
      </c>
      <c r="S93" s="19">
        <v>68</v>
      </c>
      <c r="T93" s="19">
        <v>1572</v>
      </c>
      <c r="U93" s="19">
        <v>68</v>
      </c>
      <c r="V93" s="19">
        <v>136</v>
      </c>
      <c r="W93" s="19">
        <v>56</v>
      </c>
      <c r="X93" s="19">
        <v>1808</v>
      </c>
      <c r="Y93" s="19">
        <v>48</v>
      </c>
      <c r="Z93" s="19">
        <v>108</v>
      </c>
      <c r="AA93" s="14">
        <v>0</v>
      </c>
    </row>
    <row r="94" spans="1:27">
      <c r="A94" s="16">
        <v>46147.958333333336</v>
      </c>
      <c r="B94" s="17">
        <v>46147</v>
      </c>
      <c r="C94" s="18">
        <v>0.95833333333333337</v>
      </c>
      <c r="D94" t="s">
        <v>73</v>
      </c>
      <c r="E94" t="s">
        <v>142</v>
      </c>
      <c r="F94">
        <v>1</v>
      </c>
      <c r="G94" s="4">
        <v>27.95</v>
      </c>
      <c r="H94" s="4">
        <v>27.95</v>
      </c>
      <c r="I94" s="4">
        <v>19.309999999999999</v>
      </c>
      <c r="J94" s="4">
        <v>33.1</v>
      </c>
      <c r="K94" s="4">
        <v>33.1</v>
      </c>
      <c r="L94" s="4">
        <v>20.420000000000002</v>
      </c>
      <c r="M94" s="4">
        <v>18.71</v>
      </c>
      <c r="N94" s="4">
        <v>18.71</v>
      </c>
      <c r="O94" s="4">
        <v>19.77</v>
      </c>
      <c r="P94" s="4">
        <v>35.83</v>
      </c>
      <c r="Q94" s="4">
        <v>35.83</v>
      </c>
      <c r="R94" s="4">
        <v>31.24</v>
      </c>
      <c r="S94" s="19">
        <v>92</v>
      </c>
      <c r="T94" s="19">
        <v>1600</v>
      </c>
      <c r="U94" s="19">
        <v>52</v>
      </c>
      <c r="V94" s="19">
        <v>120</v>
      </c>
      <c r="W94" s="19">
        <v>52</v>
      </c>
      <c r="X94" s="19">
        <v>1788</v>
      </c>
      <c r="Y94" s="19">
        <v>48</v>
      </c>
      <c r="Z94" s="19">
        <v>108</v>
      </c>
      <c r="AA94" s="14">
        <v>1</v>
      </c>
    </row>
    <row r="95" spans="1:27">
      <c r="A95" s="16">
        <v>46147.96875</v>
      </c>
      <c r="B95" s="17">
        <v>46147</v>
      </c>
      <c r="C95" s="18">
        <v>0.96875</v>
      </c>
      <c r="D95" t="s">
        <v>73</v>
      </c>
      <c r="E95" t="s">
        <v>142</v>
      </c>
      <c r="F95">
        <v>1</v>
      </c>
      <c r="G95" s="4">
        <v>27.63</v>
      </c>
      <c r="H95" s="4">
        <v>27.63</v>
      </c>
      <c r="I95" s="4">
        <v>21.96</v>
      </c>
      <c r="J95" s="4">
        <v>34.950000000000003</v>
      </c>
      <c r="K95" s="4">
        <v>34.950000000000003</v>
      </c>
      <c r="L95" s="4">
        <v>34.94</v>
      </c>
      <c r="M95" s="4">
        <v>27.27</v>
      </c>
      <c r="N95" s="4">
        <v>27.27</v>
      </c>
      <c r="O95" s="4">
        <v>29.67</v>
      </c>
      <c r="P95" s="4">
        <v>28.57</v>
      </c>
      <c r="Q95" s="4">
        <v>28.57</v>
      </c>
      <c r="R95" s="4">
        <v>23.73</v>
      </c>
      <c r="S95" s="19">
        <v>248</v>
      </c>
      <c r="T95" s="19">
        <v>1356</v>
      </c>
      <c r="U95" s="19">
        <v>44</v>
      </c>
      <c r="V95" s="19">
        <v>132</v>
      </c>
      <c r="W95" s="19">
        <v>60</v>
      </c>
      <c r="X95" s="19">
        <v>1956</v>
      </c>
      <c r="Y95" s="19">
        <v>48</v>
      </c>
      <c r="Z95" s="19">
        <v>76</v>
      </c>
      <c r="AA95" s="14">
        <v>1</v>
      </c>
    </row>
    <row r="96" spans="1:27">
      <c r="A96" s="16">
        <v>46147.979166666664</v>
      </c>
      <c r="B96" s="17">
        <v>46147</v>
      </c>
      <c r="C96" s="18">
        <v>0.97916666666666663</v>
      </c>
      <c r="D96" t="s">
        <v>73</v>
      </c>
      <c r="E96" t="s">
        <v>142</v>
      </c>
      <c r="F96">
        <v>1</v>
      </c>
      <c r="G96" s="4">
        <v>23.4</v>
      </c>
      <c r="H96" s="4">
        <v>23.4</v>
      </c>
      <c r="I96" s="4">
        <v>20.75</v>
      </c>
      <c r="J96" s="4">
        <v>32.83</v>
      </c>
      <c r="K96" s="4">
        <v>32.83</v>
      </c>
      <c r="L96" s="4">
        <v>20.63</v>
      </c>
      <c r="M96" s="4">
        <v>21.75</v>
      </c>
      <c r="N96" s="4">
        <v>21.75</v>
      </c>
      <c r="O96" s="4">
        <v>19.73</v>
      </c>
      <c r="P96" s="4">
        <v>46.07</v>
      </c>
      <c r="Q96" s="4">
        <v>46.07</v>
      </c>
      <c r="R96" s="4">
        <v>27.95</v>
      </c>
      <c r="S96" s="19">
        <v>52</v>
      </c>
      <c r="T96" s="19">
        <v>1272</v>
      </c>
      <c r="U96" s="19">
        <v>24</v>
      </c>
      <c r="V96" s="19">
        <v>124</v>
      </c>
      <c r="W96" s="19">
        <v>64</v>
      </c>
      <c r="X96" s="19">
        <v>1900</v>
      </c>
      <c r="Y96" s="19">
        <v>20</v>
      </c>
      <c r="Z96" s="19">
        <v>56</v>
      </c>
      <c r="AA96" s="14">
        <v>1</v>
      </c>
    </row>
    <row r="97" spans="1:27">
      <c r="A97" s="16">
        <v>46147.989583333336</v>
      </c>
      <c r="B97" s="17">
        <v>46147</v>
      </c>
      <c r="C97" s="18">
        <v>0.98958333333333337</v>
      </c>
      <c r="D97" t="s">
        <v>73</v>
      </c>
      <c r="E97" t="s">
        <v>142</v>
      </c>
      <c r="F97">
        <v>1</v>
      </c>
      <c r="G97" s="4">
        <v>31.3</v>
      </c>
      <c r="H97" s="4">
        <v>31.3</v>
      </c>
      <c r="I97" s="4">
        <v>13.62</v>
      </c>
      <c r="J97" s="4">
        <v>46.95</v>
      </c>
      <c r="K97" s="4">
        <v>46.95</v>
      </c>
      <c r="L97" s="4">
        <v>25.93</v>
      </c>
      <c r="M97" s="4">
        <v>26.9</v>
      </c>
      <c r="N97" s="4">
        <v>26.9</v>
      </c>
      <c r="O97" s="4">
        <v>20.399999999999999</v>
      </c>
      <c r="P97" s="4">
        <v>35.4</v>
      </c>
      <c r="Q97" s="4">
        <v>35.4</v>
      </c>
      <c r="R97" s="4">
        <v>21.23</v>
      </c>
      <c r="S97" s="19">
        <v>8</v>
      </c>
      <c r="T97" s="19">
        <v>1432</v>
      </c>
      <c r="U97" s="19">
        <v>60</v>
      </c>
      <c r="V97" s="19">
        <v>64</v>
      </c>
      <c r="W97" s="19">
        <v>56</v>
      </c>
      <c r="X97" s="19">
        <v>1252</v>
      </c>
      <c r="Y97" s="19">
        <v>20</v>
      </c>
      <c r="Z97" s="19">
        <v>68</v>
      </c>
      <c r="AA97" s="14">
        <v>0</v>
      </c>
    </row>
    <row r="98" spans="1:27">
      <c r="A98" s="16">
        <v>46148</v>
      </c>
      <c r="B98" s="17">
        <v>46148</v>
      </c>
      <c r="C98" s="18">
        <v>0</v>
      </c>
      <c r="D98" t="s">
        <v>74</v>
      </c>
      <c r="E98" t="s">
        <v>142</v>
      </c>
      <c r="F98">
        <v>2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19">
        <v>16</v>
      </c>
      <c r="T98" s="19">
        <v>1172</v>
      </c>
      <c r="U98" s="19">
        <v>20</v>
      </c>
      <c r="V98" s="19">
        <v>124</v>
      </c>
      <c r="W98" s="19">
        <v>32</v>
      </c>
      <c r="X98" s="19">
        <v>1580</v>
      </c>
      <c r="Y98" s="19">
        <v>12</v>
      </c>
      <c r="Z98" s="19">
        <v>68</v>
      </c>
      <c r="AA98" s="14">
        <v>0</v>
      </c>
    </row>
    <row r="99" spans="1:27">
      <c r="A99" s="16">
        <v>46148.010416666664</v>
      </c>
      <c r="B99" s="17">
        <v>46148</v>
      </c>
      <c r="C99" s="18">
        <v>1.0416666666666666E-2</v>
      </c>
      <c r="D99" t="s">
        <v>74</v>
      </c>
      <c r="E99" t="s">
        <v>142</v>
      </c>
      <c r="F99">
        <v>2</v>
      </c>
      <c r="G99" s="4">
        <v>24.23</v>
      </c>
      <c r="H99" s="4">
        <v>24.23</v>
      </c>
      <c r="I99" s="4">
        <v>5.28</v>
      </c>
      <c r="J99" s="4">
        <v>25.95</v>
      </c>
      <c r="K99" s="4">
        <v>25.95</v>
      </c>
      <c r="L99" s="4">
        <v>13.21</v>
      </c>
      <c r="M99" s="4">
        <v>21.58</v>
      </c>
      <c r="N99" s="4">
        <v>21.58</v>
      </c>
      <c r="O99" s="4">
        <v>12.33</v>
      </c>
      <c r="P99" s="4">
        <v>38.9</v>
      </c>
      <c r="Q99" s="4">
        <v>38.9</v>
      </c>
      <c r="R99" s="4">
        <v>12.67</v>
      </c>
      <c r="S99" s="19">
        <v>4</v>
      </c>
      <c r="T99" s="19">
        <v>956</v>
      </c>
      <c r="U99" s="19">
        <v>8</v>
      </c>
      <c r="V99" s="19">
        <v>72</v>
      </c>
      <c r="W99" s="19">
        <v>32</v>
      </c>
      <c r="X99" s="19">
        <v>1468</v>
      </c>
      <c r="Y99" s="19">
        <v>16</v>
      </c>
      <c r="Z99" s="19">
        <v>52</v>
      </c>
      <c r="AA99" s="14">
        <v>0</v>
      </c>
    </row>
    <row r="100" spans="1:27">
      <c r="A100" s="16">
        <v>46148.020833333336</v>
      </c>
      <c r="B100" s="17">
        <v>46148</v>
      </c>
      <c r="C100" s="18">
        <v>2.0833333333333332E-2</v>
      </c>
      <c r="D100" t="s">
        <v>74</v>
      </c>
      <c r="E100" t="s">
        <v>142</v>
      </c>
      <c r="F100">
        <v>2</v>
      </c>
      <c r="G100" s="4">
        <v>6.1</v>
      </c>
      <c r="H100" s="4">
        <v>6.1</v>
      </c>
      <c r="I100" s="4">
        <v>6.75</v>
      </c>
      <c r="J100" s="4">
        <v>34.299999999999997</v>
      </c>
      <c r="K100" s="4">
        <v>34.299999999999997</v>
      </c>
      <c r="L100" s="4">
        <v>11.74</v>
      </c>
      <c r="M100" s="4">
        <v>18.71</v>
      </c>
      <c r="N100" s="4">
        <v>18.71</v>
      </c>
      <c r="O100" s="4">
        <v>10.87</v>
      </c>
      <c r="P100" s="4">
        <v>21.4</v>
      </c>
      <c r="Q100" s="4">
        <v>21.4</v>
      </c>
      <c r="R100" s="4">
        <v>8.64</v>
      </c>
      <c r="S100" s="19">
        <v>8</v>
      </c>
      <c r="T100" s="19">
        <v>1120</v>
      </c>
      <c r="U100" s="19">
        <v>12</v>
      </c>
      <c r="V100" s="19">
        <v>76</v>
      </c>
      <c r="W100" s="19">
        <v>40</v>
      </c>
      <c r="X100" s="19">
        <v>1512</v>
      </c>
      <c r="Y100" s="19">
        <v>16</v>
      </c>
      <c r="Z100" s="19">
        <v>48</v>
      </c>
      <c r="AA100" s="14">
        <v>0</v>
      </c>
    </row>
    <row r="101" spans="1:27">
      <c r="A101" s="16">
        <v>46148.03125</v>
      </c>
      <c r="B101" s="17">
        <v>46148</v>
      </c>
      <c r="C101" s="18">
        <v>3.125E-2</v>
      </c>
      <c r="D101" t="s">
        <v>74</v>
      </c>
      <c r="E101" t="s">
        <v>142</v>
      </c>
      <c r="F101">
        <v>2</v>
      </c>
      <c r="G101" s="4">
        <v>8.9499999999999993</v>
      </c>
      <c r="H101" s="4">
        <v>8.9499999999999993</v>
      </c>
      <c r="I101" s="4">
        <v>9.2799999999999994</v>
      </c>
      <c r="J101" s="4">
        <v>32.1</v>
      </c>
      <c r="K101" s="4">
        <v>32.1</v>
      </c>
      <c r="L101" s="4">
        <v>17.77</v>
      </c>
      <c r="M101" s="4">
        <v>25.6</v>
      </c>
      <c r="N101" s="4">
        <v>25.6</v>
      </c>
      <c r="O101" s="4">
        <v>4.2699999999999996</v>
      </c>
      <c r="P101" s="4">
        <v>45.95</v>
      </c>
      <c r="Q101" s="4">
        <v>45.95</v>
      </c>
      <c r="R101" s="4">
        <v>23.47</v>
      </c>
      <c r="S101" s="19">
        <v>16</v>
      </c>
      <c r="T101" s="19">
        <v>948</v>
      </c>
      <c r="U101" s="19">
        <v>8</v>
      </c>
      <c r="V101" s="19">
        <v>44</v>
      </c>
      <c r="W101" s="19">
        <v>28</v>
      </c>
      <c r="X101" s="19">
        <v>1196</v>
      </c>
      <c r="Y101" s="19">
        <v>40</v>
      </c>
      <c r="Z101" s="19">
        <v>24</v>
      </c>
      <c r="AA101" s="14">
        <v>0</v>
      </c>
    </row>
    <row r="102" spans="1:27">
      <c r="A102" s="16">
        <v>46148.041666666664</v>
      </c>
      <c r="B102" s="17">
        <v>46148</v>
      </c>
      <c r="C102" s="18">
        <v>4.1666666666666664E-2</v>
      </c>
      <c r="D102" t="s">
        <v>74</v>
      </c>
      <c r="E102" t="s">
        <v>142</v>
      </c>
      <c r="F102">
        <v>2</v>
      </c>
      <c r="G102" s="4">
        <v>22.8</v>
      </c>
      <c r="H102" s="4">
        <v>22.8</v>
      </c>
      <c r="I102" s="4">
        <v>14.84</v>
      </c>
      <c r="J102" s="4">
        <v>0</v>
      </c>
      <c r="K102" s="4">
        <v>0</v>
      </c>
      <c r="L102" s="4">
        <v>20.72</v>
      </c>
      <c r="M102" s="4">
        <v>22.71</v>
      </c>
      <c r="N102" s="4">
        <v>22.71</v>
      </c>
      <c r="O102" s="4">
        <v>5.64</v>
      </c>
      <c r="P102" s="4">
        <v>20.100000000000001</v>
      </c>
      <c r="Q102" s="4">
        <v>20.100000000000001</v>
      </c>
      <c r="R102" s="4">
        <v>14.2</v>
      </c>
      <c r="S102" s="19">
        <v>24</v>
      </c>
      <c r="T102" s="19">
        <v>996</v>
      </c>
      <c r="U102" s="19">
        <v>4</v>
      </c>
      <c r="V102" s="19">
        <v>44</v>
      </c>
      <c r="W102" s="19">
        <v>44</v>
      </c>
      <c r="X102" s="19">
        <v>1408</v>
      </c>
      <c r="Y102" s="19">
        <v>36</v>
      </c>
      <c r="Z102" s="19">
        <v>28</v>
      </c>
      <c r="AA102" s="14">
        <v>0</v>
      </c>
    </row>
    <row r="103" spans="1:27">
      <c r="A103" s="16">
        <v>46148.052083333336</v>
      </c>
      <c r="B103" s="17">
        <v>46148</v>
      </c>
      <c r="C103" s="18">
        <v>5.2083333333333336E-2</v>
      </c>
      <c r="D103" t="s">
        <v>74</v>
      </c>
      <c r="E103" t="s">
        <v>142</v>
      </c>
      <c r="F103">
        <v>2</v>
      </c>
      <c r="G103" s="4">
        <v>0</v>
      </c>
      <c r="H103" s="4">
        <v>0</v>
      </c>
      <c r="I103" s="4">
        <v>7.18</v>
      </c>
      <c r="J103" s="4">
        <v>0</v>
      </c>
      <c r="K103" s="4">
        <v>0</v>
      </c>
      <c r="L103" s="4">
        <v>13.32</v>
      </c>
      <c r="M103" s="4">
        <v>26.3</v>
      </c>
      <c r="N103" s="4">
        <v>26.3</v>
      </c>
      <c r="O103" s="4">
        <v>10.039999999999999</v>
      </c>
      <c r="P103" s="4">
        <v>17</v>
      </c>
      <c r="Q103" s="4">
        <v>17</v>
      </c>
      <c r="R103" s="4">
        <v>22.53</v>
      </c>
      <c r="S103" s="19">
        <v>16</v>
      </c>
      <c r="T103" s="19">
        <v>820</v>
      </c>
      <c r="U103" s="19">
        <v>0</v>
      </c>
      <c r="V103" s="19">
        <v>60</v>
      </c>
      <c r="W103" s="19">
        <v>24</v>
      </c>
      <c r="X103" s="19">
        <v>3144</v>
      </c>
      <c r="Y103" s="19">
        <v>16</v>
      </c>
      <c r="Z103" s="19">
        <v>40</v>
      </c>
      <c r="AA103" s="14">
        <v>0</v>
      </c>
    </row>
    <row r="104" spans="1:27">
      <c r="A104" s="16">
        <v>46148.0625</v>
      </c>
      <c r="B104" s="17">
        <v>46148</v>
      </c>
      <c r="C104" s="18">
        <v>6.25E-2</v>
      </c>
      <c r="D104" t="s">
        <v>74</v>
      </c>
      <c r="E104" t="s">
        <v>142</v>
      </c>
      <c r="F104">
        <v>2</v>
      </c>
      <c r="G104" s="4">
        <v>7.9</v>
      </c>
      <c r="H104" s="4">
        <v>7.9</v>
      </c>
      <c r="I104" s="4">
        <v>4.9800000000000004</v>
      </c>
      <c r="J104" s="4">
        <v>0</v>
      </c>
      <c r="K104" s="4">
        <v>0</v>
      </c>
      <c r="L104" s="4">
        <v>5.92</v>
      </c>
      <c r="M104" s="4">
        <v>8.34</v>
      </c>
      <c r="N104" s="4">
        <v>8.34</v>
      </c>
      <c r="O104" s="4">
        <v>3.69</v>
      </c>
      <c r="P104" s="4">
        <v>26.45</v>
      </c>
      <c r="Q104" s="4">
        <v>26.45</v>
      </c>
      <c r="R104" s="4">
        <v>12.73</v>
      </c>
      <c r="S104" s="19">
        <v>36</v>
      </c>
      <c r="T104" s="19">
        <v>1168</v>
      </c>
      <c r="U104" s="19">
        <v>4</v>
      </c>
      <c r="V104" s="19">
        <v>40</v>
      </c>
      <c r="W104" s="19">
        <v>28</v>
      </c>
      <c r="X104" s="19">
        <v>3496</v>
      </c>
      <c r="Y104" s="19">
        <v>24</v>
      </c>
      <c r="Z104" s="19">
        <v>8</v>
      </c>
      <c r="AA104" s="14">
        <v>0</v>
      </c>
    </row>
    <row r="105" spans="1:27">
      <c r="A105" s="16">
        <v>46148.072916666664</v>
      </c>
      <c r="B105" s="17">
        <v>46148</v>
      </c>
      <c r="C105" s="18">
        <v>7.2916666666666671E-2</v>
      </c>
      <c r="D105" t="s">
        <v>74</v>
      </c>
      <c r="E105" t="s">
        <v>142</v>
      </c>
      <c r="F105">
        <v>2</v>
      </c>
      <c r="G105" s="4">
        <v>6.77</v>
      </c>
      <c r="H105" s="4">
        <v>6.77</v>
      </c>
      <c r="I105" s="4">
        <v>1.42</v>
      </c>
      <c r="J105" s="4">
        <v>0</v>
      </c>
      <c r="K105" s="4">
        <v>0</v>
      </c>
      <c r="L105" s="4">
        <v>16.32</v>
      </c>
      <c r="M105" s="4">
        <v>16.32</v>
      </c>
      <c r="N105" s="4">
        <v>16.32</v>
      </c>
      <c r="O105" s="4">
        <v>4.99</v>
      </c>
      <c r="P105" s="4">
        <v>12.9</v>
      </c>
      <c r="Q105" s="4">
        <v>12.9</v>
      </c>
      <c r="R105" s="4">
        <v>19.43</v>
      </c>
      <c r="S105" s="19">
        <v>12</v>
      </c>
      <c r="T105" s="19">
        <v>976</v>
      </c>
      <c r="U105" s="19">
        <v>0</v>
      </c>
      <c r="V105" s="19">
        <v>20</v>
      </c>
      <c r="W105" s="19">
        <v>20</v>
      </c>
      <c r="X105" s="19">
        <v>3368</v>
      </c>
      <c r="Y105" s="19">
        <v>36</v>
      </c>
      <c r="Z105" s="19">
        <v>20</v>
      </c>
      <c r="AA105" s="14">
        <v>0</v>
      </c>
    </row>
    <row r="106" spans="1:27">
      <c r="A106" s="16">
        <v>46148.083333333336</v>
      </c>
      <c r="B106" s="17">
        <v>46148</v>
      </c>
      <c r="C106" s="18">
        <v>8.3333333333333329E-2</v>
      </c>
      <c r="D106" t="s">
        <v>74</v>
      </c>
      <c r="E106" t="s">
        <v>142</v>
      </c>
      <c r="F106">
        <v>2</v>
      </c>
      <c r="G106" s="4">
        <v>3.9</v>
      </c>
      <c r="H106" s="4">
        <v>3.9</v>
      </c>
      <c r="I106" s="4">
        <v>4.37</v>
      </c>
      <c r="J106" s="4">
        <v>0</v>
      </c>
      <c r="K106" s="4">
        <v>0</v>
      </c>
      <c r="L106" s="4">
        <v>12.7</v>
      </c>
      <c r="M106" s="4">
        <v>10.5</v>
      </c>
      <c r="N106" s="4">
        <v>10.5</v>
      </c>
      <c r="O106" s="4">
        <v>1.91</v>
      </c>
      <c r="P106" s="4">
        <v>9.52</v>
      </c>
      <c r="Q106" s="4">
        <v>9.52</v>
      </c>
      <c r="R106" s="4">
        <v>18.8</v>
      </c>
      <c r="S106" s="19">
        <v>28</v>
      </c>
      <c r="T106" s="19">
        <v>912</v>
      </c>
      <c r="U106" s="19">
        <v>16</v>
      </c>
      <c r="V106" s="19">
        <v>20</v>
      </c>
      <c r="W106" s="19">
        <v>8</v>
      </c>
      <c r="X106" s="19">
        <v>3016</v>
      </c>
      <c r="Y106" s="19">
        <v>8</v>
      </c>
      <c r="Z106" s="19">
        <v>20</v>
      </c>
      <c r="AA106" s="14">
        <v>0</v>
      </c>
    </row>
    <row r="107" spans="1:27">
      <c r="A107" s="16">
        <v>46148.09375</v>
      </c>
      <c r="B107" s="17">
        <v>46148</v>
      </c>
      <c r="C107" s="18">
        <v>9.375E-2</v>
      </c>
      <c r="D107" t="s">
        <v>74</v>
      </c>
      <c r="E107" t="s">
        <v>142</v>
      </c>
      <c r="F107">
        <v>2</v>
      </c>
      <c r="G107" s="4">
        <v>6.1</v>
      </c>
      <c r="H107" s="4">
        <v>6.1</v>
      </c>
      <c r="I107" s="4">
        <v>2.33</v>
      </c>
      <c r="J107" s="4">
        <v>10.5</v>
      </c>
      <c r="K107" s="4">
        <v>10.5</v>
      </c>
      <c r="L107" s="4">
        <v>18.350000000000001</v>
      </c>
      <c r="M107" s="4">
        <v>13.25</v>
      </c>
      <c r="N107" s="4">
        <v>13.25</v>
      </c>
      <c r="O107" s="4">
        <v>3.2</v>
      </c>
      <c r="P107" s="4">
        <v>7</v>
      </c>
      <c r="Q107" s="4">
        <v>7</v>
      </c>
      <c r="R107" s="4">
        <v>10.73</v>
      </c>
      <c r="S107" s="19">
        <v>4</v>
      </c>
      <c r="T107" s="19">
        <v>924</v>
      </c>
      <c r="U107" s="19">
        <v>4</v>
      </c>
      <c r="V107" s="19">
        <v>8</v>
      </c>
      <c r="W107" s="19">
        <v>16</v>
      </c>
      <c r="X107" s="19">
        <v>2916</v>
      </c>
      <c r="Y107" s="19">
        <v>16</v>
      </c>
      <c r="Z107" s="19">
        <v>8</v>
      </c>
      <c r="AA107" s="14">
        <v>0</v>
      </c>
    </row>
    <row r="108" spans="1:27">
      <c r="A108" s="16">
        <v>46148.104166666664</v>
      </c>
      <c r="B108" s="17">
        <v>46148</v>
      </c>
      <c r="C108" s="18">
        <v>0.10416666666666667</v>
      </c>
      <c r="D108" t="s">
        <v>74</v>
      </c>
      <c r="E108" t="s">
        <v>142</v>
      </c>
      <c r="F108">
        <v>2</v>
      </c>
      <c r="G108" s="4">
        <v>6.1</v>
      </c>
      <c r="H108" s="4">
        <v>6.1</v>
      </c>
      <c r="I108" s="4">
        <v>1.7</v>
      </c>
      <c r="J108" s="4">
        <v>6.1</v>
      </c>
      <c r="K108" s="4">
        <v>6.1</v>
      </c>
      <c r="L108" s="4">
        <v>7.9</v>
      </c>
      <c r="M108" s="4">
        <v>8.3000000000000007</v>
      </c>
      <c r="N108" s="4">
        <v>8.3000000000000007</v>
      </c>
      <c r="O108" s="4">
        <v>1.08</v>
      </c>
      <c r="P108" s="4">
        <v>8.75</v>
      </c>
      <c r="Q108" s="4">
        <v>8.75</v>
      </c>
      <c r="R108" s="4">
        <v>7.8</v>
      </c>
      <c r="S108" s="19">
        <v>0</v>
      </c>
      <c r="T108" s="19">
        <v>1048</v>
      </c>
      <c r="U108" s="19">
        <v>4</v>
      </c>
      <c r="V108" s="19">
        <v>24</v>
      </c>
      <c r="W108" s="19">
        <v>20</v>
      </c>
      <c r="X108" s="19">
        <v>2328</v>
      </c>
      <c r="Y108" s="19">
        <v>12</v>
      </c>
      <c r="Z108" s="19">
        <v>4</v>
      </c>
      <c r="AA108" s="14">
        <v>0</v>
      </c>
    </row>
    <row r="109" spans="1:27">
      <c r="A109" s="16">
        <v>46148.114583333336</v>
      </c>
      <c r="B109" s="17">
        <v>46148</v>
      </c>
      <c r="C109" s="18">
        <v>0.11458333333333333</v>
      </c>
      <c r="D109" t="s">
        <v>74</v>
      </c>
      <c r="E109" t="s">
        <v>142</v>
      </c>
      <c r="F109">
        <v>2</v>
      </c>
      <c r="G109" s="4">
        <v>0</v>
      </c>
      <c r="H109" s="4">
        <v>0</v>
      </c>
      <c r="I109" s="4">
        <v>1.4</v>
      </c>
      <c r="J109" s="4">
        <v>0</v>
      </c>
      <c r="K109" s="4">
        <v>0</v>
      </c>
      <c r="L109" s="4">
        <v>15</v>
      </c>
      <c r="M109" s="4">
        <v>6.5</v>
      </c>
      <c r="N109" s="4">
        <v>6.5</v>
      </c>
      <c r="O109" s="4">
        <v>3.95</v>
      </c>
      <c r="P109" s="4">
        <v>6.1</v>
      </c>
      <c r="Q109" s="4">
        <v>6.1</v>
      </c>
      <c r="R109" s="4">
        <v>8.1999999999999993</v>
      </c>
      <c r="S109" s="19">
        <v>12</v>
      </c>
      <c r="T109" s="19">
        <v>804</v>
      </c>
      <c r="U109" s="19">
        <v>0</v>
      </c>
      <c r="V109" s="19">
        <v>4</v>
      </c>
      <c r="W109" s="19">
        <v>4</v>
      </c>
      <c r="X109" s="19">
        <v>2448</v>
      </c>
      <c r="Y109" s="19">
        <v>12</v>
      </c>
      <c r="Z109" s="19">
        <v>24</v>
      </c>
      <c r="AA109" s="14">
        <v>0</v>
      </c>
    </row>
    <row r="110" spans="1:27">
      <c r="A110" s="16">
        <v>46148.125</v>
      </c>
      <c r="B110" s="17">
        <v>46148</v>
      </c>
      <c r="C110" s="18">
        <v>0.125</v>
      </c>
      <c r="D110" t="s">
        <v>74</v>
      </c>
      <c r="E110" t="s">
        <v>142</v>
      </c>
      <c r="F110">
        <v>2</v>
      </c>
      <c r="G110" s="4">
        <v>6.1</v>
      </c>
      <c r="H110" s="4">
        <v>6.1</v>
      </c>
      <c r="I110" s="4">
        <v>0.2</v>
      </c>
      <c r="J110" s="4">
        <v>0</v>
      </c>
      <c r="K110" s="4">
        <v>0</v>
      </c>
      <c r="L110" s="4">
        <v>0</v>
      </c>
      <c r="M110" s="4">
        <v>22.1</v>
      </c>
      <c r="N110" s="4">
        <v>22.1</v>
      </c>
      <c r="O110" s="4">
        <v>3.18</v>
      </c>
      <c r="P110" s="4">
        <v>7.77</v>
      </c>
      <c r="Q110" s="4">
        <v>7.77</v>
      </c>
      <c r="R110" s="4">
        <v>11.14</v>
      </c>
      <c r="S110" s="19">
        <v>4</v>
      </c>
      <c r="T110" s="19">
        <v>1012</v>
      </c>
      <c r="U110" s="19">
        <v>0</v>
      </c>
      <c r="V110" s="19">
        <v>8</v>
      </c>
      <c r="W110" s="19">
        <v>16</v>
      </c>
      <c r="X110" s="19">
        <v>1656</v>
      </c>
      <c r="Y110" s="19">
        <v>4</v>
      </c>
      <c r="Z110" s="19">
        <v>4</v>
      </c>
      <c r="AA110" s="14">
        <v>0</v>
      </c>
    </row>
    <row r="111" spans="1:27">
      <c r="A111" s="16">
        <v>46148.135416666664</v>
      </c>
      <c r="B111" s="17">
        <v>46148</v>
      </c>
      <c r="C111" s="18">
        <v>0.13541666666666666</v>
      </c>
      <c r="D111" t="s">
        <v>74</v>
      </c>
      <c r="E111" t="s">
        <v>142</v>
      </c>
      <c r="F111">
        <v>2</v>
      </c>
      <c r="G111" s="4">
        <v>6.1</v>
      </c>
      <c r="H111" s="4">
        <v>6.1</v>
      </c>
      <c r="I111" s="4">
        <v>0.4</v>
      </c>
      <c r="J111" s="4">
        <v>0</v>
      </c>
      <c r="K111" s="4">
        <v>0</v>
      </c>
      <c r="L111" s="4">
        <v>7</v>
      </c>
      <c r="M111" s="4">
        <v>13.22</v>
      </c>
      <c r="N111" s="4">
        <v>13.22</v>
      </c>
      <c r="O111" s="4">
        <v>2.86</v>
      </c>
      <c r="P111" s="4">
        <v>8.6999999999999993</v>
      </c>
      <c r="Q111" s="4">
        <v>8.6999999999999993</v>
      </c>
      <c r="R111" s="4">
        <v>7.2</v>
      </c>
      <c r="S111" s="19">
        <v>16</v>
      </c>
      <c r="T111" s="19">
        <v>696</v>
      </c>
      <c r="U111" s="19">
        <v>0</v>
      </c>
      <c r="V111" s="19">
        <v>8</v>
      </c>
      <c r="W111" s="19">
        <v>8</v>
      </c>
      <c r="X111" s="19">
        <v>1436</v>
      </c>
      <c r="Y111" s="19">
        <v>0</v>
      </c>
      <c r="Z111" s="19">
        <v>24</v>
      </c>
      <c r="AA111" s="14">
        <v>1</v>
      </c>
    </row>
    <row r="112" spans="1:27">
      <c r="A112" s="16">
        <v>46148.145833333336</v>
      </c>
      <c r="B112" s="17">
        <v>46148</v>
      </c>
      <c r="C112" s="18">
        <v>0.14583333333333334</v>
      </c>
      <c r="D112" t="s">
        <v>74</v>
      </c>
      <c r="E112" t="s">
        <v>142</v>
      </c>
      <c r="F112">
        <v>2</v>
      </c>
      <c r="G112" s="4">
        <v>18.05</v>
      </c>
      <c r="H112" s="4">
        <v>18.05</v>
      </c>
      <c r="I112" s="4">
        <v>31.54</v>
      </c>
      <c r="J112" s="4">
        <v>0</v>
      </c>
      <c r="K112" s="4">
        <v>0</v>
      </c>
      <c r="L112" s="4">
        <v>10.1</v>
      </c>
      <c r="M112" s="4">
        <v>19.600000000000001</v>
      </c>
      <c r="N112" s="4">
        <v>19.600000000000001</v>
      </c>
      <c r="O112" s="4">
        <v>3.75</v>
      </c>
      <c r="P112" s="4">
        <v>0</v>
      </c>
      <c r="Q112" s="4">
        <v>0</v>
      </c>
      <c r="R112" s="4">
        <v>14.3</v>
      </c>
      <c r="S112" s="19">
        <v>20</v>
      </c>
      <c r="T112" s="19">
        <v>196</v>
      </c>
      <c r="U112" s="19">
        <v>0</v>
      </c>
      <c r="V112" s="19">
        <v>24</v>
      </c>
      <c r="W112" s="19">
        <v>4</v>
      </c>
      <c r="X112" s="19">
        <v>900</v>
      </c>
      <c r="Y112" s="19">
        <v>0</v>
      </c>
      <c r="Z112" s="19">
        <v>16</v>
      </c>
      <c r="AA112" s="14">
        <v>1</v>
      </c>
    </row>
    <row r="113" spans="1:27">
      <c r="A113" s="16">
        <v>46148.15625</v>
      </c>
      <c r="B113" s="17">
        <v>46148</v>
      </c>
      <c r="C113" s="18">
        <v>0.15625</v>
      </c>
      <c r="D113" t="s">
        <v>74</v>
      </c>
      <c r="E113" t="s">
        <v>142</v>
      </c>
      <c r="F113">
        <v>2</v>
      </c>
      <c r="G113" s="4">
        <v>51</v>
      </c>
      <c r="H113" s="4">
        <v>51</v>
      </c>
      <c r="I113" s="4">
        <v>21.86</v>
      </c>
      <c r="J113" s="4">
        <v>0</v>
      </c>
      <c r="K113" s="4">
        <v>0</v>
      </c>
      <c r="L113" s="4">
        <v>0</v>
      </c>
      <c r="M113" s="4">
        <v>64.900000000000006</v>
      </c>
      <c r="N113" s="4">
        <v>64.900000000000006</v>
      </c>
      <c r="O113" s="4">
        <v>16.21</v>
      </c>
      <c r="P113" s="4">
        <v>0</v>
      </c>
      <c r="Q113" s="4">
        <v>0</v>
      </c>
      <c r="R113" s="4">
        <v>0</v>
      </c>
      <c r="S113" s="19">
        <v>8</v>
      </c>
      <c r="T113" s="19">
        <v>168</v>
      </c>
      <c r="U113" s="19">
        <v>0</v>
      </c>
      <c r="V113" s="19">
        <v>24</v>
      </c>
      <c r="W113" s="19">
        <v>16</v>
      </c>
      <c r="X113" s="19">
        <v>1604</v>
      </c>
      <c r="Y113" s="19">
        <v>8</v>
      </c>
      <c r="Z113" s="19">
        <v>32</v>
      </c>
      <c r="AA113" s="14">
        <v>1</v>
      </c>
    </row>
    <row r="114" spans="1:27">
      <c r="A114" s="16">
        <v>46148.166666666664</v>
      </c>
      <c r="B114" s="17">
        <v>46148</v>
      </c>
      <c r="C114" s="18">
        <v>0.16666666666666666</v>
      </c>
      <c r="D114" t="s">
        <v>74</v>
      </c>
      <c r="E114" t="s">
        <v>142</v>
      </c>
      <c r="F114">
        <v>2</v>
      </c>
      <c r="G114" s="4">
        <v>18.3</v>
      </c>
      <c r="H114" s="4">
        <v>18.3</v>
      </c>
      <c r="I114" s="4">
        <v>21.57</v>
      </c>
      <c r="J114" s="4">
        <v>0</v>
      </c>
      <c r="K114" s="4">
        <v>0</v>
      </c>
      <c r="L114" s="4">
        <v>23.9</v>
      </c>
      <c r="M114" s="4">
        <v>31.4</v>
      </c>
      <c r="N114" s="4">
        <v>31.4</v>
      </c>
      <c r="O114" s="4">
        <v>17.32</v>
      </c>
      <c r="P114" s="4">
        <v>17.899999999999999</v>
      </c>
      <c r="Q114" s="4">
        <v>17.899999999999999</v>
      </c>
      <c r="R114" s="4">
        <v>8.75</v>
      </c>
      <c r="S114" s="19">
        <v>24</v>
      </c>
      <c r="T114" s="19">
        <v>388</v>
      </c>
      <c r="U114" s="19">
        <v>4</v>
      </c>
      <c r="V114" s="19">
        <v>60</v>
      </c>
      <c r="W114" s="19">
        <v>24</v>
      </c>
      <c r="X114" s="19">
        <v>1516</v>
      </c>
      <c r="Y114" s="19">
        <v>24</v>
      </c>
      <c r="Z114" s="19">
        <v>16</v>
      </c>
      <c r="AA114" s="14">
        <v>1</v>
      </c>
    </row>
    <row r="115" spans="1:27">
      <c r="A115" s="16">
        <v>46148.177083333336</v>
      </c>
      <c r="B115" s="17">
        <v>46148</v>
      </c>
      <c r="C115" s="18">
        <v>0.17708333333333334</v>
      </c>
      <c r="D115" t="s">
        <v>74</v>
      </c>
      <c r="E115" t="s">
        <v>142</v>
      </c>
      <c r="F115">
        <v>2</v>
      </c>
      <c r="G115" s="4">
        <v>6.55</v>
      </c>
      <c r="H115" s="4">
        <v>6.55</v>
      </c>
      <c r="I115" s="4">
        <v>12.24</v>
      </c>
      <c r="J115" s="4">
        <v>13.7</v>
      </c>
      <c r="K115" s="4">
        <v>13.7</v>
      </c>
      <c r="L115" s="4">
        <v>14.45</v>
      </c>
      <c r="M115" s="4">
        <v>30.42</v>
      </c>
      <c r="N115" s="4">
        <v>30.42</v>
      </c>
      <c r="O115" s="4">
        <v>14.28</v>
      </c>
      <c r="P115" s="4">
        <v>10.199999999999999</v>
      </c>
      <c r="Q115" s="4">
        <v>10.199999999999999</v>
      </c>
      <c r="R115" s="4">
        <v>4.7</v>
      </c>
      <c r="S115" s="19">
        <v>16</v>
      </c>
      <c r="T115" s="19">
        <v>1224</v>
      </c>
      <c r="U115" s="19">
        <v>0</v>
      </c>
      <c r="V115" s="19">
        <v>24</v>
      </c>
      <c r="W115" s="19">
        <v>4</v>
      </c>
      <c r="X115" s="19">
        <v>1036</v>
      </c>
      <c r="Y115" s="19">
        <v>4</v>
      </c>
      <c r="Z115" s="19">
        <v>8</v>
      </c>
      <c r="AA115" s="14">
        <v>1</v>
      </c>
    </row>
    <row r="116" spans="1:27">
      <c r="A116" s="16">
        <v>46148.1875</v>
      </c>
      <c r="B116" s="17">
        <v>46148</v>
      </c>
      <c r="C116" s="18">
        <v>0.1875</v>
      </c>
      <c r="D116" t="s">
        <v>74</v>
      </c>
      <c r="E116" t="s">
        <v>142</v>
      </c>
      <c r="F116">
        <v>2</v>
      </c>
      <c r="G116" s="4">
        <v>28.8</v>
      </c>
      <c r="H116" s="4">
        <v>28.8</v>
      </c>
      <c r="I116" s="4">
        <v>1.2</v>
      </c>
      <c r="J116" s="4">
        <v>0</v>
      </c>
      <c r="K116" s="4">
        <v>0</v>
      </c>
      <c r="L116" s="4">
        <v>13.2</v>
      </c>
      <c r="M116" s="4">
        <v>27.7</v>
      </c>
      <c r="N116" s="4">
        <v>27.7</v>
      </c>
      <c r="O116" s="4">
        <v>11.63</v>
      </c>
      <c r="P116" s="4">
        <v>0</v>
      </c>
      <c r="Q116" s="4">
        <v>0</v>
      </c>
      <c r="R116" s="4">
        <v>10.95</v>
      </c>
      <c r="S116" s="19">
        <v>0</v>
      </c>
      <c r="T116" s="19">
        <v>1444</v>
      </c>
      <c r="U116" s="19">
        <v>24</v>
      </c>
      <c r="V116" s="19">
        <v>68</v>
      </c>
      <c r="W116" s="19">
        <v>24</v>
      </c>
      <c r="X116" s="19">
        <v>1376</v>
      </c>
      <c r="Y116" s="19">
        <v>8</v>
      </c>
      <c r="Z116" s="19">
        <v>76</v>
      </c>
      <c r="AA116" s="14">
        <v>0</v>
      </c>
    </row>
    <row r="117" spans="1:27">
      <c r="A117" s="16">
        <v>46148.197916666664</v>
      </c>
      <c r="B117" s="17">
        <v>46148</v>
      </c>
      <c r="C117" s="18">
        <v>0.19791666666666666</v>
      </c>
      <c r="D117" t="s">
        <v>74</v>
      </c>
      <c r="E117" t="s">
        <v>142</v>
      </c>
      <c r="F117">
        <v>2</v>
      </c>
      <c r="G117" s="4">
        <v>0</v>
      </c>
      <c r="H117" s="4">
        <v>0</v>
      </c>
      <c r="I117" s="4">
        <v>4.4000000000000004</v>
      </c>
      <c r="J117" s="4">
        <v>32.1</v>
      </c>
      <c r="K117" s="4">
        <v>32.1</v>
      </c>
      <c r="L117" s="4">
        <v>15.06</v>
      </c>
      <c r="M117" s="4">
        <v>16.55</v>
      </c>
      <c r="N117" s="4">
        <v>16.55</v>
      </c>
      <c r="O117" s="4">
        <v>1.1299999999999999</v>
      </c>
      <c r="P117" s="4">
        <v>7.15</v>
      </c>
      <c r="Q117" s="4">
        <v>7.15</v>
      </c>
      <c r="R117" s="4">
        <v>21.59</v>
      </c>
      <c r="S117" s="19">
        <v>0</v>
      </c>
      <c r="T117" s="19">
        <v>1448</v>
      </c>
      <c r="U117" s="19">
        <v>20</v>
      </c>
      <c r="V117" s="19">
        <v>32</v>
      </c>
      <c r="W117" s="19">
        <v>24</v>
      </c>
      <c r="X117" s="19">
        <v>1372</v>
      </c>
      <c r="Y117" s="19">
        <v>8</v>
      </c>
      <c r="Z117" s="19">
        <v>124</v>
      </c>
      <c r="AA117" s="14">
        <v>0</v>
      </c>
    </row>
    <row r="118" spans="1:27">
      <c r="A118" s="16">
        <v>46148.208333333336</v>
      </c>
      <c r="B118" s="17">
        <v>46148</v>
      </c>
      <c r="C118" s="18">
        <v>0.20833333333333334</v>
      </c>
      <c r="D118" t="s">
        <v>74</v>
      </c>
      <c r="E118" t="s">
        <v>142</v>
      </c>
      <c r="F118">
        <v>2</v>
      </c>
      <c r="G118" s="4">
        <v>0</v>
      </c>
      <c r="H118" s="4">
        <v>0</v>
      </c>
      <c r="I118" s="4">
        <v>4.71</v>
      </c>
      <c r="J118" s="4">
        <v>0</v>
      </c>
      <c r="K118" s="4">
        <v>0</v>
      </c>
      <c r="L118" s="4">
        <v>3.6</v>
      </c>
      <c r="M118" s="4">
        <v>19.3</v>
      </c>
      <c r="N118" s="4">
        <v>19.3</v>
      </c>
      <c r="O118" s="4">
        <v>4.3600000000000003</v>
      </c>
      <c r="P118" s="4">
        <v>45.25</v>
      </c>
      <c r="Q118" s="4">
        <v>45.25</v>
      </c>
      <c r="R118" s="4">
        <v>11.99</v>
      </c>
      <c r="S118" s="19">
        <v>12</v>
      </c>
      <c r="T118" s="19">
        <v>1364</v>
      </c>
      <c r="U118" s="19">
        <v>8</v>
      </c>
      <c r="V118" s="19">
        <v>24</v>
      </c>
      <c r="W118" s="19">
        <v>32</v>
      </c>
      <c r="X118" s="19">
        <v>1112</v>
      </c>
      <c r="Y118" s="19">
        <v>0</v>
      </c>
      <c r="Z118" s="19">
        <v>76</v>
      </c>
      <c r="AA118" s="14">
        <v>0</v>
      </c>
    </row>
    <row r="119" spans="1:27">
      <c r="A119" s="16">
        <v>46148.21875</v>
      </c>
      <c r="B119" s="17">
        <v>46148</v>
      </c>
      <c r="C119" s="18">
        <v>0.21875</v>
      </c>
      <c r="D119" t="s">
        <v>74</v>
      </c>
      <c r="E119" t="s">
        <v>142</v>
      </c>
      <c r="F119">
        <v>2</v>
      </c>
      <c r="G119" s="4">
        <v>22.05</v>
      </c>
      <c r="H119" s="4">
        <v>22.05</v>
      </c>
      <c r="I119" s="4">
        <v>7.06</v>
      </c>
      <c r="J119" s="4">
        <v>19.600000000000001</v>
      </c>
      <c r="K119" s="4">
        <v>19.600000000000001</v>
      </c>
      <c r="L119" s="4">
        <v>15.77</v>
      </c>
      <c r="M119" s="4">
        <v>16.399999999999999</v>
      </c>
      <c r="N119" s="4">
        <v>16.399999999999999</v>
      </c>
      <c r="O119" s="4">
        <v>7.54</v>
      </c>
      <c r="P119" s="4">
        <v>0</v>
      </c>
      <c r="Q119" s="4">
        <v>0</v>
      </c>
      <c r="R119" s="4">
        <v>18.13</v>
      </c>
      <c r="S119" s="19">
        <v>44</v>
      </c>
      <c r="T119" s="19">
        <v>1852</v>
      </c>
      <c r="U119" s="19">
        <v>12</v>
      </c>
      <c r="V119" s="19">
        <v>152</v>
      </c>
      <c r="W119" s="19">
        <v>48</v>
      </c>
      <c r="X119" s="19">
        <v>1728</v>
      </c>
      <c r="Y119" s="19">
        <v>28</v>
      </c>
      <c r="Z119" s="19">
        <v>96</v>
      </c>
      <c r="AA119" s="14">
        <v>1</v>
      </c>
    </row>
    <row r="120" spans="1:27">
      <c r="A120" s="16">
        <v>46148.229166666664</v>
      </c>
      <c r="B120" s="17">
        <v>46148</v>
      </c>
      <c r="C120" s="18">
        <v>0.22916666666666666</v>
      </c>
      <c r="D120" t="s">
        <v>74</v>
      </c>
      <c r="E120" t="s">
        <v>142</v>
      </c>
      <c r="F120">
        <v>2</v>
      </c>
      <c r="G120" s="4">
        <v>29.15</v>
      </c>
      <c r="H120" s="4">
        <v>29.15</v>
      </c>
      <c r="I120" s="4">
        <v>7.77</v>
      </c>
      <c r="J120" s="4">
        <v>20.5</v>
      </c>
      <c r="K120" s="4">
        <v>20.5</v>
      </c>
      <c r="L120" s="4">
        <v>8.58</v>
      </c>
      <c r="M120" s="4">
        <v>26.81</v>
      </c>
      <c r="N120" s="4">
        <v>26.81</v>
      </c>
      <c r="O120" s="4">
        <v>10.46</v>
      </c>
      <c r="P120" s="4">
        <v>27.4</v>
      </c>
      <c r="Q120" s="4">
        <v>27.4</v>
      </c>
      <c r="R120" s="4">
        <v>18.77</v>
      </c>
      <c r="S120" s="19">
        <v>92</v>
      </c>
      <c r="T120" s="19">
        <v>1836</v>
      </c>
      <c r="U120" s="19">
        <v>32</v>
      </c>
      <c r="V120" s="19">
        <v>128</v>
      </c>
      <c r="W120" s="19">
        <v>52</v>
      </c>
      <c r="X120" s="19">
        <v>1928</v>
      </c>
      <c r="Y120" s="19">
        <v>60</v>
      </c>
      <c r="Z120" s="19">
        <v>124</v>
      </c>
      <c r="AA120" s="14">
        <v>0</v>
      </c>
    </row>
    <row r="121" spans="1:27">
      <c r="A121" s="16">
        <v>46148.239583333336</v>
      </c>
      <c r="B121" s="17">
        <v>46148</v>
      </c>
      <c r="C121" s="18">
        <v>0.23958333333333334</v>
      </c>
      <c r="D121" t="s">
        <v>74</v>
      </c>
      <c r="E121" t="s">
        <v>142</v>
      </c>
      <c r="F121">
        <v>2</v>
      </c>
      <c r="G121" s="4">
        <v>24.2</v>
      </c>
      <c r="H121" s="4">
        <v>24.2</v>
      </c>
      <c r="I121" s="4">
        <v>13.73</v>
      </c>
      <c r="J121" s="4">
        <v>37.5</v>
      </c>
      <c r="K121" s="4">
        <v>37.5</v>
      </c>
      <c r="L121" s="4">
        <v>37</v>
      </c>
      <c r="M121" s="4">
        <v>36.11</v>
      </c>
      <c r="N121" s="4">
        <v>36.11</v>
      </c>
      <c r="O121" s="4">
        <v>12.96</v>
      </c>
      <c r="P121" s="4">
        <v>24.78</v>
      </c>
      <c r="Q121" s="4">
        <v>24.78</v>
      </c>
      <c r="R121" s="4">
        <v>35.869999999999997</v>
      </c>
      <c r="S121" s="19">
        <v>284</v>
      </c>
      <c r="T121" s="19">
        <v>2040</v>
      </c>
      <c r="U121" s="19">
        <v>28</v>
      </c>
      <c r="V121" s="19">
        <v>248</v>
      </c>
      <c r="W121" s="19">
        <v>56</v>
      </c>
      <c r="X121" s="19">
        <v>1840</v>
      </c>
      <c r="Y121" s="19">
        <v>48</v>
      </c>
      <c r="Z121" s="19">
        <v>112</v>
      </c>
      <c r="AA121" s="14">
        <v>0</v>
      </c>
    </row>
    <row r="122" spans="1:27">
      <c r="A122" s="16">
        <v>46148.25</v>
      </c>
      <c r="B122" s="17">
        <v>46148</v>
      </c>
      <c r="C122" s="18">
        <v>0.25</v>
      </c>
      <c r="D122" t="s">
        <v>74</v>
      </c>
      <c r="E122" t="s">
        <v>142</v>
      </c>
      <c r="F122">
        <v>2</v>
      </c>
      <c r="G122" s="4">
        <v>23.5</v>
      </c>
      <c r="H122" s="4">
        <v>23.5</v>
      </c>
      <c r="I122" s="4">
        <v>9.32</v>
      </c>
      <c r="J122" s="4">
        <v>28.3</v>
      </c>
      <c r="K122" s="4">
        <v>28.3</v>
      </c>
      <c r="L122" s="4">
        <v>27.32</v>
      </c>
      <c r="M122" s="4">
        <v>27.16</v>
      </c>
      <c r="N122" s="4">
        <v>27.16</v>
      </c>
      <c r="O122" s="4">
        <v>21.69</v>
      </c>
      <c r="P122" s="4">
        <v>74.349999999999994</v>
      </c>
      <c r="Q122" s="4">
        <v>74.349999999999994</v>
      </c>
      <c r="R122" s="4">
        <v>30.69</v>
      </c>
      <c r="S122" s="19">
        <v>100</v>
      </c>
      <c r="T122" s="19">
        <v>2120</v>
      </c>
      <c r="U122" s="19">
        <v>24</v>
      </c>
      <c r="V122" s="19">
        <v>212</v>
      </c>
      <c r="W122" s="19">
        <v>48</v>
      </c>
      <c r="X122" s="19">
        <v>2152</v>
      </c>
      <c r="Y122" s="19">
        <v>56</v>
      </c>
      <c r="Z122" s="19">
        <v>128</v>
      </c>
      <c r="AA122" s="14">
        <v>0</v>
      </c>
    </row>
    <row r="123" spans="1:27">
      <c r="A123" s="16">
        <v>46148.260416666664</v>
      </c>
      <c r="B123" s="17">
        <v>46148</v>
      </c>
      <c r="C123" s="18">
        <v>0.26041666666666669</v>
      </c>
      <c r="D123" t="s">
        <v>74</v>
      </c>
      <c r="E123" t="s">
        <v>142</v>
      </c>
      <c r="F123">
        <v>2</v>
      </c>
      <c r="G123" s="4">
        <v>29.67</v>
      </c>
      <c r="H123" s="4">
        <v>29.67</v>
      </c>
      <c r="I123" s="4">
        <v>23.25</v>
      </c>
      <c r="J123" s="4">
        <v>21.8</v>
      </c>
      <c r="K123" s="4">
        <v>21.8</v>
      </c>
      <c r="L123" s="4">
        <v>24.69</v>
      </c>
      <c r="M123" s="4">
        <v>29.95</v>
      </c>
      <c r="N123" s="4">
        <v>29.95</v>
      </c>
      <c r="O123" s="4">
        <v>20.48</v>
      </c>
      <c r="P123" s="4">
        <v>28.53</v>
      </c>
      <c r="Q123" s="4">
        <v>28.53</v>
      </c>
      <c r="R123" s="4">
        <v>32.78</v>
      </c>
      <c r="S123" s="19">
        <v>124</v>
      </c>
      <c r="T123" s="19">
        <v>2068</v>
      </c>
      <c r="U123" s="19">
        <v>32</v>
      </c>
      <c r="V123" s="19">
        <v>180</v>
      </c>
      <c r="W123" s="19">
        <v>104</v>
      </c>
      <c r="X123" s="19">
        <v>1980</v>
      </c>
      <c r="Y123" s="19">
        <v>104</v>
      </c>
      <c r="Z123" s="19">
        <v>164</v>
      </c>
      <c r="AA123" s="14">
        <v>1</v>
      </c>
    </row>
    <row r="124" spans="1:27">
      <c r="A124" s="16">
        <v>46148.270833333336</v>
      </c>
      <c r="B124" s="17">
        <v>46148</v>
      </c>
      <c r="C124" s="18">
        <v>0.27083333333333331</v>
      </c>
      <c r="D124" t="s">
        <v>74</v>
      </c>
      <c r="E124" t="s">
        <v>142</v>
      </c>
      <c r="F124">
        <v>2</v>
      </c>
      <c r="G124" s="4">
        <v>48.35</v>
      </c>
      <c r="H124" s="4">
        <v>48.35</v>
      </c>
      <c r="I124" s="4">
        <v>22.6</v>
      </c>
      <c r="J124" s="4">
        <v>28.03</v>
      </c>
      <c r="K124" s="4">
        <v>28.03</v>
      </c>
      <c r="L124" s="4">
        <v>26.83</v>
      </c>
      <c r="M124" s="4">
        <v>34.14</v>
      </c>
      <c r="N124" s="4">
        <v>34.14</v>
      </c>
      <c r="O124" s="4">
        <v>30.36</v>
      </c>
      <c r="P124" s="4">
        <v>28.89</v>
      </c>
      <c r="Q124" s="4">
        <v>28.89</v>
      </c>
      <c r="R124" s="4">
        <v>28.9</v>
      </c>
      <c r="S124" s="19">
        <v>0</v>
      </c>
      <c r="T124" s="19">
        <v>1872</v>
      </c>
      <c r="U124" s="19">
        <v>24</v>
      </c>
      <c r="V124" s="19">
        <v>216</v>
      </c>
      <c r="W124" s="19">
        <v>48</v>
      </c>
      <c r="X124" s="19">
        <v>2016</v>
      </c>
      <c r="Y124" s="19">
        <v>60</v>
      </c>
      <c r="Z124" s="19">
        <v>92</v>
      </c>
      <c r="AA124" s="14">
        <v>1</v>
      </c>
    </row>
    <row r="125" spans="1:27">
      <c r="A125" s="16">
        <v>46148.28125</v>
      </c>
      <c r="B125" s="17">
        <v>46148</v>
      </c>
      <c r="C125" s="18">
        <v>0.28125</v>
      </c>
      <c r="D125" t="s">
        <v>74</v>
      </c>
      <c r="E125" t="s">
        <v>142</v>
      </c>
      <c r="F125">
        <v>2</v>
      </c>
      <c r="G125" s="4">
        <v>0</v>
      </c>
      <c r="H125" s="4">
        <v>0</v>
      </c>
      <c r="I125" s="4">
        <v>40.270000000000003</v>
      </c>
      <c r="J125" s="4">
        <v>95.23</v>
      </c>
      <c r="K125" s="4">
        <v>95.23</v>
      </c>
      <c r="L125" s="4">
        <v>62.32</v>
      </c>
      <c r="M125" s="4">
        <v>80.08</v>
      </c>
      <c r="N125" s="4">
        <v>80.08</v>
      </c>
      <c r="O125" s="4">
        <v>54.87</v>
      </c>
      <c r="P125" s="4">
        <v>75.06</v>
      </c>
      <c r="Q125" s="4">
        <v>75.06</v>
      </c>
      <c r="R125" s="4">
        <v>85.2</v>
      </c>
      <c r="S125" s="19">
        <v>192</v>
      </c>
      <c r="T125" s="19">
        <v>1976</v>
      </c>
      <c r="U125" s="19">
        <v>40</v>
      </c>
      <c r="V125" s="19">
        <v>288</v>
      </c>
      <c r="W125" s="19">
        <v>68</v>
      </c>
      <c r="X125" s="19">
        <v>2148</v>
      </c>
      <c r="Y125" s="19">
        <v>140</v>
      </c>
      <c r="Z125" s="19">
        <v>120</v>
      </c>
      <c r="AA125" s="14">
        <v>0</v>
      </c>
    </row>
    <row r="126" spans="1:27">
      <c r="A126" s="16">
        <v>46148.291666666664</v>
      </c>
      <c r="B126" s="17">
        <v>46148</v>
      </c>
      <c r="C126" s="18">
        <v>0.29166666666666669</v>
      </c>
      <c r="D126" t="s">
        <v>74</v>
      </c>
      <c r="E126" t="s">
        <v>142</v>
      </c>
      <c r="F126">
        <v>2</v>
      </c>
      <c r="G126" s="4">
        <v>77</v>
      </c>
      <c r="H126" s="4">
        <v>77</v>
      </c>
      <c r="I126" s="4">
        <v>51.08</v>
      </c>
      <c r="J126" s="4">
        <v>90.45</v>
      </c>
      <c r="K126" s="4">
        <v>90.45</v>
      </c>
      <c r="L126" s="4">
        <v>63.14</v>
      </c>
      <c r="M126" s="4">
        <v>97.12</v>
      </c>
      <c r="N126" s="4">
        <v>97.12</v>
      </c>
      <c r="O126" s="4">
        <v>55.25</v>
      </c>
      <c r="P126" s="4">
        <v>51.88</v>
      </c>
      <c r="Q126" s="4">
        <v>51.88</v>
      </c>
      <c r="R126" s="4">
        <v>116.07</v>
      </c>
      <c r="S126" s="19">
        <v>100</v>
      </c>
      <c r="T126" s="19">
        <v>1768</v>
      </c>
      <c r="U126" s="19">
        <v>48</v>
      </c>
      <c r="V126" s="19">
        <v>244</v>
      </c>
      <c r="W126" s="19">
        <v>48</v>
      </c>
      <c r="X126" s="19">
        <v>2172</v>
      </c>
      <c r="Y126" s="19">
        <v>92</v>
      </c>
      <c r="Z126" s="19">
        <v>140</v>
      </c>
      <c r="AA126" s="14">
        <v>1</v>
      </c>
    </row>
    <row r="127" spans="1:27">
      <c r="A127" s="16">
        <v>46148.302083333336</v>
      </c>
      <c r="B127" s="17">
        <v>46148</v>
      </c>
      <c r="C127" s="18">
        <v>0.30208333333333331</v>
      </c>
      <c r="D127" t="s">
        <v>74</v>
      </c>
      <c r="E127" t="s">
        <v>142</v>
      </c>
      <c r="F127">
        <v>2</v>
      </c>
      <c r="G127" s="4">
        <v>71.069999999999993</v>
      </c>
      <c r="H127" s="4">
        <v>71.069999999999993</v>
      </c>
      <c r="I127" s="4">
        <v>43.06</v>
      </c>
      <c r="J127" s="4">
        <v>56.67</v>
      </c>
      <c r="K127" s="4">
        <v>56.67</v>
      </c>
      <c r="L127" s="4">
        <v>63.42</v>
      </c>
      <c r="M127" s="4">
        <v>96.12</v>
      </c>
      <c r="N127" s="4">
        <v>96.12</v>
      </c>
      <c r="O127" s="4">
        <v>59.64</v>
      </c>
      <c r="P127" s="4">
        <v>85.94</v>
      </c>
      <c r="Q127" s="4">
        <v>85.94</v>
      </c>
      <c r="R127" s="4">
        <v>89.62</v>
      </c>
      <c r="S127" s="19">
        <v>200</v>
      </c>
      <c r="T127" s="19">
        <v>1848</v>
      </c>
      <c r="U127" s="19">
        <v>56</v>
      </c>
      <c r="V127" s="19">
        <v>316</v>
      </c>
      <c r="W127" s="19">
        <v>48</v>
      </c>
      <c r="X127" s="19">
        <v>2248</v>
      </c>
      <c r="Y127" s="19">
        <v>92</v>
      </c>
      <c r="Z127" s="19">
        <v>120</v>
      </c>
      <c r="AA127" s="14">
        <v>1</v>
      </c>
    </row>
    <row r="128" spans="1:27">
      <c r="A128" s="16">
        <v>46148.3125</v>
      </c>
      <c r="B128" s="17">
        <v>46148</v>
      </c>
      <c r="C128" s="18">
        <v>0.3125</v>
      </c>
      <c r="D128" t="s">
        <v>74</v>
      </c>
      <c r="E128" t="s">
        <v>142</v>
      </c>
      <c r="F128">
        <v>2</v>
      </c>
      <c r="G128" s="4">
        <v>82.63</v>
      </c>
      <c r="H128" s="4">
        <v>82.63</v>
      </c>
      <c r="I128" s="4">
        <v>77.5</v>
      </c>
      <c r="J128" s="4">
        <v>24.43</v>
      </c>
      <c r="K128" s="4">
        <v>24.43</v>
      </c>
      <c r="L128" s="4">
        <v>68.38</v>
      </c>
      <c r="M128" s="4">
        <v>93.05</v>
      </c>
      <c r="N128" s="4">
        <v>93.05</v>
      </c>
      <c r="O128" s="4">
        <v>66.98</v>
      </c>
      <c r="P128" s="4">
        <v>70.62</v>
      </c>
      <c r="Q128" s="4">
        <v>70.62</v>
      </c>
      <c r="R128" s="4">
        <v>117.25</v>
      </c>
      <c r="S128" s="19">
        <v>264</v>
      </c>
      <c r="T128" s="19">
        <v>1976</v>
      </c>
      <c r="U128" s="19">
        <v>44</v>
      </c>
      <c r="V128" s="19">
        <v>360</v>
      </c>
      <c r="W128" s="19">
        <v>48</v>
      </c>
      <c r="X128" s="19">
        <v>2392</v>
      </c>
      <c r="Y128" s="19">
        <v>76</v>
      </c>
      <c r="Z128" s="19">
        <v>156</v>
      </c>
      <c r="AA128" s="14">
        <v>1</v>
      </c>
    </row>
    <row r="129" spans="1:27">
      <c r="A129" s="16">
        <v>46148.322916666664</v>
      </c>
      <c r="B129" s="17">
        <v>46148</v>
      </c>
      <c r="C129" s="18">
        <v>0.32291666666666669</v>
      </c>
      <c r="D129" t="s">
        <v>74</v>
      </c>
      <c r="E129" t="s">
        <v>142</v>
      </c>
      <c r="F129">
        <v>2</v>
      </c>
      <c r="G129" s="4">
        <v>88.8</v>
      </c>
      <c r="H129" s="4">
        <v>88.8</v>
      </c>
      <c r="I129" s="4">
        <v>62.83</v>
      </c>
      <c r="J129" s="4">
        <v>79.239999999999995</v>
      </c>
      <c r="K129" s="4">
        <v>79.239999999999995</v>
      </c>
      <c r="L129" s="4">
        <v>59.08</v>
      </c>
      <c r="M129" s="4">
        <v>122.94</v>
      </c>
      <c r="N129" s="4">
        <v>122.94</v>
      </c>
      <c r="O129" s="4">
        <v>79.8</v>
      </c>
      <c r="P129" s="4">
        <v>102.3</v>
      </c>
      <c r="Q129" s="4">
        <v>102.3</v>
      </c>
      <c r="R129" s="4">
        <v>90.88</v>
      </c>
      <c r="S129" s="19">
        <v>184</v>
      </c>
      <c r="T129" s="19">
        <v>2312</v>
      </c>
      <c r="U129" s="19">
        <v>80</v>
      </c>
      <c r="V129" s="19">
        <v>484</v>
      </c>
      <c r="W129" s="19">
        <v>64</v>
      </c>
      <c r="X129" s="19">
        <v>2748</v>
      </c>
      <c r="Y129" s="19">
        <v>188</v>
      </c>
      <c r="Z129" s="19">
        <v>208</v>
      </c>
      <c r="AA129" s="14">
        <v>1</v>
      </c>
    </row>
    <row r="130" spans="1:27">
      <c r="A130" s="16">
        <v>46148.333333333336</v>
      </c>
      <c r="B130" s="17">
        <v>46148</v>
      </c>
      <c r="C130" s="18">
        <v>0.33333333333333331</v>
      </c>
      <c r="D130" t="s">
        <v>74</v>
      </c>
      <c r="E130" t="s">
        <v>142</v>
      </c>
      <c r="F130">
        <v>2</v>
      </c>
      <c r="G130" s="4">
        <v>75.209999999999994</v>
      </c>
      <c r="H130" s="4">
        <v>75.209999999999994</v>
      </c>
      <c r="I130" s="4">
        <v>77.5</v>
      </c>
      <c r="J130" s="4">
        <v>59.88</v>
      </c>
      <c r="K130" s="4">
        <v>59.88</v>
      </c>
      <c r="L130" s="4">
        <v>80.34</v>
      </c>
      <c r="M130" s="4">
        <v>104.04</v>
      </c>
      <c r="N130" s="4">
        <v>104.04</v>
      </c>
      <c r="O130" s="4">
        <v>73.5</v>
      </c>
      <c r="P130" s="4">
        <v>77.62</v>
      </c>
      <c r="Q130" s="4">
        <v>77.62</v>
      </c>
      <c r="R130" s="4">
        <v>77.930000000000007</v>
      </c>
      <c r="S130" s="19">
        <v>192</v>
      </c>
      <c r="T130" s="19">
        <v>2284</v>
      </c>
      <c r="U130" s="19">
        <v>96</v>
      </c>
      <c r="V130" s="19">
        <v>524</v>
      </c>
      <c r="W130" s="19">
        <v>92</v>
      </c>
      <c r="X130" s="19">
        <v>2516</v>
      </c>
      <c r="Y130" s="19">
        <v>128</v>
      </c>
      <c r="Z130" s="19">
        <v>152</v>
      </c>
      <c r="AA130" s="14">
        <v>0</v>
      </c>
    </row>
    <row r="131" spans="1:27">
      <c r="A131" s="16">
        <v>46148.34375</v>
      </c>
      <c r="B131" s="17">
        <v>46148</v>
      </c>
      <c r="C131" s="18">
        <v>0.34375</v>
      </c>
      <c r="D131" t="s">
        <v>74</v>
      </c>
      <c r="E131" t="s">
        <v>142</v>
      </c>
      <c r="F131">
        <v>2</v>
      </c>
      <c r="G131" s="4">
        <v>73.959999999999994</v>
      </c>
      <c r="H131" s="4">
        <v>73.959999999999994</v>
      </c>
      <c r="I131" s="4">
        <v>54.02</v>
      </c>
      <c r="J131" s="4">
        <v>60.93</v>
      </c>
      <c r="K131" s="4">
        <v>60.93</v>
      </c>
      <c r="L131" s="4">
        <v>57.33</v>
      </c>
      <c r="M131" s="4">
        <v>96.88</v>
      </c>
      <c r="N131" s="4">
        <v>96.88</v>
      </c>
      <c r="O131" s="4">
        <v>85.97</v>
      </c>
      <c r="P131" s="4">
        <v>57.46</v>
      </c>
      <c r="Q131" s="4">
        <v>57.46</v>
      </c>
      <c r="R131" s="4">
        <v>89.48</v>
      </c>
      <c r="S131" s="19">
        <v>232</v>
      </c>
      <c r="T131" s="19">
        <v>2268</v>
      </c>
      <c r="U131" s="19">
        <v>52</v>
      </c>
      <c r="V131" s="19">
        <v>464</v>
      </c>
      <c r="W131" s="19">
        <v>64</v>
      </c>
      <c r="X131" s="19">
        <v>2480</v>
      </c>
      <c r="Y131" s="19">
        <v>96</v>
      </c>
      <c r="Z131" s="19">
        <v>176</v>
      </c>
      <c r="AA131" s="14">
        <v>1</v>
      </c>
    </row>
    <row r="132" spans="1:27">
      <c r="A132" s="16">
        <v>46148.354166666664</v>
      </c>
      <c r="B132" s="17">
        <v>46148</v>
      </c>
      <c r="C132" s="18">
        <v>0.35416666666666669</v>
      </c>
      <c r="D132" t="s">
        <v>74</v>
      </c>
      <c r="E132" t="s">
        <v>142</v>
      </c>
      <c r="F132">
        <v>2</v>
      </c>
      <c r="G132" s="4">
        <v>77.02</v>
      </c>
      <c r="H132" s="4">
        <v>77.02</v>
      </c>
      <c r="I132" s="4">
        <v>64.739999999999995</v>
      </c>
      <c r="J132" s="4">
        <v>73.739999999999995</v>
      </c>
      <c r="K132" s="4">
        <v>73.739999999999995</v>
      </c>
      <c r="L132" s="4">
        <v>50.23</v>
      </c>
      <c r="M132" s="4">
        <v>84.42</v>
      </c>
      <c r="N132" s="4">
        <v>84.42</v>
      </c>
      <c r="O132" s="4">
        <v>77.2</v>
      </c>
      <c r="P132" s="4">
        <v>62.08</v>
      </c>
      <c r="Q132" s="4">
        <v>62.08</v>
      </c>
      <c r="R132" s="4">
        <v>82.5</v>
      </c>
      <c r="S132" s="19">
        <v>140</v>
      </c>
      <c r="T132" s="19">
        <v>1920</v>
      </c>
      <c r="U132" s="19">
        <v>64</v>
      </c>
      <c r="V132" s="19">
        <v>504</v>
      </c>
      <c r="W132" s="19">
        <v>52</v>
      </c>
      <c r="X132" s="19">
        <v>2476</v>
      </c>
      <c r="Y132" s="19">
        <v>120</v>
      </c>
      <c r="Z132" s="19">
        <v>148</v>
      </c>
      <c r="AA132" s="14">
        <v>1</v>
      </c>
    </row>
    <row r="133" spans="1:27">
      <c r="A133" s="16">
        <v>46148.364583333336</v>
      </c>
      <c r="B133" s="17">
        <v>46148</v>
      </c>
      <c r="C133" s="18">
        <v>0.36458333333333331</v>
      </c>
      <c r="D133" t="s">
        <v>74</v>
      </c>
      <c r="E133" t="s">
        <v>142</v>
      </c>
      <c r="F133">
        <v>2</v>
      </c>
      <c r="G133" s="4">
        <v>108.96</v>
      </c>
      <c r="H133" s="4">
        <v>108.96</v>
      </c>
      <c r="I133" s="4">
        <v>75.8</v>
      </c>
      <c r="J133" s="4">
        <v>59.58</v>
      </c>
      <c r="K133" s="4">
        <v>59.58</v>
      </c>
      <c r="L133" s="4">
        <v>46.96</v>
      </c>
      <c r="M133" s="4">
        <v>96.42</v>
      </c>
      <c r="N133" s="4">
        <v>96.42</v>
      </c>
      <c r="O133" s="4">
        <v>79.5</v>
      </c>
      <c r="P133" s="4">
        <v>63.87</v>
      </c>
      <c r="Q133" s="4">
        <v>63.87</v>
      </c>
      <c r="R133" s="4">
        <v>81.98</v>
      </c>
      <c r="S133" s="19">
        <v>192</v>
      </c>
      <c r="T133" s="19">
        <v>2000</v>
      </c>
      <c r="U133" s="19">
        <v>124</v>
      </c>
      <c r="V133" s="19">
        <v>424</v>
      </c>
      <c r="W133" s="19">
        <v>56</v>
      </c>
      <c r="X133" s="19">
        <v>2756</v>
      </c>
      <c r="Y133" s="19">
        <v>108</v>
      </c>
      <c r="Z133" s="19">
        <v>208</v>
      </c>
      <c r="AA133" s="14">
        <v>1</v>
      </c>
    </row>
    <row r="134" spans="1:27">
      <c r="A134" s="16">
        <v>46148.375</v>
      </c>
      <c r="B134" s="17">
        <v>46148</v>
      </c>
      <c r="C134" s="18">
        <v>0.375</v>
      </c>
      <c r="D134" t="s">
        <v>74</v>
      </c>
      <c r="E134" t="s">
        <v>142</v>
      </c>
      <c r="F134">
        <v>2</v>
      </c>
      <c r="G134" s="4">
        <v>77.8</v>
      </c>
      <c r="H134" s="4">
        <v>77.8</v>
      </c>
      <c r="I134" s="4">
        <v>71.2</v>
      </c>
      <c r="J134" s="4">
        <v>48.2</v>
      </c>
      <c r="K134" s="4">
        <v>48.2</v>
      </c>
      <c r="L134" s="4">
        <v>78.22</v>
      </c>
      <c r="M134" s="4">
        <v>104.43</v>
      </c>
      <c r="N134" s="4">
        <v>104.43</v>
      </c>
      <c r="O134" s="4">
        <v>73.58</v>
      </c>
      <c r="P134" s="4">
        <v>94.31</v>
      </c>
      <c r="Q134" s="4">
        <v>94.31</v>
      </c>
      <c r="R134" s="4">
        <v>68.11</v>
      </c>
      <c r="S134" s="19">
        <v>152</v>
      </c>
      <c r="T134" s="19">
        <v>2144</v>
      </c>
      <c r="U134" s="19">
        <v>80</v>
      </c>
      <c r="V134" s="19">
        <v>360</v>
      </c>
      <c r="W134" s="19">
        <v>44</v>
      </c>
      <c r="X134" s="19">
        <v>2552</v>
      </c>
      <c r="Y134" s="19">
        <v>112</v>
      </c>
      <c r="Z134" s="19">
        <v>132</v>
      </c>
      <c r="AA134" s="14">
        <v>1</v>
      </c>
    </row>
    <row r="135" spans="1:27">
      <c r="A135" s="16">
        <v>46148.385416666664</v>
      </c>
      <c r="B135" s="17">
        <v>46148</v>
      </c>
      <c r="C135" s="18">
        <v>0.38541666666666669</v>
      </c>
      <c r="D135" t="s">
        <v>74</v>
      </c>
      <c r="E135" t="s">
        <v>142</v>
      </c>
      <c r="F135">
        <v>2</v>
      </c>
      <c r="G135" s="4">
        <v>96.2</v>
      </c>
      <c r="H135" s="4">
        <v>96.2</v>
      </c>
      <c r="I135" s="4">
        <v>73.3</v>
      </c>
      <c r="J135" s="4">
        <v>62.87</v>
      </c>
      <c r="K135" s="4">
        <v>62.87</v>
      </c>
      <c r="L135" s="4">
        <v>72.48</v>
      </c>
      <c r="M135" s="4">
        <v>99.56</v>
      </c>
      <c r="N135" s="4">
        <v>99.56</v>
      </c>
      <c r="O135" s="4">
        <v>72.72</v>
      </c>
      <c r="P135" s="4">
        <v>87.43</v>
      </c>
      <c r="Q135" s="4">
        <v>87.43</v>
      </c>
      <c r="R135" s="4">
        <v>90.1</v>
      </c>
      <c r="S135" s="19">
        <v>184</v>
      </c>
      <c r="T135" s="19">
        <v>1804</v>
      </c>
      <c r="U135" s="19">
        <v>100</v>
      </c>
      <c r="V135" s="19">
        <v>320</v>
      </c>
      <c r="W135" s="19">
        <v>88</v>
      </c>
      <c r="X135" s="19">
        <v>2624</v>
      </c>
      <c r="Y135" s="19">
        <v>108</v>
      </c>
      <c r="Z135" s="19">
        <v>160</v>
      </c>
      <c r="AA135" s="14">
        <v>1</v>
      </c>
    </row>
    <row r="136" spans="1:27">
      <c r="A136" s="16">
        <v>46148.395833333336</v>
      </c>
      <c r="B136" s="17">
        <v>46148</v>
      </c>
      <c r="C136" s="18">
        <v>0.39583333333333331</v>
      </c>
      <c r="D136" t="s">
        <v>74</v>
      </c>
      <c r="E136" t="s">
        <v>142</v>
      </c>
      <c r="F136">
        <v>2</v>
      </c>
      <c r="G136" s="4">
        <v>89.7</v>
      </c>
      <c r="H136" s="4">
        <v>89.7</v>
      </c>
      <c r="I136" s="4">
        <v>62.33</v>
      </c>
      <c r="J136" s="4">
        <v>59.54</v>
      </c>
      <c r="K136" s="4">
        <v>59.54</v>
      </c>
      <c r="L136" s="4">
        <v>70.3</v>
      </c>
      <c r="M136" s="4">
        <v>99.02</v>
      </c>
      <c r="N136" s="4">
        <v>99.02</v>
      </c>
      <c r="O136" s="4">
        <v>76.2</v>
      </c>
      <c r="P136" s="4">
        <v>81.66</v>
      </c>
      <c r="Q136" s="4">
        <v>81.66</v>
      </c>
      <c r="R136" s="4">
        <v>74.08</v>
      </c>
      <c r="S136" s="19">
        <v>200</v>
      </c>
      <c r="T136" s="19">
        <v>1820</v>
      </c>
      <c r="U136" s="19">
        <v>64</v>
      </c>
      <c r="V136" s="19">
        <v>312</v>
      </c>
      <c r="W136" s="19">
        <v>80</v>
      </c>
      <c r="X136" s="19">
        <v>2232</v>
      </c>
      <c r="Y136" s="19">
        <v>112</v>
      </c>
      <c r="Z136" s="19">
        <v>156</v>
      </c>
      <c r="AA136" s="14">
        <v>1</v>
      </c>
    </row>
    <row r="137" spans="1:27">
      <c r="A137" s="16">
        <v>46148.40625</v>
      </c>
      <c r="B137" s="17">
        <v>46148</v>
      </c>
      <c r="C137" s="18">
        <v>0.40625</v>
      </c>
      <c r="D137" t="s">
        <v>74</v>
      </c>
      <c r="E137" t="s">
        <v>142</v>
      </c>
      <c r="F137">
        <v>2</v>
      </c>
      <c r="G137" s="4">
        <v>129.47</v>
      </c>
      <c r="H137" s="4">
        <v>129.47</v>
      </c>
      <c r="I137" s="4">
        <v>53.5</v>
      </c>
      <c r="J137" s="4">
        <v>58.8</v>
      </c>
      <c r="K137" s="4">
        <v>58.8</v>
      </c>
      <c r="L137" s="4">
        <v>47.83</v>
      </c>
      <c r="M137" s="4">
        <v>68.95</v>
      </c>
      <c r="N137" s="4">
        <v>68.95</v>
      </c>
      <c r="O137" s="4">
        <v>72.599999999999994</v>
      </c>
      <c r="P137" s="4">
        <v>66.95</v>
      </c>
      <c r="Q137" s="4">
        <v>66.95</v>
      </c>
      <c r="R137" s="4">
        <v>77.22</v>
      </c>
      <c r="S137" s="19">
        <v>320</v>
      </c>
      <c r="T137" s="19">
        <v>2096</v>
      </c>
      <c r="U137" s="19">
        <v>88</v>
      </c>
      <c r="V137" s="19">
        <v>416</v>
      </c>
      <c r="W137" s="19">
        <v>60</v>
      </c>
      <c r="X137" s="19">
        <v>2876</v>
      </c>
      <c r="Y137" s="19">
        <v>172</v>
      </c>
      <c r="Z137" s="19">
        <v>176</v>
      </c>
      <c r="AA137" s="14">
        <v>1</v>
      </c>
    </row>
    <row r="138" spans="1:27">
      <c r="A138" s="16">
        <v>46148.416666666664</v>
      </c>
      <c r="B138" s="17">
        <v>46148</v>
      </c>
      <c r="C138" s="18">
        <v>0.41666666666666669</v>
      </c>
      <c r="D138" t="s">
        <v>74</v>
      </c>
      <c r="E138" t="s">
        <v>142</v>
      </c>
      <c r="F138">
        <v>2</v>
      </c>
      <c r="G138" s="4">
        <v>87.67</v>
      </c>
      <c r="H138" s="4">
        <v>87.67</v>
      </c>
      <c r="I138" s="4">
        <v>67.239999999999995</v>
      </c>
      <c r="J138" s="4">
        <v>103.15</v>
      </c>
      <c r="K138" s="4">
        <v>103.15</v>
      </c>
      <c r="L138" s="4">
        <v>50.24</v>
      </c>
      <c r="M138" s="4">
        <v>89.54</v>
      </c>
      <c r="N138" s="4">
        <v>89.54</v>
      </c>
      <c r="O138" s="4">
        <v>85.23</v>
      </c>
      <c r="P138" s="4">
        <v>72.47</v>
      </c>
      <c r="Q138" s="4">
        <v>72.47</v>
      </c>
      <c r="R138" s="4">
        <v>65.17</v>
      </c>
      <c r="S138" s="19">
        <v>244</v>
      </c>
      <c r="T138" s="19">
        <v>1956</v>
      </c>
      <c r="U138" s="19">
        <v>120</v>
      </c>
      <c r="V138" s="19">
        <v>408</v>
      </c>
      <c r="W138" s="19">
        <v>64</v>
      </c>
      <c r="X138" s="19">
        <v>2608</v>
      </c>
      <c r="Y138" s="19">
        <v>136</v>
      </c>
      <c r="Z138" s="19">
        <v>168</v>
      </c>
      <c r="AA138" s="14">
        <v>1</v>
      </c>
    </row>
    <row r="139" spans="1:27">
      <c r="A139" s="16">
        <v>46148.427083333336</v>
      </c>
      <c r="B139" s="17">
        <v>46148</v>
      </c>
      <c r="C139" s="18">
        <v>0.42708333333333331</v>
      </c>
      <c r="D139" t="s">
        <v>74</v>
      </c>
      <c r="E139" t="s">
        <v>142</v>
      </c>
      <c r="F139">
        <v>2</v>
      </c>
      <c r="G139" s="4">
        <v>95.8</v>
      </c>
      <c r="H139" s="4">
        <v>95.8</v>
      </c>
      <c r="I139" s="4">
        <v>57.6</v>
      </c>
      <c r="J139" s="4">
        <v>57.78</v>
      </c>
      <c r="K139" s="4">
        <v>57.78</v>
      </c>
      <c r="L139" s="4">
        <v>54.6</v>
      </c>
      <c r="M139" s="4">
        <v>82.65</v>
      </c>
      <c r="N139" s="4">
        <v>82.65</v>
      </c>
      <c r="O139" s="4">
        <v>70.33</v>
      </c>
      <c r="P139" s="4">
        <v>74.11</v>
      </c>
      <c r="Q139" s="4">
        <v>74.11</v>
      </c>
      <c r="R139" s="4">
        <v>79.260000000000005</v>
      </c>
      <c r="S139" s="19">
        <v>172</v>
      </c>
      <c r="T139" s="19">
        <v>1936</v>
      </c>
      <c r="U139" s="19">
        <v>96</v>
      </c>
      <c r="V139" s="19">
        <v>304</v>
      </c>
      <c r="W139" s="19">
        <v>64</v>
      </c>
      <c r="X139" s="19">
        <v>2524</v>
      </c>
      <c r="Y139" s="19">
        <v>124</v>
      </c>
      <c r="Z139" s="19">
        <v>180</v>
      </c>
      <c r="AA139" s="14">
        <v>1</v>
      </c>
    </row>
    <row r="140" spans="1:27">
      <c r="A140" s="16">
        <v>46148.4375</v>
      </c>
      <c r="B140" s="17">
        <v>46148</v>
      </c>
      <c r="C140" s="18">
        <v>0.4375</v>
      </c>
      <c r="D140" t="s">
        <v>74</v>
      </c>
      <c r="E140" t="s">
        <v>142</v>
      </c>
      <c r="F140">
        <v>2</v>
      </c>
      <c r="G140" s="4">
        <v>110.63</v>
      </c>
      <c r="H140" s="4">
        <v>110.63</v>
      </c>
      <c r="I140" s="4">
        <v>54.47</v>
      </c>
      <c r="J140" s="4">
        <v>57.82</v>
      </c>
      <c r="K140" s="4">
        <v>57.82</v>
      </c>
      <c r="L140" s="4">
        <v>60.38</v>
      </c>
      <c r="M140" s="4">
        <v>95.58</v>
      </c>
      <c r="N140" s="4">
        <v>95.58</v>
      </c>
      <c r="O140" s="4">
        <v>78.92</v>
      </c>
      <c r="P140" s="4">
        <v>81.27</v>
      </c>
      <c r="Q140" s="4">
        <v>81.27</v>
      </c>
      <c r="R140" s="4">
        <v>71.319999999999993</v>
      </c>
      <c r="S140" s="19">
        <v>340</v>
      </c>
      <c r="T140" s="19">
        <v>1912</v>
      </c>
      <c r="U140" s="19">
        <v>104</v>
      </c>
      <c r="V140" s="19">
        <v>280</v>
      </c>
      <c r="W140" s="19">
        <v>72</v>
      </c>
      <c r="X140" s="19">
        <v>2636</v>
      </c>
      <c r="Y140" s="19">
        <v>120</v>
      </c>
      <c r="Z140" s="19">
        <v>144</v>
      </c>
      <c r="AA140" s="14">
        <v>1</v>
      </c>
    </row>
    <row r="141" spans="1:27">
      <c r="A141" s="16">
        <v>46148.447916666664</v>
      </c>
      <c r="B141" s="17">
        <v>46148</v>
      </c>
      <c r="C141" s="18">
        <v>0.44791666666666669</v>
      </c>
      <c r="D141" t="s">
        <v>74</v>
      </c>
      <c r="E141" t="s">
        <v>142</v>
      </c>
      <c r="F141">
        <v>2</v>
      </c>
      <c r="G141" s="4">
        <v>85.26</v>
      </c>
      <c r="H141" s="4">
        <v>85.26</v>
      </c>
      <c r="I141" s="4">
        <v>69.47</v>
      </c>
      <c r="J141" s="4">
        <v>90.37</v>
      </c>
      <c r="K141" s="4">
        <v>90.37</v>
      </c>
      <c r="L141" s="4">
        <v>51.83</v>
      </c>
      <c r="M141" s="4">
        <v>101.2</v>
      </c>
      <c r="N141" s="4">
        <v>101.2</v>
      </c>
      <c r="O141" s="4">
        <v>85.6</v>
      </c>
      <c r="P141" s="4">
        <v>52.63</v>
      </c>
      <c r="Q141" s="4">
        <v>52.63</v>
      </c>
      <c r="R141" s="4">
        <v>83.93</v>
      </c>
      <c r="S141" s="19">
        <v>200</v>
      </c>
      <c r="T141" s="19">
        <v>1924</v>
      </c>
      <c r="U141" s="19">
        <v>68</v>
      </c>
      <c r="V141" s="19">
        <v>344</v>
      </c>
      <c r="W141" s="19">
        <v>68</v>
      </c>
      <c r="X141" s="19">
        <v>2304</v>
      </c>
      <c r="Y141" s="19">
        <v>120</v>
      </c>
      <c r="Z141" s="19">
        <v>128</v>
      </c>
      <c r="AA141" s="14">
        <v>1</v>
      </c>
    </row>
    <row r="142" spans="1:27">
      <c r="A142" s="16">
        <v>46148.458333333336</v>
      </c>
      <c r="B142" s="17">
        <v>46148</v>
      </c>
      <c r="C142" s="18">
        <v>0.45833333333333331</v>
      </c>
      <c r="D142" t="s">
        <v>74</v>
      </c>
      <c r="E142" t="s">
        <v>142</v>
      </c>
      <c r="F142">
        <v>2</v>
      </c>
      <c r="G142" s="4">
        <v>93.68</v>
      </c>
      <c r="H142" s="4">
        <v>93.68</v>
      </c>
      <c r="I142" s="4">
        <v>45.3</v>
      </c>
      <c r="J142" s="4">
        <v>130.57</v>
      </c>
      <c r="K142" s="4">
        <v>130.57</v>
      </c>
      <c r="L142" s="4">
        <v>66.180000000000007</v>
      </c>
      <c r="M142" s="4">
        <v>91.98</v>
      </c>
      <c r="N142" s="4">
        <v>91.98</v>
      </c>
      <c r="O142" s="4">
        <v>80.22</v>
      </c>
      <c r="P142" s="4">
        <v>85.68</v>
      </c>
      <c r="Q142" s="4">
        <v>85.68</v>
      </c>
      <c r="R142" s="4">
        <v>108.34</v>
      </c>
      <c r="S142" s="19">
        <v>156</v>
      </c>
      <c r="T142" s="19">
        <v>2252</v>
      </c>
      <c r="U142" s="19">
        <v>144</v>
      </c>
      <c r="V142" s="19">
        <v>400</v>
      </c>
      <c r="W142" s="19">
        <v>64</v>
      </c>
      <c r="X142" s="19">
        <v>2700</v>
      </c>
      <c r="Y142" s="19">
        <v>144</v>
      </c>
      <c r="Z142" s="19">
        <v>204</v>
      </c>
      <c r="AA142" s="14">
        <v>1</v>
      </c>
    </row>
    <row r="143" spans="1:27">
      <c r="A143" s="16">
        <v>46148.46875</v>
      </c>
      <c r="B143" s="17">
        <v>46148</v>
      </c>
      <c r="C143" s="18">
        <v>0.46875</v>
      </c>
      <c r="D143" t="s">
        <v>74</v>
      </c>
      <c r="E143" t="s">
        <v>142</v>
      </c>
      <c r="F143">
        <v>2</v>
      </c>
      <c r="G143" s="4">
        <v>84.21</v>
      </c>
      <c r="H143" s="4">
        <v>84.21</v>
      </c>
      <c r="I143" s="4">
        <v>65.87</v>
      </c>
      <c r="J143" s="4">
        <v>43.87</v>
      </c>
      <c r="K143" s="4">
        <v>43.87</v>
      </c>
      <c r="L143" s="4">
        <v>59.97</v>
      </c>
      <c r="M143" s="4">
        <v>94.65</v>
      </c>
      <c r="N143" s="4">
        <v>94.65</v>
      </c>
      <c r="O143" s="4">
        <v>85</v>
      </c>
      <c r="P143" s="4">
        <v>80.84</v>
      </c>
      <c r="Q143" s="4">
        <v>80.84</v>
      </c>
      <c r="R143" s="4">
        <v>83.18</v>
      </c>
      <c r="S143" s="19">
        <v>196</v>
      </c>
      <c r="T143" s="19">
        <v>2164</v>
      </c>
      <c r="U143" s="19">
        <v>132</v>
      </c>
      <c r="V143" s="19">
        <v>332</v>
      </c>
      <c r="W143" s="19">
        <v>52</v>
      </c>
      <c r="X143" s="19">
        <v>2612</v>
      </c>
      <c r="Y143" s="19">
        <v>148</v>
      </c>
      <c r="Z143" s="19">
        <v>208</v>
      </c>
      <c r="AA143" s="14">
        <v>1</v>
      </c>
    </row>
    <row r="144" spans="1:27">
      <c r="A144" s="16">
        <v>46148.479166666664</v>
      </c>
      <c r="B144" s="17">
        <v>46148</v>
      </c>
      <c r="C144" s="18">
        <v>0.47916666666666669</v>
      </c>
      <c r="D144" t="s">
        <v>74</v>
      </c>
      <c r="E144" t="s">
        <v>142</v>
      </c>
      <c r="F144">
        <v>2</v>
      </c>
      <c r="G144" s="4">
        <v>71.540000000000006</v>
      </c>
      <c r="H144" s="4">
        <v>71.540000000000006</v>
      </c>
      <c r="I144" s="4">
        <v>69.87</v>
      </c>
      <c r="J144" s="4">
        <v>40.659999999999997</v>
      </c>
      <c r="K144" s="4">
        <v>40.659999999999997</v>
      </c>
      <c r="L144" s="4">
        <v>48.78</v>
      </c>
      <c r="M144" s="4">
        <v>94.07</v>
      </c>
      <c r="N144" s="4">
        <v>94.07</v>
      </c>
      <c r="O144" s="4">
        <v>79.63</v>
      </c>
      <c r="P144" s="4">
        <v>77.27</v>
      </c>
      <c r="Q144" s="4">
        <v>77.27</v>
      </c>
      <c r="R144" s="4">
        <v>82.9</v>
      </c>
      <c r="S144" s="19">
        <v>268</v>
      </c>
      <c r="T144" s="19">
        <v>1836</v>
      </c>
      <c r="U144" s="19">
        <v>84</v>
      </c>
      <c r="V144" s="19">
        <v>456</v>
      </c>
      <c r="W144" s="19">
        <v>44</v>
      </c>
      <c r="X144" s="19">
        <v>2328</v>
      </c>
      <c r="Y144" s="19">
        <v>172</v>
      </c>
      <c r="Z144" s="19">
        <v>180</v>
      </c>
      <c r="AA144" s="14">
        <v>1</v>
      </c>
    </row>
    <row r="145" spans="1:27">
      <c r="A145" s="16">
        <v>46148.489583333336</v>
      </c>
      <c r="B145" s="17">
        <v>46148</v>
      </c>
      <c r="C145" s="18">
        <v>0.48958333333333331</v>
      </c>
      <c r="D145" t="s">
        <v>74</v>
      </c>
      <c r="E145" t="s">
        <v>142</v>
      </c>
      <c r="F145">
        <v>2</v>
      </c>
      <c r="G145" s="4">
        <v>124.42</v>
      </c>
      <c r="H145" s="4">
        <v>124.42</v>
      </c>
      <c r="I145" s="4">
        <v>67.319999999999993</v>
      </c>
      <c r="J145" s="4">
        <v>79.45</v>
      </c>
      <c r="K145" s="4">
        <v>79.45</v>
      </c>
      <c r="L145" s="4">
        <v>61.46</v>
      </c>
      <c r="M145" s="4">
        <v>62.48</v>
      </c>
      <c r="N145" s="4">
        <v>62.48</v>
      </c>
      <c r="O145" s="4">
        <v>126.7</v>
      </c>
      <c r="P145" s="4">
        <v>78.040000000000006</v>
      </c>
      <c r="Q145" s="4">
        <v>78.040000000000006</v>
      </c>
      <c r="R145" s="4">
        <v>107.98</v>
      </c>
      <c r="S145" s="19">
        <v>144</v>
      </c>
      <c r="T145" s="19">
        <v>2172</v>
      </c>
      <c r="U145" s="19">
        <v>96</v>
      </c>
      <c r="V145" s="19">
        <v>444</v>
      </c>
      <c r="W145" s="19">
        <v>96</v>
      </c>
      <c r="X145" s="19">
        <v>2456</v>
      </c>
      <c r="Y145" s="19">
        <v>148</v>
      </c>
      <c r="Z145" s="19">
        <v>164</v>
      </c>
      <c r="AA145" s="14">
        <v>1</v>
      </c>
    </row>
    <row r="146" spans="1:27">
      <c r="A146" s="16">
        <v>46148.5</v>
      </c>
      <c r="B146" s="17">
        <v>46148</v>
      </c>
      <c r="C146" s="18">
        <v>0.5</v>
      </c>
      <c r="D146" t="s">
        <v>74</v>
      </c>
      <c r="E146" t="s">
        <v>142</v>
      </c>
      <c r="F146">
        <v>2</v>
      </c>
      <c r="G146" s="4">
        <v>100.78</v>
      </c>
      <c r="H146" s="4">
        <v>100.78</v>
      </c>
      <c r="I146" s="4">
        <v>61.73</v>
      </c>
      <c r="J146" s="4">
        <v>69.88</v>
      </c>
      <c r="K146" s="4">
        <v>69.88</v>
      </c>
      <c r="L146" s="4">
        <v>66.099999999999994</v>
      </c>
      <c r="M146" s="4">
        <v>93.65</v>
      </c>
      <c r="N146" s="4">
        <v>93.65</v>
      </c>
      <c r="O146" s="4">
        <v>86.22</v>
      </c>
      <c r="P146" s="4">
        <v>92.18</v>
      </c>
      <c r="Q146" s="4">
        <v>92.18</v>
      </c>
      <c r="R146" s="4">
        <v>81.72</v>
      </c>
      <c r="S146" s="19">
        <v>288</v>
      </c>
      <c r="T146" s="19">
        <v>2320</v>
      </c>
      <c r="U146" s="19">
        <v>96</v>
      </c>
      <c r="V146" s="19">
        <v>300</v>
      </c>
      <c r="W146" s="19">
        <v>68</v>
      </c>
      <c r="X146" s="19">
        <v>2604</v>
      </c>
      <c r="Y146" s="19">
        <v>116</v>
      </c>
      <c r="Z146" s="19">
        <v>224</v>
      </c>
      <c r="AA146" s="14">
        <v>1</v>
      </c>
    </row>
    <row r="147" spans="1:27">
      <c r="A147" s="16">
        <v>46148.510416666664</v>
      </c>
      <c r="B147" s="17">
        <v>46148</v>
      </c>
      <c r="C147" s="18">
        <v>0.51041666666666663</v>
      </c>
      <c r="D147" t="s">
        <v>74</v>
      </c>
      <c r="E147" t="s">
        <v>142</v>
      </c>
      <c r="F147">
        <v>2</v>
      </c>
      <c r="G147" s="4">
        <v>84.04</v>
      </c>
      <c r="H147" s="4">
        <v>84.04</v>
      </c>
      <c r="I147" s="4">
        <v>66.42</v>
      </c>
      <c r="J147" s="4">
        <v>79.86</v>
      </c>
      <c r="K147" s="4">
        <v>79.86</v>
      </c>
      <c r="L147" s="4">
        <v>72.260000000000005</v>
      </c>
      <c r="M147" s="4">
        <v>96.13</v>
      </c>
      <c r="N147" s="4">
        <v>96.13</v>
      </c>
      <c r="O147" s="4">
        <v>74.09</v>
      </c>
      <c r="P147" s="4">
        <v>88.7</v>
      </c>
      <c r="Q147" s="4">
        <v>88.7</v>
      </c>
      <c r="R147" s="4">
        <v>81.55</v>
      </c>
      <c r="S147" s="19">
        <v>260</v>
      </c>
      <c r="T147" s="19">
        <v>2008</v>
      </c>
      <c r="U147" s="19">
        <v>76</v>
      </c>
      <c r="V147" s="19">
        <v>348</v>
      </c>
      <c r="W147" s="19">
        <v>56</v>
      </c>
      <c r="X147" s="19">
        <v>2548</v>
      </c>
      <c r="Y147" s="19">
        <v>148</v>
      </c>
      <c r="Z147" s="19">
        <v>208</v>
      </c>
      <c r="AA147" s="14">
        <v>1</v>
      </c>
    </row>
    <row r="148" spans="1:27">
      <c r="A148" s="16">
        <v>46148.520833333336</v>
      </c>
      <c r="B148" s="17">
        <v>46148</v>
      </c>
      <c r="C148" s="18">
        <v>0.52083333333333337</v>
      </c>
      <c r="D148" t="s">
        <v>74</v>
      </c>
      <c r="E148" t="s">
        <v>142</v>
      </c>
      <c r="F148">
        <v>2</v>
      </c>
      <c r="G148" s="4">
        <v>85.54</v>
      </c>
      <c r="H148" s="4">
        <v>85.54</v>
      </c>
      <c r="I148" s="4">
        <v>79.05</v>
      </c>
      <c r="J148" s="4">
        <v>100.97</v>
      </c>
      <c r="K148" s="4">
        <v>100.97</v>
      </c>
      <c r="L148" s="4">
        <v>80.92</v>
      </c>
      <c r="M148" s="4">
        <v>103.67</v>
      </c>
      <c r="N148" s="4">
        <v>103.67</v>
      </c>
      <c r="O148" s="4">
        <v>83.3</v>
      </c>
      <c r="P148" s="4">
        <v>84.46</v>
      </c>
      <c r="Q148" s="4">
        <v>84.46</v>
      </c>
      <c r="R148" s="4">
        <v>81.98</v>
      </c>
      <c r="S148" s="19">
        <v>320</v>
      </c>
      <c r="T148" s="19">
        <v>2228</v>
      </c>
      <c r="U148" s="19">
        <v>116</v>
      </c>
      <c r="V148" s="19">
        <v>428</v>
      </c>
      <c r="W148" s="19">
        <v>64</v>
      </c>
      <c r="X148" s="19">
        <v>2564</v>
      </c>
      <c r="Y148" s="19">
        <v>188</v>
      </c>
      <c r="Z148" s="19">
        <v>196</v>
      </c>
      <c r="AA148" s="14">
        <v>1</v>
      </c>
    </row>
    <row r="149" spans="1:27">
      <c r="A149" s="16">
        <v>46148.53125</v>
      </c>
      <c r="B149" s="17">
        <v>46148</v>
      </c>
      <c r="C149" s="18">
        <v>0.53125</v>
      </c>
      <c r="D149" t="s">
        <v>74</v>
      </c>
      <c r="E149" t="s">
        <v>142</v>
      </c>
      <c r="F149">
        <v>2</v>
      </c>
      <c r="G149" s="4">
        <v>96.73</v>
      </c>
      <c r="H149" s="4">
        <v>96.73</v>
      </c>
      <c r="I149" s="4">
        <v>77.430000000000007</v>
      </c>
      <c r="J149" s="4">
        <v>75.680000000000007</v>
      </c>
      <c r="K149" s="4">
        <v>75.680000000000007</v>
      </c>
      <c r="L149" s="4">
        <v>69.48</v>
      </c>
      <c r="M149" s="4">
        <v>95.03</v>
      </c>
      <c r="N149" s="4">
        <v>95.03</v>
      </c>
      <c r="O149" s="4">
        <v>85.36</v>
      </c>
      <c r="P149" s="4">
        <v>99.75</v>
      </c>
      <c r="Q149" s="4">
        <v>99.75</v>
      </c>
      <c r="R149" s="4">
        <v>81.13</v>
      </c>
      <c r="S149" s="19">
        <v>156</v>
      </c>
      <c r="T149" s="19">
        <v>2260</v>
      </c>
      <c r="U149" s="19">
        <v>152</v>
      </c>
      <c r="V149" s="19">
        <v>264</v>
      </c>
      <c r="W149" s="19">
        <v>72</v>
      </c>
      <c r="X149" s="19">
        <v>2440</v>
      </c>
      <c r="Y149" s="19">
        <v>152</v>
      </c>
      <c r="Z149" s="19">
        <v>224</v>
      </c>
      <c r="AA149" s="14">
        <v>1</v>
      </c>
    </row>
    <row r="150" spans="1:27">
      <c r="A150" s="16">
        <v>46148.541666666664</v>
      </c>
      <c r="B150" s="17">
        <v>46148</v>
      </c>
      <c r="C150" s="18">
        <v>0.54166666666666663</v>
      </c>
      <c r="D150" t="s">
        <v>74</v>
      </c>
      <c r="E150" t="s">
        <v>142</v>
      </c>
      <c r="F150">
        <v>2</v>
      </c>
      <c r="G150" s="4">
        <v>103.25</v>
      </c>
      <c r="H150" s="4">
        <v>103.25</v>
      </c>
      <c r="I150" s="4">
        <v>61.8</v>
      </c>
      <c r="J150" s="4">
        <v>76.180000000000007</v>
      </c>
      <c r="K150" s="4">
        <v>76.180000000000007</v>
      </c>
      <c r="L150" s="4">
        <v>81.55</v>
      </c>
      <c r="M150" s="4">
        <v>97.88</v>
      </c>
      <c r="N150" s="4">
        <v>97.88</v>
      </c>
      <c r="O150" s="4">
        <v>83.75</v>
      </c>
      <c r="P150" s="4">
        <v>102.65</v>
      </c>
      <c r="Q150" s="4">
        <v>102.65</v>
      </c>
      <c r="R150" s="4">
        <v>81.459999999999994</v>
      </c>
      <c r="S150" s="19">
        <v>164</v>
      </c>
      <c r="T150" s="19">
        <v>2220</v>
      </c>
      <c r="U150" s="19">
        <v>76</v>
      </c>
      <c r="V150" s="19">
        <v>392</v>
      </c>
      <c r="W150" s="19">
        <v>144</v>
      </c>
      <c r="X150" s="19">
        <v>2576</v>
      </c>
      <c r="Y150" s="19">
        <v>256</v>
      </c>
      <c r="Z150" s="19">
        <v>248</v>
      </c>
      <c r="AA150" s="14">
        <v>1</v>
      </c>
    </row>
    <row r="151" spans="1:27">
      <c r="A151" s="16">
        <v>46148.552083333336</v>
      </c>
      <c r="B151" s="17">
        <v>46148</v>
      </c>
      <c r="C151" s="18">
        <v>0.55208333333333337</v>
      </c>
      <c r="D151" t="s">
        <v>74</v>
      </c>
      <c r="E151" t="s">
        <v>142</v>
      </c>
      <c r="F151">
        <v>2</v>
      </c>
      <c r="G151" s="4">
        <v>94.88</v>
      </c>
      <c r="H151" s="4">
        <v>94.88</v>
      </c>
      <c r="I151" s="4">
        <v>81.099999999999994</v>
      </c>
      <c r="J151" s="4">
        <v>74.33</v>
      </c>
      <c r="K151" s="4">
        <v>74.33</v>
      </c>
      <c r="L151" s="4">
        <v>69.75</v>
      </c>
      <c r="M151" s="4">
        <v>100.07</v>
      </c>
      <c r="N151" s="4">
        <v>100.07</v>
      </c>
      <c r="O151" s="4">
        <v>86.13</v>
      </c>
      <c r="P151" s="4">
        <v>73.900000000000006</v>
      </c>
      <c r="Q151" s="4">
        <v>73.900000000000006</v>
      </c>
      <c r="R151" s="4">
        <v>62.34</v>
      </c>
      <c r="S151" s="19">
        <v>356</v>
      </c>
      <c r="T151" s="19">
        <v>2340</v>
      </c>
      <c r="U151" s="19">
        <v>72</v>
      </c>
      <c r="V151" s="19">
        <v>452</v>
      </c>
      <c r="W151" s="19">
        <v>76</v>
      </c>
      <c r="X151" s="19">
        <v>2560</v>
      </c>
      <c r="Y151" s="19">
        <v>128</v>
      </c>
      <c r="Z151" s="19">
        <v>236</v>
      </c>
      <c r="AA151" s="14">
        <v>1</v>
      </c>
    </row>
    <row r="152" spans="1:27">
      <c r="A152" s="16">
        <v>46148.5625</v>
      </c>
      <c r="B152" s="17">
        <v>46148</v>
      </c>
      <c r="C152" s="18">
        <v>0.5625</v>
      </c>
      <c r="D152" t="s">
        <v>74</v>
      </c>
      <c r="E152" t="s">
        <v>142</v>
      </c>
      <c r="F152">
        <v>2</v>
      </c>
      <c r="G152" s="4">
        <v>75.98</v>
      </c>
      <c r="H152" s="4">
        <v>75.98</v>
      </c>
      <c r="I152" s="4">
        <v>63.43</v>
      </c>
      <c r="J152" s="4">
        <v>98.8</v>
      </c>
      <c r="K152" s="4">
        <v>98.8</v>
      </c>
      <c r="L152" s="4">
        <v>47.32</v>
      </c>
      <c r="M152" s="4">
        <v>95.43</v>
      </c>
      <c r="N152" s="4">
        <v>95.43</v>
      </c>
      <c r="O152" s="4">
        <v>82.17</v>
      </c>
      <c r="P152" s="4">
        <v>86.08</v>
      </c>
      <c r="Q152" s="4">
        <v>86.08</v>
      </c>
      <c r="R152" s="4">
        <v>84.29</v>
      </c>
      <c r="S152" s="19">
        <v>356</v>
      </c>
      <c r="T152" s="19">
        <v>2488</v>
      </c>
      <c r="U152" s="19">
        <v>100</v>
      </c>
      <c r="V152" s="19">
        <v>476</v>
      </c>
      <c r="W152" s="19">
        <v>76</v>
      </c>
      <c r="X152" s="19">
        <v>2196</v>
      </c>
      <c r="Y152" s="19">
        <v>168</v>
      </c>
      <c r="Z152" s="19">
        <v>200</v>
      </c>
      <c r="AA152" s="14">
        <v>1</v>
      </c>
    </row>
    <row r="153" spans="1:27">
      <c r="A153" s="16">
        <v>46148.572916666664</v>
      </c>
      <c r="B153" s="17">
        <v>46148</v>
      </c>
      <c r="C153" s="18">
        <v>0.57291666666666663</v>
      </c>
      <c r="D153" t="s">
        <v>74</v>
      </c>
      <c r="E153" t="s">
        <v>142</v>
      </c>
      <c r="F153">
        <v>2</v>
      </c>
      <c r="G153" s="4">
        <v>80.58</v>
      </c>
      <c r="H153" s="4">
        <v>80.58</v>
      </c>
      <c r="I153" s="4">
        <v>71.23</v>
      </c>
      <c r="J153" s="4">
        <v>36.770000000000003</v>
      </c>
      <c r="K153" s="4">
        <v>36.770000000000003</v>
      </c>
      <c r="L153" s="4">
        <v>68.150000000000006</v>
      </c>
      <c r="M153" s="4">
        <v>99.7</v>
      </c>
      <c r="N153" s="4">
        <v>99.7</v>
      </c>
      <c r="O153" s="4">
        <v>67.48</v>
      </c>
      <c r="P153" s="4">
        <v>64.760000000000005</v>
      </c>
      <c r="Q153" s="4">
        <v>64.760000000000005</v>
      </c>
      <c r="R153" s="4">
        <v>77.97</v>
      </c>
      <c r="S153" s="19">
        <v>132</v>
      </c>
      <c r="T153" s="19">
        <v>2076</v>
      </c>
      <c r="U153" s="19">
        <v>84</v>
      </c>
      <c r="V153" s="19">
        <v>404</v>
      </c>
      <c r="W153" s="19">
        <v>56</v>
      </c>
      <c r="X153" s="19">
        <v>2748</v>
      </c>
      <c r="Y153" s="19">
        <v>116</v>
      </c>
      <c r="Z153" s="19">
        <v>240</v>
      </c>
      <c r="AA153" s="14">
        <v>1</v>
      </c>
    </row>
    <row r="154" spans="1:27">
      <c r="A154" s="16">
        <v>46148.583333333336</v>
      </c>
      <c r="B154" s="17">
        <v>46148</v>
      </c>
      <c r="C154" s="18">
        <v>0.58333333333333337</v>
      </c>
      <c r="D154" t="s">
        <v>74</v>
      </c>
      <c r="E154" t="s">
        <v>142</v>
      </c>
      <c r="F154">
        <v>2</v>
      </c>
      <c r="G154" s="4">
        <v>97.37</v>
      </c>
      <c r="H154" s="4">
        <v>97.37</v>
      </c>
      <c r="I154" s="4">
        <v>78.22</v>
      </c>
      <c r="J154" s="4">
        <v>98.4</v>
      </c>
      <c r="K154" s="4">
        <v>98.4</v>
      </c>
      <c r="L154" s="4">
        <v>62.97</v>
      </c>
      <c r="M154" s="4">
        <v>92</v>
      </c>
      <c r="N154" s="4">
        <v>92</v>
      </c>
      <c r="O154" s="4">
        <v>82.37</v>
      </c>
      <c r="P154" s="4">
        <v>107.13</v>
      </c>
      <c r="Q154" s="4">
        <v>107.13</v>
      </c>
      <c r="R154" s="4">
        <v>78.540000000000006</v>
      </c>
      <c r="S154" s="19">
        <v>244</v>
      </c>
      <c r="T154" s="19">
        <v>2280</v>
      </c>
      <c r="U154" s="19">
        <v>100</v>
      </c>
      <c r="V154" s="19">
        <v>428</v>
      </c>
      <c r="W154" s="19">
        <v>72</v>
      </c>
      <c r="X154" s="19">
        <v>2488</v>
      </c>
      <c r="Y154" s="19">
        <v>152</v>
      </c>
      <c r="Z154" s="19">
        <v>296</v>
      </c>
      <c r="AA154" s="14">
        <v>1</v>
      </c>
    </row>
    <row r="155" spans="1:27">
      <c r="A155" s="16">
        <v>46148.59375</v>
      </c>
      <c r="B155" s="17">
        <v>46148</v>
      </c>
      <c r="C155" s="18">
        <v>0.59375</v>
      </c>
      <c r="D155" t="s">
        <v>74</v>
      </c>
      <c r="E155" t="s">
        <v>142</v>
      </c>
      <c r="F155">
        <v>2</v>
      </c>
      <c r="G155" s="4">
        <v>99.95</v>
      </c>
      <c r="H155" s="4">
        <v>99.95</v>
      </c>
      <c r="I155" s="4">
        <v>59</v>
      </c>
      <c r="J155" s="4">
        <v>77.58</v>
      </c>
      <c r="K155" s="4">
        <v>77.58</v>
      </c>
      <c r="L155" s="4">
        <v>76.569999999999993</v>
      </c>
      <c r="M155" s="4">
        <v>96.68</v>
      </c>
      <c r="N155" s="4">
        <v>96.68</v>
      </c>
      <c r="O155" s="4">
        <v>89.43</v>
      </c>
      <c r="P155" s="4">
        <v>91.42</v>
      </c>
      <c r="Q155" s="4">
        <v>91.42</v>
      </c>
      <c r="R155" s="4">
        <v>89.91</v>
      </c>
      <c r="S155" s="19">
        <v>224</v>
      </c>
      <c r="T155" s="19">
        <v>2568</v>
      </c>
      <c r="U155" s="19">
        <v>196</v>
      </c>
      <c r="V155" s="19">
        <v>428</v>
      </c>
      <c r="W155" s="19">
        <v>64</v>
      </c>
      <c r="X155" s="19">
        <v>2572</v>
      </c>
      <c r="Y155" s="19">
        <v>188</v>
      </c>
      <c r="Z155" s="19">
        <v>260</v>
      </c>
      <c r="AA155" s="14">
        <v>1</v>
      </c>
    </row>
    <row r="156" spans="1:27">
      <c r="A156" s="16">
        <v>46148.604166666664</v>
      </c>
      <c r="B156" s="17">
        <v>46148</v>
      </c>
      <c r="C156" s="18">
        <v>0.60416666666666663</v>
      </c>
      <c r="D156" t="s">
        <v>74</v>
      </c>
      <c r="E156" t="s">
        <v>142</v>
      </c>
      <c r="F156">
        <v>2</v>
      </c>
      <c r="G156" s="4">
        <v>104.58</v>
      </c>
      <c r="H156" s="4">
        <v>104.58</v>
      </c>
      <c r="I156" s="4">
        <v>68.8</v>
      </c>
      <c r="J156" s="4">
        <v>52.62</v>
      </c>
      <c r="K156" s="4">
        <v>52.62</v>
      </c>
      <c r="L156" s="4">
        <v>79.02</v>
      </c>
      <c r="M156" s="4">
        <v>99.48</v>
      </c>
      <c r="N156" s="4">
        <v>99.48</v>
      </c>
      <c r="O156" s="4">
        <v>0.7</v>
      </c>
      <c r="P156" s="4">
        <v>79.94</v>
      </c>
      <c r="Q156" s="4">
        <v>79.94</v>
      </c>
      <c r="R156" s="4">
        <v>85.41</v>
      </c>
      <c r="S156" s="19">
        <v>240</v>
      </c>
      <c r="T156" s="19">
        <v>2192</v>
      </c>
      <c r="U156" s="19">
        <v>120</v>
      </c>
      <c r="V156" s="19">
        <v>392</v>
      </c>
      <c r="W156" s="19">
        <v>60</v>
      </c>
      <c r="X156" s="19">
        <v>2476</v>
      </c>
      <c r="Y156" s="19">
        <v>136</v>
      </c>
      <c r="Z156" s="19">
        <v>216</v>
      </c>
      <c r="AA156" s="14">
        <v>0</v>
      </c>
    </row>
    <row r="157" spans="1:27">
      <c r="A157" s="16">
        <v>46148.614583333336</v>
      </c>
      <c r="B157" s="17">
        <v>46148</v>
      </c>
      <c r="C157" s="18">
        <v>0.61458333333333337</v>
      </c>
      <c r="D157" t="s">
        <v>74</v>
      </c>
      <c r="E157" t="s">
        <v>142</v>
      </c>
      <c r="F157">
        <v>2</v>
      </c>
      <c r="G157" s="4">
        <v>79.900000000000006</v>
      </c>
      <c r="H157" s="4">
        <v>79.900000000000006</v>
      </c>
      <c r="I157" s="4">
        <v>70.599999999999994</v>
      </c>
      <c r="J157" s="4">
        <v>89.82</v>
      </c>
      <c r="K157" s="4">
        <v>89.82</v>
      </c>
      <c r="L157" s="4">
        <v>78.95</v>
      </c>
      <c r="M157" s="4">
        <v>96.22</v>
      </c>
      <c r="N157" s="4">
        <v>96.22</v>
      </c>
      <c r="O157" s="4">
        <v>3.3</v>
      </c>
      <c r="P157" s="4">
        <v>76.319999999999993</v>
      </c>
      <c r="Q157" s="4">
        <v>76.319999999999993</v>
      </c>
      <c r="R157" s="4">
        <v>85.88</v>
      </c>
      <c r="S157" s="19">
        <v>300</v>
      </c>
      <c r="T157" s="19">
        <v>2388</v>
      </c>
      <c r="U157" s="19">
        <v>164</v>
      </c>
      <c r="V157" s="19">
        <v>424</v>
      </c>
      <c r="W157" s="19">
        <v>76</v>
      </c>
      <c r="X157" s="19">
        <v>2492</v>
      </c>
      <c r="Y157" s="19">
        <v>180</v>
      </c>
      <c r="Z157" s="19">
        <v>240</v>
      </c>
      <c r="AA157" s="14">
        <v>1</v>
      </c>
    </row>
    <row r="158" spans="1:27">
      <c r="A158" s="16">
        <v>46148.625</v>
      </c>
      <c r="B158" s="17">
        <v>46148</v>
      </c>
      <c r="C158" s="18">
        <v>0.625</v>
      </c>
      <c r="D158" t="s">
        <v>74</v>
      </c>
      <c r="E158" t="s">
        <v>142</v>
      </c>
      <c r="F158">
        <v>2</v>
      </c>
      <c r="G158" s="4">
        <v>100.98</v>
      </c>
      <c r="H158" s="4">
        <v>100.98</v>
      </c>
      <c r="I158" s="4">
        <v>75.37</v>
      </c>
      <c r="J158" s="4">
        <v>101.7</v>
      </c>
      <c r="K158" s="4">
        <v>101.7</v>
      </c>
      <c r="L158" s="4">
        <v>75.97</v>
      </c>
      <c r="M158" s="4">
        <v>98.77</v>
      </c>
      <c r="N158" s="4">
        <v>98.77</v>
      </c>
      <c r="O158" s="4">
        <v>89.07</v>
      </c>
      <c r="P158" s="4">
        <v>90.89</v>
      </c>
      <c r="Q158" s="4">
        <v>90.89</v>
      </c>
      <c r="R158" s="4">
        <v>85.67</v>
      </c>
      <c r="S158" s="19">
        <v>188</v>
      </c>
      <c r="T158" s="19">
        <v>2488</v>
      </c>
      <c r="U158" s="19">
        <v>116</v>
      </c>
      <c r="V158" s="19">
        <v>388</v>
      </c>
      <c r="W158" s="19">
        <v>52</v>
      </c>
      <c r="X158" s="19">
        <v>2760</v>
      </c>
      <c r="Y158" s="19">
        <v>164</v>
      </c>
      <c r="Z158" s="19">
        <v>268</v>
      </c>
      <c r="AA158" s="14">
        <v>1</v>
      </c>
    </row>
    <row r="159" spans="1:27">
      <c r="A159" s="16">
        <v>46148.635416666664</v>
      </c>
      <c r="B159" s="17">
        <v>46148</v>
      </c>
      <c r="C159" s="18">
        <v>0.63541666666666663</v>
      </c>
      <c r="D159" t="s">
        <v>74</v>
      </c>
      <c r="E159" t="s">
        <v>142</v>
      </c>
      <c r="F159">
        <v>2</v>
      </c>
      <c r="G159" s="4">
        <v>81.72</v>
      </c>
      <c r="H159" s="4">
        <v>81.72</v>
      </c>
      <c r="I159" s="4">
        <v>90.85</v>
      </c>
      <c r="J159" s="4">
        <v>101.63</v>
      </c>
      <c r="K159" s="4">
        <v>101.63</v>
      </c>
      <c r="L159" s="4">
        <v>94.25</v>
      </c>
      <c r="M159" s="4">
        <v>110.5</v>
      </c>
      <c r="N159" s="4">
        <v>110.5</v>
      </c>
      <c r="O159" s="4">
        <v>85.55</v>
      </c>
      <c r="P159" s="4">
        <v>100</v>
      </c>
      <c r="Q159" s="4">
        <v>100</v>
      </c>
      <c r="R159" s="4">
        <v>92.52</v>
      </c>
      <c r="S159" s="19">
        <v>176</v>
      </c>
      <c r="T159" s="19">
        <v>2408</v>
      </c>
      <c r="U159" s="19">
        <v>116</v>
      </c>
      <c r="V159" s="19">
        <v>384</v>
      </c>
      <c r="W159" s="19">
        <v>84</v>
      </c>
      <c r="X159" s="19">
        <v>2540</v>
      </c>
      <c r="Y159" s="19">
        <v>132</v>
      </c>
      <c r="Z159" s="19">
        <v>256</v>
      </c>
      <c r="AA159" s="14">
        <v>1</v>
      </c>
    </row>
    <row r="160" spans="1:27">
      <c r="A160" s="16">
        <v>46148.645833333336</v>
      </c>
      <c r="B160" s="17">
        <v>46148</v>
      </c>
      <c r="C160" s="18">
        <v>0.64583333333333337</v>
      </c>
      <c r="D160" t="s">
        <v>74</v>
      </c>
      <c r="E160" t="s">
        <v>142</v>
      </c>
      <c r="F160">
        <v>2</v>
      </c>
      <c r="G160" s="4">
        <v>95.96</v>
      </c>
      <c r="H160" s="4">
        <v>95.96</v>
      </c>
      <c r="I160" s="4">
        <v>88.7</v>
      </c>
      <c r="J160" s="4">
        <v>93.33</v>
      </c>
      <c r="K160" s="4">
        <v>93.33</v>
      </c>
      <c r="L160" s="4">
        <v>86.35</v>
      </c>
      <c r="M160" s="4">
        <v>113.2</v>
      </c>
      <c r="N160" s="4">
        <v>113.2</v>
      </c>
      <c r="O160" s="4">
        <v>94.97</v>
      </c>
      <c r="P160" s="4">
        <v>124.58</v>
      </c>
      <c r="Q160" s="4">
        <v>124.58</v>
      </c>
      <c r="R160" s="4">
        <v>97.58</v>
      </c>
      <c r="S160" s="19">
        <v>132</v>
      </c>
      <c r="T160" s="19">
        <v>2276</v>
      </c>
      <c r="U160" s="19">
        <v>108</v>
      </c>
      <c r="V160" s="19">
        <v>380</v>
      </c>
      <c r="W160" s="19">
        <v>84</v>
      </c>
      <c r="X160" s="19">
        <v>2400</v>
      </c>
      <c r="Y160" s="19">
        <v>60</v>
      </c>
      <c r="Z160" s="19">
        <v>244</v>
      </c>
      <c r="AA160" s="14">
        <v>1</v>
      </c>
    </row>
    <row r="161" spans="1:27">
      <c r="A161" s="16">
        <v>46148.65625</v>
      </c>
      <c r="B161" s="17">
        <v>46148</v>
      </c>
      <c r="C161" s="18">
        <v>0.65625</v>
      </c>
      <c r="D161" t="s">
        <v>74</v>
      </c>
      <c r="E161" t="s">
        <v>142</v>
      </c>
      <c r="F161">
        <v>2</v>
      </c>
      <c r="G161" s="4">
        <v>113.86</v>
      </c>
      <c r="H161" s="4">
        <v>113.86</v>
      </c>
      <c r="I161" s="4">
        <v>89.8</v>
      </c>
      <c r="J161" s="4">
        <v>69.28</v>
      </c>
      <c r="K161" s="4">
        <v>69.28</v>
      </c>
      <c r="L161" s="4">
        <v>69.92</v>
      </c>
      <c r="M161" s="4">
        <v>112.17</v>
      </c>
      <c r="N161" s="4">
        <v>112.17</v>
      </c>
      <c r="O161" s="4">
        <v>89</v>
      </c>
      <c r="P161" s="4">
        <v>94.75</v>
      </c>
      <c r="Q161" s="4">
        <v>94.75</v>
      </c>
      <c r="R161" s="4">
        <v>95.58</v>
      </c>
      <c r="S161" s="19">
        <v>112</v>
      </c>
      <c r="T161" s="19">
        <v>2332</v>
      </c>
      <c r="U161" s="19">
        <v>140</v>
      </c>
      <c r="V161" s="19">
        <v>392</v>
      </c>
      <c r="W161" s="19">
        <v>52</v>
      </c>
      <c r="X161" s="19">
        <v>2760</v>
      </c>
      <c r="Y161" s="19">
        <v>168</v>
      </c>
      <c r="Z161" s="19">
        <v>276</v>
      </c>
      <c r="AA161" s="14">
        <v>1</v>
      </c>
    </row>
    <row r="162" spans="1:27">
      <c r="A162" s="16">
        <v>46148.666666666664</v>
      </c>
      <c r="B162" s="17">
        <v>46148</v>
      </c>
      <c r="C162" s="18">
        <v>0.66666666666666663</v>
      </c>
      <c r="D162" t="s">
        <v>74</v>
      </c>
      <c r="E162" t="s">
        <v>142</v>
      </c>
      <c r="F162">
        <v>2</v>
      </c>
      <c r="G162" s="4">
        <v>117.08</v>
      </c>
      <c r="H162" s="4">
        <v>117.08</v>
      </c>
      <c r="I162" s="4">
        <v>92.43</v>
      </c>
      <c r="J162" s="4">
        <v>82.77</v>
      </c>
      <c r="K162" s="4">
        <v>82.77</v>
      </c>
      <c r="L162" s="4">
        <v>95.45</v>
      </c>
      <c r="M162" s="4">
        <v>164.67</v>
      </c>
      <c r="N162" s="4">
        <v>164.67</v>
      </c>
      <c r="O162" s="4">
        <v>90.65</v>
      </c>
      <c r="P162" s="4">
        <v>94.76</v>
      </c>
      <c r="Q162" s="4">
        <v>94.76</v>
      </c>
      <c r="R162" s="4">
        <v>83.55</v>
      </c>
      <c r="S162" s="19">
        <v>124</v>
      </c>
      <c r="T162" s="19">
        <v>2684</v>
      </c>
      <c r="U162" s="19">
        <v>120</v>
      </c>
      <c r="V162" s="19">
        <v>384</v>
      </c>
      <c r="W162" s="19">
        <v>76</v>
      </c>
      <c r="X162" s="19">
        <v>2856</v>
      </c>
      <c r="Y162" s="19">
        <v>444</v>
      </c>
      <c r="Z162" s="19">
        <v>264</v>
      </c>
      <c r="AA162" s="14">
        <v>1</v>
      </c>
    </row>
    <row r="163" spans="1:27">
      <c r="A163" s="16">
        <v>46148.677083333336</v>
      </c>
      <c r="B163" s="17">
        <v>46148</v>
      </c>
      <c r="C163" s="18">
        <v>0.67708333333333337</v>
      </c>
      <c r="D163" t="s">
        <v>74</v>
      </c>
      <c r="E163" t="s">
        <v>142</v>
      </c>
      <c r="F163">
        <v>2</v>
      </c>
      <c r="G163" s="4">
        <v>115.64</v>
      </c>
      <c r="H163" s="4">
        <v>115.64</v>
      </c>
      <c r="I163" s="4">
        <v>89.75</v>
      </c>
      <c r="J163" s="4">
        <v>62.38</v>
      </c>
      <c r="K163" s="4">
        <v>62.38</v>
      </c>
      <c r="L163" s="4">
        <v>91.3</v>
      </c>
      <c r="M163" s="4">
        <v>105.9</v>
      </c>
      <c r="N163" s="4">
        <v>105.9</v>
      </c>
      <c r="O163" s="4">
        <v>90.45</v>
      </c>
      <c r="P163" s="4">
        <v>102.25</v>
      </c>
      <c r="Q163" s="4">
        <v>102.25</v>
      </c>
      <c r="R163" s="4">
        <v>78.63</v>
      </c>
      <c r="S163" s="19">
        <v>244</v>
      </c>
      <c r="T163" s="19">
        <v>2584</v>
      </c>
      <c r="U163" s="19">
        <v>120</v>
      </c>
      <c r="V163" s="19">
        <v>432</v>
      </c>
      <c r="W163" s="19">
        <v>116</v>
      </c>
      <c r="X163" s="19">
        <v>2996</v>
      </c>
      <c r="Y163" s="19">
        <v>136</v>
      </c>
      <c r="Z163" s="19">
        <v>260</v>
      </c>
      <c r="AA163" s="14">
        <v>1</v>
      </c>
    </row>
    <row r="164" spans="1:27">
      <c r="A164" s="16">
        <v>46148.6875</v>
      </c>
      <c r="B164" s="17">
        <v>46148</v>
      </c>
      <c r="C164" s="18">
        <v>0.6875</v>
      </c>
      <c r="D164" t="s">
        <v>74</v>
      </c>
      <c r="E164" t="s">
        <v>142</v>
      </c>
      <c r="F164">
        <v>2</v>
      </c>
      <c r="G164" s="4">
        <v>103.44</v>
      </c>
      <c r="H164" s="4">
        <v>103.44</v>
      </c>
      <c r="I164" s="4">
        <v>87.63</v>
      </c>
      <c r="J164" s="4">
        <v>105.38</v>
      </c>
      <c r="K164" s="4">
        <v>105.38</v>
      </c>
      <c r="L164" s="4">
        <v>80.150000000000006</v>
      </c>
      <c r="M164" s="4">
        <v>94.5</v>
      </c>
      <c r="N164" s="4">
        <v>94.5</v>
      </c>
      <c r="O164" s="4">
        <v>90.3</v>
      </c>
      <c r="P164" s="4">
        <v>95.6</v>
      </c>
      <c r="Q164" s="4">
        <v>95.6</v>
      </c>
      <c r="R164" s="4">
        <v>85.03</v>
      </c>
      <c r="S164" s="19">
        <v>168</v>
      </c>
      <c r="T164" s="19">
        <v>2508</v>
      </c>
      <c r="U164" s="19">
        <v>104</v>
      </c>
      <c r="V164" s="19">
        <v>332</v>
      </c>
      <c r="W164" s="19">
        <v>88</v>
      </c>
      <c r="X164" s="19">
        <v>2796</v>
      </c>
      <c r="Y164" s="19">
        <v>112</v>
      </c>
      <c r="Z164" s="19">
        <v>268</v>
      </c>
      <c r="AA164" s="14">
        <v>1</v>
      </c>
    </row>
    <row r="165" spans="1:27">
      <c r="A165" s="16">
        <v>46148.697916666664</v>
      </c>
      <c r="B165" s="17">
        <v>46148</v>
      </c>
      <c r="C165" s="18">
        <v>0.69791666666666663</v>
      </c>
      <c r="D165" t="s">
        <v>74</v>
      </c>
      <c r="E165" t="s">
        <v>142</v>
      </c>
      <c r="F165">
        <v>2</v>
      </c>
      <c r="G165" s="4">
        <v>112.87</v>
      </c>
      <c r="H165" s="4">
        <v>112.87</v>
      </c>
      <c r="I165" s="4">
        <v>97</v>
      </c>
      <c r="J165" s="4">
        <v>107.88</v>
      </c>
      <c r="K165" s="4">
        <v>107.88</v>
      </c>
      <c r="L165" s="4">
        <v>80.77</v>
      </c>
      <c r="M165" s="4">
        <v>99.8</v>
      </c>
      <c r="N165" s="4">
        <v>99.8</v>
      </c>
      <c r="O165" s="4">
        <v>86.15</v>
      </c>
      <c r="P165" s="4">
        <v>90</v>
      </c>
      <c r="Q165" s="4">
        <v>90</v>
      </c>
      <c r="R165" s="4">
        <v>147.30000000000001</v>
      </c>
      <c r="S165" s="19">
        <v>204</v>
      </c>
      <c r="T165" s="19">
        <v>2708</v>
      </c>
      <c r="U165" s="19">
        <v>120</v>
      </c>
      <c r="V165" s="19">
        <v>416</v>
      </c>
      <c r="W165" s="19">
        <v>56</v>
      </c>
      <c r="X165" s="19">
        <v>2968</v>
      </c>
      <c r="Y165" s="19">
        <v>204</v>
      </c>
      <c r="Z165" s="19">
        <v>188</v>
      </c>
      <c r="AA165" s="14">
        <v>1</v>
      </c>
    </row>
    <row r="166" spans="1:27">
      <c r="A166" s="16">
        <v>46148.708333333336</v>
      </c>
      <c r="B166" s="17">
        <v>46148</v>
      </c>
      <c r="C166" s="18">
        <v>0.70833333333333337</v>
      </c>
      <c r="D166" t="s">
        <v>74</v>
      </c>
      <c r="E166" t="s">
        <v>142</v>
      </c>
      <c r="F166">
        <v>2</v>
      </c>
      <c r="G166" s="4">
        <v>114.8</v>
      </c>
      <c r="H166" s="4">
        <v>114.8</v>
      </c>
      <c r="I166" s="4">
        <v>93.9</v>
      </c>
      <c r="J166" s="4">
        <v>55.3</v>
      </c>
      <c r="K166" s="4">
        <v>55.3</v>
      </c>
      <c r="L166" s="4">
        <v>102.82</v>
      </c>
      <c r="M166" s="4">
        <v>111.95</v>
      </c>
      <c r="N166" s="4">
        <v>111.95</v>
      </c>
      <c r="O166" s="4">
        <v>52.8</v>
      </c>
      <c r="P166" s="4">
        <v>101.03</v>
      </c>
      <c r="Q166" s="4">
        <v>101.03</v>
      </c>
      <c r="R166" s="4">
        <v>101.2</v>
      </c>
      <c r="S166" s="19">
        <v>108</v>
      </c>
      <c r="T166" s="19">
        <v>2748</v>
      </c>
      <c r="U166" s="19">
        <v>132</v>
      </c>
      <c r="V166" s="19">
        <v>436</v>
      </c>
      <c r="W166" s="19">
        <v>68</v>
      </c>
      <c r="X166" s="19">
        <v>3076</v>
      </c>
      <c r="Y166" s="19">
        <v>240</v>
      </c>
      <c r="Z166" s="19">
        <v>288</v>
      </c>
      <c r="AA166" s="14">
        <v>1</v>
      </c>
    </row>
    <row r="167" spans="1:27">
      <c r="A167" s="16">
        <v>46148.71875</v>
      </c>
      <c r="B167" s="17">
        <v>46148</v>
      </c>
      <c r="C167" s="18">
        <v>0.71875</v>
      </c>
      <c r="D167" t="s">
        <v>74</v>
      </c>
      <c r="E167" t="s">
        <v>142</v>
      </c>
      <c r="F167">
        <v>2</v>
      </c>
      <c r="G167" s="4">
        <v>100.4</v>
      </c>
      <c r="H167" s="4">
        <v>100.4</v>
      </c>
      <c r="I167" s="4">
        <v>90.78</v>
      </c>
      <c r="J167" s="4">
        <v>95.2</v>
      </c>
      <c r="K167" s="4">
        <v>95.2</v>
      </c>
      <c r="L167" s="4">
        <v>98.14</v>
      </c>
      <c r="M167" s="4">
        <v>115.23</v>
      </c>
      <c r="N167" s="4">
        <v>115.23</v>
      </c>
      <c r="O167" s="4">
        <v>97.97</v>
      </c>
      <c r="P167" s="4">
        <v>117.88</v>
      </c>
      <c r="Q167" s="4">
        <v>117.88</v>
      </c>
      <c r="R167" s="4">
        <v>95.93</v>
      </c>
      <c r="S167" s="19">
        <v>112</v>
      </c>
      <c r="T167" s="19">
        <v>2500</v>
      </c>
      <c r="U167" s="19">
        <v>124</v>
      </c>
      <c r="V167" s="19">
        <v>408</v>
      </c>
      <c r="W167" s="19">
        <v>68</v>
      </c>
      <c r="X167" s="19">
        <v>2876</v>
      </c>
      <c r="Y167" s="19">
        <v>172</v>
      </c>
      <c r="Z167" s="19">
        <v>216</v>
      </c>
      <c r="AA167" s="14">
        <v>1</v>
      </c>
    </row>
    <row r="168" spans="1:27">
      <c r="A168" s="16">
        <v>46148.729166666664</v>
      </c>
      <c r="B168" s="17">
        <v>46148</v>
      </c>
      <c r="C168" s="18">
        <v>0.72916666666666663</v>
      </c>
      <c r="D168" t="s">
        <v>74</v>
      </c>
      <c r="E168" t="s">
        <v>142</v>
      </c>
      <c r="F168">
        <v>2</v>
      </c>
      <c r="G168" s="4">
        <v>102.12</v>
      </c>
      <c r="H168" s="4">
        <v>102.12</v>
      </c>
      <c r="I168" s="4">
        <v>93.9</v>
      </c>
      <c r="J168" s="4">
        <v>81.87</v>
      </c>
      <c r="K168" s="4">
        <v>81.87</v>
      </c>
      <c r="L168" s="4">
        <v>97.28</v>
      </c>
      <c r="M168" s="4">
        <v>113</v>
      </c>
      <c r="N168" s="4">
        <v>113</v>
      </c>
      <c r="O168" s="4">
        <v>94.75</v>
      </c>
      <c r="P168" s="4">
        <v>105.94</v>
      </c>
      <c r="Q168" s="4">
        <v>105.94</v>
      </c>
      <c r="R168" s="4">
        <v>0</v>
      </c>
      <c r="S168" s="19">
        <v>184</v>
      </c>
      <c r="T168" s="19">
        <v>2844</v>
      </c>
      <c r="U168" s="19">
        <v>88</v>
      </c>
      <c r="V168" s="19">
        <v>468</v>
      </c>
      <c r="W168" s="19">
        <v>72</v>
      </c>
      <c r="X168" s="19">
        <v>2784</v>
      </c>
      <c r="Y168" s="19">
        <v>156</v>
      </c>
      <c r="Z168" s="19">
        <v>324</v>
      </c>
      <c r="AA168" s="14">
        <v>1</v>
      </c>
    </row>
    <row r="169" spans="1:27">
      <c r="A169" s="16">
        <v>46148.739583333336</v>
      </c>
      <c r="B169" s="17">
        <v>46148</v>
      </c>
      <c r="C169" s="18">
        <v>0.73958333333333337</v>
      </c>
      <c r="D169" t="s">
        <v>74</v>
      </c>
      <c r="E169" t="s">
        <v>142</v>
      </c>
      <c r="F169">
        <v>2</v>
      </c>
      <c r="G169" s="4">
        <v>96.77</v>
      </c>
      <c r="H169" s="4">
        <v>96.77</v>
      </c>
      <c r="I169" s="4">
        <v>93</v>
      </c>
      <c r="J169" s="4">
        <v>111.32</v>
      </c>
      <c r="K169" s="4">
        <v>111.32</v>
      </c>
      <c r="L169" s="4">
        <v>100.3</v>
      </c>
      <c r="M169" s="4">
        <v>111.8</v>
      </c>
      <c r="N169" s="4">
        <v>111.8</v>
      </c>
      <c r="O169" s="4">
        <v>95.47</v>
      </c>
      <c r="P169" s="4">
        <v>106.3</v>
      </c>
      <c r="Q169" s="4">
        <v>106.3</v>
      </c>
      <c r="R169" s="4">
        <v>90.95</v>
      </c>
      <c r="S169" s="19">
        <v>368</v>
      </c>
      <c r="T169" s="19">
        <v>2536</v>
      </c>
      <c r="U169" s="19">
        <v>120</v>
      </c>
      <c r="V169" s="19">
        <v>380</v>
      </c>
      <c r="W169" s="19">
        <v>124</v>
      </c>
      <c r="X169" s="19">
        <v>2832</v>
      </c>
      <c r="Y169" s="19">
        <v>184</v>
      </c>
      <c r="Z169" s="19">
        <v>240</v>
      </c>
      <c r="AA169" s="14">
        <v>1</v>
      </c>
    </row>
    <row r="170" spans="1:27">
      <c r="A170" s="16">
        <v>46148.75</v>
      </c>
      <c r="B170" s="17">
        <v>46148</v>
      </c>
      <c r="C170" s="18">
        <v>0.75</v>
      </c>
      <c r="D170" t="s">
        <v>74</v>
      </c>
      <c r="E170" t="s">
        <v>142</v>
      </c>
      <c r="F170">
        <v>2</v>
      </c>
      <c r="G170" s="4">
        <v>94.4</v>
      </c>
      <c r="H170" s="4">
        <v>94.4</v>
      </c>
      <c r="I170" s="4">
        <v>93.42</v>
      </c>
      <c r="J170" s="4">
        <v>60.14</v>
      </c>
      <c r="K170" s="4">
        <v>60.14</v>
      </c>
      <c r="L170" s="4">
        <v>102.36</v>
      </c>
      <c r="M170" s="4">
        <v>109.3</v>
      </c>
      <c r="N170" s="4">
        <v>109.3</v>
      </c>
      <c r="O170" s="4">
        <v>100.95</v>
      </c>
      <c r="P170" s="4">
        <v>119.08</v>
      </c>
      <c r="Q170" s="4">
        <v>119.08</v>
      </c>
      <c r="R170" s="4">
        <v>96.78</v>
      </c>
      <c r="S170" s="19">
        <v>188</v>
      </c>
      <c r="T170" s="19">
        <v>2560</v>
      </c>
      <c r="U170" s="19">
        <v>108</v>
      </c>
      <c r="V170" s="19">
        <v>372</v>
      </c>
      <c r="W170" s="19">
        <v>84</v>
      </c>
      <c r="X170" s="19">
        <v>2940</v>
      </c>
      <c r="Y170" s="19">
        <v>216</v>
      </c>
      <c r="Z170" s="19">
        <v>212</v>
      </c>
      <c r="AA170" s="14">
        <v>1</v>
      </c>
    </row>
    <row r="171" spans="1:27">
      <c r="A171" s="16">
        <v>46148.760416666664</v>
      </c>
      <c r="B171" s="17">
        <v>46148</v>
      </c>
      <c r="C171" s="18">
        <v>0.76041666666666663</v>
      </c>
      <c r="D171" t="s">
        <v>74</v>
      </c>
      <c r="E171" t="s">
        <v>142</v>
      </c>
      <c r="F171">
        <v>2</v>
      </c>
      <c r="G171" s="4">
        <v>102.75</v>
      </c>
      <c r="H171" s="4">
        <v>102.75</v>
      </c>
      <c r="I171" s="4">
        <v>88.3</v>
      </c>
      <c r="J171" s="4">
        <v>67.72</v>
      </c>
      <c r="K171" s="4">
        <v>67.72</v>
      </c>
      <c r="L171" s="4">
        <v>86.55</v>
      </c>
      <c r="M171" s="4">
        <v>112.72</v>
      </c>
      <c r="N171" s="4">
        <v>112.72</v>
      </c>
      <c r="O171" s="4">
        <v>96.05</v>
      </c>
      <c r="P171" s="4">
        <v>123.58</v>
      </c>
      <c r="Q171" s="4">
        <v>123.58</v>
      </c>
      <c r="R171" s="4">
        <v>98.37</v>
      </c>
      <c r="S171" s="19">
        <v>152</v>
      </c>
      <c r="T171" s="19">
        <v>2504</v>
      </c>
      <c r="U171" s="19">
        <v>144</v>
      </c>
      <c r="V171" s="19">
        <v>388</v>
      </c>
      <c r="W171" s="19">
        <v>88</v>
      </c>
      <c r="X171" s="19">
        <v>2936</v>
      </c>
      <c r="Y171" s="19">
        <v>144</v>
      </c>
      <c r="Z171" s="19">
        <v>200</v>
      </c>
      <c r="AA171" s="14">
        <v>1</v>
      </c>
    </row>
    <row r="172" spans="1:27">
      <c r="A172" s="16">
        <v>46148.770833333336</v>
      </c>
      <c r="B172" s="17">
        <v>46148</v>
      </c>
      <c r="C172" s="18">
        <v>0.77083333333333337</v>
      </c>
      <c r="D172" t="s">
        <v>74</v>
      </c>
      <c r="E172" t="s">
        <v>142</v>
      </c>
      <c r="F172">
        <v>2</v>
      </c>
      <c r="G172" s="4">
        <v>87.77</v>
      </c>
      <c r="H172" s="4">
        <v>87.77</v>
      </c>
      <c r="I172" s="4">
        <v>79.3</v>
      </c>
      <c r="J172" s="4">
        <v>107.18</v>
      </c>
      <c r="K172" s="4">
        <v>107.18</v>
      </c>
      <c r="L172" s="4">
        <v>89.58</v>
      </c>
      <c r="M172" s="4">
        <v>112.4</v>
      </c>
      <c r="N172" s="4">
        <v>112.4</v>
      </c>
      <c r="O172" s="4">
        <v>90.95</v>
      </c>
      <c r="P172" s="4">
        <v>122.83</v>
      </c>
      <c r="Q172" s="4">
        <v>122.83</v>
      </c>
      <c r="R172" s="4">
        <v>97.36</v>
      </c>
      <c r="S172" s="19">
        <v>232</v>
      </c>
      <c r="T172" s="19">
        <v>2300</v>
      </c>
      <c r="U172" s="19">
        <v>220</v>
      </c>
      <c r="V172" s="19">
        <v>388</v>
      </c>
      <c r="W172" s="19">
        <v>104</v>
      </c>
      <c r="X172" s="19">
        <v>2656</v>
      </c>
      <c r="Y172" s="19">
        <v>224</v>
      </c>
      <c r="Z172" s="19">
        <v>224</v>
      </c>
      <c r="AA172" s="14">
        <v>1</v>
      </c>
    </row>
    <row r="173" spans="1:27">
      <c r="A173" s="16">
        <v>46148.78125</v>
      </c>
      <c r="B173" s="17">
        <v>46148</v>
      </c>
      <c r="C173" s="18">
        <v>0.78125</v>
      </c>
      <c r="D173" t="s">
        <v>74</v>
      </c>
      <c r="E173" t="s">
        <v>142</v>
      </c>
      <c r="F173">
        <v>2</v>
      </c>
      <c r="G173" s="4">
        <v>115.05</v>
      </c>
      <c r="H173" s="4">
        <v>115.05</v>
      </c>
      <c r="I173" s="4">
        <v>92.88</v>
      </c>
      <c r="J173" s="4">
        <v>119.6</v>
      </c>
      <c r="K173" s="4">
        <v>119.6</v>
      </c>
      <c r="L173" s="4">
        <v>81.16</v>
      </c>
      <c r="M173" s="4">
        <v>112.83</v>
      </c>
      <c r="N173" s="4">
        <v>112.83</v>
      </c>
      <c r="O173" s="4">
        <v>95.9</v>
      </c>
      <c r="P173" s="4">
        <v>123.32</v>
      </c>
      <c r="Q173" s="4">
        <v>123.32</v>
      </c>
      <c r="R173" s="4">
        <v>93.86</v>
      </c>
      <c r="S173" s="19">
        <v>156</v>
      </c>
      <c r="T173" s="19">
        <v>2412</v>
      </c>
      <c r="U173" s="19">
        <v>152</v>
      </c>
      <c r="V173" s="19">
        <v>448</v>
      </c>
      <c r="W173" s="19">
        <v>92</v>
      </c>
      <c r="X173" s="19">
        <v>2560</v>
      </c>
      <c r="Y173" s="19">
        <v>164</v>
      </c>
      <c r="Z173" s="19">
        <v>284</v>
      </c>
      <c r="AA173" s="14">
        <v>1</v>
      </c>
    </row>
    <row r="174" spans="1:27">
      <c r="A174" s="16">
        <v>46148.791666666664</v>
      </c>
      <c r="B174" s="17">
        <v>46148</v>
      </c>
      <c r="C174" s="18">
        <v>0.79166666666666663</v>
      </c>
      <c r="D174" t="s">
        <v>74</v>
      </c>
      <c r="E174" t="s">
        <v>142</v>
      </c>
      <c r="F174">
        <v>2</v>
      </c>
      <c r="G174" s="4">
        <v>97.73</v>
      </c>
      <c r="H174" s="4">
        <v>97.73</v>
      </c>
      <c r="I174" s="4">
        <v>91.22</v>
      </c>
      <c r="J174" s="4">
        <v>118.1</v>
      </c>
      <c r="K174" s="4">
        <v>118.1</v>
      </c>
      <c r="L174" s="4">
        <v>100.52</v>
      </c>
      <c r="M174" s="4">
        <v>108.58</v>
      </c>
      <c r="N174" s="4">
        <v>108.58</v>
      </c>
      <c r="O174" s="4">
        <v>92.93</v>
      </c>
      <c r="P174" s="4">
        <v>99.87</v>
      </c>
      <c r="Q174" s="4">
        <v>99.87</v>
      </c>
      <c r="R174" s="4">
        <v>90.3</v>
      </c>
      <c r="S174" s="19">
        <v>288</v>
      </c>
      <c r="T174" s="19">
        <v>2488</v>
      </c>
      <c r="U174" s="19">
        <v>88</v>
      </c>
      <c r="V174" s="19">
        <v>440</v>
      </c>
      <c r="W174" s="19">
        <v>76</v>
      </c>
      <c r="X174" s="19">
        <v>2476</v>
      </c>
      <c r="Y174" s="19">
        <v>132</v>
      </c>
      <c r="Z174" s="19">
        <v>224</v>
      </c>
      <c r="AA174" s="14">
        <v>1</v>
      </c>
    </row>
    <row r="175" spans="1:27">
      <c r="A175" s="16">
        <v>46148.802083333336</v>
      </c>
      <c r="B175" s="17">
        <v>46148</v>
      </c>
      <c r="C175" s="18">
        <v>0.80208333333333337</v>
      </c>
      <c r="D175" t="s">
        <v>74</v>
      </c>
      <c r="E175" t="s">
        <v>142</v>
      </c>
      <c r="F175">
        <v>2</v>
      </c>
      <c r="G175" s="4">
        <v>93.03</v>
      </c>
      <c r="H175" s="4">
        <v>93.03</v>
      </c>
      <c r="I175" s="4">
        <v>74.849999999999994</v>
      </c>
      <c r="J175" s="4">
        <v>70.44</v>
      </c>
      <c r="K175" s="4">
        <v>70.44</v>
      </c>
      <c r="L175" s="4">
        <v>79.73</v>
      </c>
      <c r="M175" s="4">
        <v>94.85</v>
      </c>
      <c r="N175" s="4">
        <v>94.85</v>
      </c>
      <c r="O175" s="4">
        <v>90.1</v>
      </c>
      <c r="P175" s="4">
        <v>92.14</v>
      </c>
      <c r="Q175" s="4">
        <v>92.14</v>
      </c>
      <c r="R175" s="4">
        <v>85.52</v>
      </c>
      <c r="S175" s="19">
        <v>440</v>
      </c>
      <c r="T175" s="19">
        <v>2312</v>
      </c>
      <c r="U175" s="19">
        <v>108</v>
      </c>
      <c r="V175" s="19">
        <v>516</v>
      </c>
      <c r="W175" s="19">
        <v>68</v>
      </c>
      <c r="X175" s="19">
        <v>2408</v>
      </c>
      <c r="Y175" s="19">
        <v>144</v>
      </c>
      <c r="Z175" s="19">
        <v>296</v>
      </c>
      <c r="AA175" s="14">
        <v>1</v>
      </c>
    </row>
    <row r="176" spans="1:27">
      <c r="A176" s="16">
        <v>46148.8125</v>
      </c>
      <c r="B176" s="17">
        <v>46148</v>
      </c>
      <c r="C176" s="18">
        <v>0.8125</v>
      </c>
      <c r="D176" t="s">
        <v>74</v>
      </c>
      <c r="E176" t="s">
        <v>142</v>
      </c>
      <c r="F176">
        <v>2</v>
      </c>
      <c r="G176" s="4">
        <v>80.38</v>
      </c>
      <c r="H176" s="4">
        <v>80.38</v>
      </c>
      <c r="I176" s="4">
        <v>69.38</v>
      </c>
      <c r="J176" s="4">
        <v>110.6</v>
      </c>
      <c r="K176" s="4">
        <v>110.6</v>
      </c>
      <c r="L176" s="4">
        <v>71.680000000000007</v>
      </c>
      <c r="M176" s="4">
        <v>95.8</v>
      </c>
      <c r="N176" s="4">
        <v>95.8</v>
      </c>
      <c r="O176" s="4">
        <v>87.65</v>
      </c>
      <c r="P176" s="4">
        <v>90.23</v>
      </c>
      <c r="Q176" s="4">
        <v>90.23</v>
      </c>
      <c r="R176" s="4">
        <v>78.77</v>
      </c>
      <c r="S176" s="19">
        <v>124</v>
      </c>
      <c r="T176" s="19">
        <v>2316</v>
      </c>
      <c r="U176" s="19">
        <v>156</v>
      </c>
      <c r="V176" s="19">
        <v>320</v>
      </c>
      <c r="W176" s="19">
        <v>84</v>
      </c>
      <c r="X176" s="19">
        <v>2388</v>
      </c>
      <c r="Y176" s="19">
        <v>156</v>
      </c>
      <c r="Z176" s="19">
        <v>216</v>
      </c>
      <c r="AA176" s="14">
        <v>1</v>
      </c>
    </row>
    <row r="177" spans="1:27">
      <c r="A177" s="16">
        <v>46148.822916666664</v>
      </c>
      <c r="B177" s="17">
        <v>46148</v>
      </c>
      <c r="C177" s="18">
        <v>0.82291666666666663</v>
      </c>
      <c r="D177" t="s">
        <v>74</v>
      </c>
      <c r="E177" t="s">
        <v>142</v>
      </c>
      <c r="F177">
        <v>2</v>
      </c>
      <c r="G177" s="4">
        <v>102.22</v>
      </c>
      <c r="H177" s="4">
        <v>102.22</v>
      </c>
      <c r="I177" s="4">
        <v>71.400000000000006</v>
      </c>
      <c r="J177" s="4">
        <v>85.16</v>
      </c>
      <c r="K177" s="4">
        <v>85.16</v>
      </c>
      <c r="L177" s="4">
        <v>33.630000000000003</v>
      </c>
      <c r="M177" s="4">
        <v>84.36</v>
      </c>
      <c r="N177" s="4">
        <v>84.36</v>
      </c>
      <c r="O177" s="4">
        <v>83.54</v>
      </c>
      <c r="P177" s="4">
        <v>54.34</v>
      </c>
      <c r="Q177" s="4">
        <v>54.34</v>
      </c>
      <c r="R177" s="4">
        <v>78.849999999999994</v>
      </c>
      <c r="S177" s="19">
        <v>184</v>
      </c>
      <c r="T177" s="19">
        <v>2128</v>
      </c>
      <c r="U177" s="19">
        <v>136</v>
      </c>
      <c r="V177" s="19">
        <v>296</v>
      </c>
      <c r="W177" s="19">
        <v>76</v>
      </c>
      <c r="X177" s="19">
        <v>2232</v>
      </c>
      <c r="Y177" s="19">
        <v>196</v>
      </c>
      <c r="Z177" s="19">
        <v>224</v>
      </c>
      <c r="AA177" s="14">
        <v>1</v>
      </c>
    </row>
    <row r="178" spans="1:27">
      <c r="A178" s="16">
        <v>46148.833333333336</v>
      </c>
      <c r="B178" s="17">
        <v>46148</v>
      </c>
      <c r="C178" s="18">
        <v>0.83333333333333337</v>
      </c>
      <c r="D178" t="s">
        <v>74</v>
      </c>
      <c r="E178" t="s">
        <v>142</v>
      </c>
      <c r="F178">
        <v>2</v>
      </c>
      <c r="G178" s="4">
        <v>82.98</v>
      </c>
      <c r="H178" s="4">
        <v>82.98</v>
      </c>
      <c r="I178" s="4">
        <v>70.94</v>
      </c>
      <c r="J178" s="4">
        <v>23.88</v>
      </c>
      <c r="K178" s="4">
        <v>23.88</v>
      </c>
      <c r="L178" s="4">
        <v>54.02</v>
      </c>
      <c r="M178" s="4">
        <v>98.3</v>
      </c>
      <c r="N178" s="4">
        <v>98.3</v>
      </c>
      <c r="O178" s="4">
        <v>83.42</v>
      </c>
      <c r="P178" s="4">
        <v>68.52</v>
      </c>
      <c r="Q178" s="4">
        <v>68.52</v>
      </c>
      <c r="R178" s="4">
        <v>75.33</v>
      </c>
      <c r="S178" s="19">
        <v>292</v>
      </c>
      <c r="T178" s="19">
        <v>2120</v>
      </c>
      <c r="U178" s="19">
        <v>132</v>
      </c>
      <c r="V178" s="19">
        <v>340</v>
      </c>
      <c r="W178" s="19">
        <v>56</v>
      </c>
      <c r="X178" s="19">
        <v>2308</v>
      </c>
      <c r="Y178" s="19">
        <v>160</v>
      </c>
      <c r="Z178" s="19">
        <v>240</v>
      </c>
      <c r="AA178" s="14">
        <v>1</v>
      </c>
    </row>
    <row r="179" spans="1:27">
      <c r="A179" s="16">
        <v>46148.84375</v>
      </c>
      <c r="B179" s="17">
        <v>46148</v>
      </c>
      <c r="C179" s="18">
        <v>0.84375</v>
      </c>
      <c r="D179" t="s">
        <v>74</v>
      </c>
      <c r="E179" t="s">
        <v>142</v>
      </c>
      <c r="F179">
        <v>2</v>
      </c>
      <c r="G179" s="4">
        <v>87.68</v>
      </c>
      <c r="H179" s="4">
        <v>87.68</v>
      </c>
      <c r="I179" s="4">
        <v>71.88</v>
      </c>
      <c r="J179" s="4">
        <v>66.040000000000006</v>
      </c>
      <c r="K179" s="4">
        <v>66.040000000000006</v>
      </c>
      <c r="L179" s="4">
        <v>41.18</v>
      </c>
      <c r="M179" s="4">
        <v>98.04</v>
      </c>
      <c r="N179" s="4">
        <v>98.04</v>
      </c>
      <c r="O179" s="4">
        <v>83.53</v>
      </c>
      <c r="P179" s="4">
        <v>51.06</v>
      </c>
      <c r="Q179" s="4">
        <v>51.06</v>
      </c>
      <c r="R179" s="4">
        <v>78.28</v>
      </c>
      <c r="S179" s="19">
        <v>92</v>
      </c>
      <c r="T179" s="19">
        <v>1892</v>
      </c>
      <c r="U179" s="19">
        <v>172</v>
      </c>
      <c r="V179" s="19">
        <v>256</v>
      </c>
      <c r="W179" s="19">
        <v>92</v>
      </c>
      <c r="X179" s="19">
        <v>2432</v>
      </c>
      <c r="Y179" s="19">
        <v>132</v>
      </c>
      <c r="Z179" s="19">
        <v>184</v>
      </c>
      <c r="AA179" s="14">
        <v>1</v>
      </c>
    </row>
    <row r="180" spans="1:27">
      <c r="A180" s="16">
        <v>46148.854166666664</v>
      </c>
      <c r="B180" s="17">
        <v>46148</v>
      </c>
      <c r="C180" s="18">
        <v>0.85416666666666663</v>
      </c>
      <c r="D180" t="s">
        <v>74</v>
      </c>
      <c r="E180" t="s">
        <v>142</v>
      </c>
      <c r="F180">
        <v>2</v>
      </c>
      <c r="G180" s="4">
        <v>100.64</v>
      </c>
      <c r="H180" s="4">
        <v>100.64</v>
      </c>
      <c r="I180" s="4">
        <v>65.2</v>
      </c>
      <c r="J180" s="4">
        <v>55.12</v>
      </c>
      <c r="K180" s="4">
        <v>55.12</v>
      </c>
      <c r="L180" s="4">
        <v>52.96</v>
      </c>
      <c r="M180" s="4">
        <v>93.72</v>
      </c>
      <c r="N180" s="4">
        <v>93.72</v>
      </c>
      <c r="O180" s="4">
        <v>75.19</v>
      </c>
      <c r="P180" s="4">
        <v>111.88</v>
      </c>
      <c r="Q180" s="4">
        <v>111.88</v>
      </c>
      <c r="R180" s="4">
        <v>77.98</v>
      </c>
      <c r="S180" s="19">
        <v>176</v>
      </c>
      <c r="T180" s="19">
        <v>2236</v>
      </c>
      <c r="U180" s="19">
        <v>140</v>
      </c>
      <c r="V180" s="19">
        <v>284</v>
      </c>
      <c r="W180" s="19">
        <v>48</v>
      </c>
      <c r="X180" s="19">
        <v>2328</v>
      </c>
      <c r="Y180" s="19">
        <v>112</v>
      </c>
      <c r="Z180" s="19">
        <v>192</v>
      </c>
      <c r="AA180" s="14">
        <v>1</v>
      </c>
    </row>
    <row r="181" spans="1:27">
      <c r="A181" s="16">
        <v>46148.864583333336</v>
      </c>
      <c r="B181" s="17">
        <v>46148</v>
      </c>
      <c r="C181" s="18">
        <v>0.86458333333333337</v>
      </c>
      <c r="D181" t="s">
        <v>74</v>
      </c>
      <c r="E181" t="s">
        <v>142</v>
      </c>
      <c r="F181">
        <v>2</v>
      </c>
      <c r="G181" s="4">
        <v>91.66</v>
      </c>
      <c r="H181" s="4">
        <v>91.66</v>
      </c>
      <c r="I181" s="4">
        <v>65.5</v>
      </c>
      <c r="J181" s="4">
        <v>75.73</v>
      </c>
      <c r="K181" s="4">
        <v>75.73</v>
      </c>
      <c r="L181" s="4">
        <v>52.87</v>
      </c>
      <c r="M181" s="4">
        <v>95.45</v>
      </c>
      <c r="N181" s="4">
        <v>95.45</v>
      </c>
      <c r="O181" s="4">
        <v>84.17</v>
      </c>
      <c r="P181" s="4">
        <v>79.33</v>
      </c>
      <c r="Q181" s="4">
        <v>79.33</v>
      </c>
      <c r="R181" s="4">
        <v>78.37</v>
      </c>
      <c r="S181" s="19">
        <v>176</v>
      </c>
      <c r="T181" s="19">
        <v>2460</v>
      </c>
      <c r="U181" s="19">
        <v>116</v>
      </c>
      <c r="V181" s="19">
        <v>256</v>
      </c>
      <c r="W181" s="19">
        <v>80</v>
      </c>
      <c r="X181" s="19">
        <v>2372</v>
      </c>
      <c r="Y181" s="19">
        <v>120</v>
      </c>
      <c r="Z181" s="19">
        <v>212</v>
      </c>
      <c r="AA181" s="14">
        <v>1</v>
      </c>
    </row>
    <row r="182" spans="1:27">
      <c r="A182" s="16">
        <v>46148.875</v>
      </c>
      <c r="B182" s="17">
        <v>46148</v>
      </c>
      <c r="C182" s="18">
        <v>0.875</v>
      </c>
      <c r="D182" t="s">
        <v>74</v>
      </c>
      <c r="E182" t="s">
        <v>142</v>
      </c>
      <c r="F182">
        <v>2</v>
      </c>
      <c r="G182" s="4">
        <v>87.63</v>
      </c>
      <c r="H182" s="4">
        <v>87.63</v>
      </c>
      <c r="I182" s="4">
        <v>75</v>
      </c>
      <c r="J182" s="4">
        <v>54.48</v>
      </c>
      <c r="K182" s="4">
        <v>54.48</v>
      </c>
      <c r="L182" s="4">
        <v>65.8</v>
      </c>
      <c r="M182" s="4">
        <v>86.53</v>
      </c>
      <c r="N182" s="4">
        <v>86.53</v>
      </c>
      <c r="O182" s="4">
        <v>68.290000000000006</v>
      </c>
      <c r="P182" s="4">
        <v>83.46</v>
      </c>
      <c r="Q182" s="4">
        <v>83.46</v>
      </c>
      <c r="R182" s="4">
        <v>77.97</v>
      </c>
      <c r="S182" s="19">
        <v>332</v>
      </c>
      <c r="T182" s="19">
        <v>2216</v>
      </c>
      <c r="U182" s="19">
        <v>156</v>
      </c>
      <c r="V182" s="19">
        <v>240</v>
      </c>
      <c r="W182" s="19">
        <v>68</v>
      </c>
      <c r="X182" s="19">
        <v>2320</v>
      </c>
      <c r="Y182" s="19">
        <v>104</v>
      </c>
      <c r="Z182" s="19">
        <v>252</v>
      </c>
      <c r="AA182" s="14">
        <v>1</v>
      </c>
    </row>
    <row r="183" spans="1:27">
      <c r="A183" s="16">
        <v>46148.885416666664</v>
      </c>
      <c r="B183" s="17">
        <v>46148</v>
      </c>
      <c r="C183" s="18">
        <v>0.88541666666666663</v>
      </c>
      <c r="D183" t="s">
        <v>74</v>
      </c>
      <c r="E183" t="s">
        <v>142</v>
      </c>
      <c r="F183">
        <v>2</v>
      </c>
      <c r="G183" s="4">
        <v>77.040000000000006</v>
      </c>
      <c r="H183" s="4">
        <v>77.040000000000006</v>
      </c>
      <c r="I183" s="4">
        <v>66.260000000000005</v>
      </c>
      <c r="J183" s="4">
        <v>75.08</v>
      </c>
      <c r="K183" s="4">
        <v>75.08</v>
      </c>
      <c r="L183" s="4">
        <v>60.67</v>
      </c>
      <c r="M183" s="4">
        <v>94.72</v>
      </c>
      <c r="N183" s="4">
        <v>94.72</v>
      </c>
      <c r="O183" s="4">
        <v>83.16</v>
      </c>
      <c r="P183" s="4">
        <v>100.17</v>
      </c>
      <c r="Q183" s="4">
        <v>100.17</v>
      </c>
      <c r="R183" s="4">
        <v>71.84</v>
      </c>
      <c r="S183" s="19">
        <v>108</v>
      </c>
      <c r="T183" s="19">
        <v>2156</v>
      </c>
      <c r="U183" s="19">
        <v>160</v>
      </c>
      <c r="V183" s="19">
        <v>316</v>
      </c>
      <c r="W183" s="19">
        <v>64</v>
      </c>
      <c r="X183" s="19">
        <v>2472</v>
      </c>
      <c r="Y183" s="19">
        <v>164</v>
      </c>
      <c r="Z183" s="19">
        <v>184</v>
      </c>
      <c r="AA183" s="14">
        <v>1</v>
      </c>
    </row>
    <row r="184" spans="1:27">
      <c r="A184" s="16">
        <v>46148.895833333336</v>
      </c>
      <c r="B184" s="17">
        <v>46148</v>
      </c>
      <c r="C184" s="18">
        <v>0.89583333333333337</v>
      </c>
      <c r="D184" t="s">
        <v>74</v>
      </c>
      <c r="E184" t="s">
        <v>142</v>
      </c>
      <c r="F184">
        <v>2</v>
      </c>
      <c r="G184" s="4">
        <v>59.44</v>
      </c>
      <c r="H184" s="4">
        <v>59.44</v>
      </c>
      <c r="I184" s="4">
        <v>56.77</v>
      </c>
      <c r="J184" s="4">
        <v>56.65</v>
      </c>
      <c r="K184" s="4">
        <v>56.65</v>
      </c>
      <c r="L184" s="4">
        <v>79.099999999999994</v>
      </c>
      <c r="M184" s="4">
        <v>98.7</v>
      </c>
      <c r="N184" s="4">
        <v>98.7</v>
      </c>
      <c r="O184" s="4">
        <v>74.099999999999994</v>
      </c>
      <c r="P184" s="4">
        <v>75.64</v>
      </c>
      <c r="Q184" s="4">
        <v>75.64</v>
      </c>
      <c r="R184" s="4">
        <v>81.260000000000005</v>
      </c>
      <c r="S184" s="19">
        <v>112</v>
      </c>
      <c r="T184" s="19">
        <v>2000</v>
      </c>
      <c r="U184" s="19">
        <v>100</v>
      </c>
      <c r="V184" s="19">
        <v>344</v>
      </c>
      <c r="W184" s="19">
        <v>84</v>
      </c>
      <c r="X184" s="19">
        <v>2176</v>
      </c>
      <c r="Y184" s="19">
        <v>80</v>
      </c>
      <c r="Z184" s="19">
        <v>200</v>
      </c>
      <c r="AA184" s="14">
        <v>1</v>
      </c>
    </row>
    <row r="185" spans="1:27">
      <c r="A185" s="16">
        <v>46148.90625</v>
      </c>
      <c r="B185" s="17">
        <v>46148</v>
      </c>
      <c r="C185" s="18">
        <v>0.90625</v>
      </c>
      <c r="D185" t="s">
        <v>74</v>
      </c>
      <c r="E185" t="s">
        <v>142</v>
      </c>
      <c r="F185">
        <v>2</v>
      </c>
      <c r="G185" s="4">
        <v>79.7</v>
      </c>
      <c r="H185" s="4">
        <v>79.7</v>
      </c>
      <c r="I185" s="4">
        <v>52.3</v>
      </c>
      <c r="J185" s="4">
        <v>86.32</v>
      </c>
      <c r="K185" s="4">
        <v>86.32</v>
      </c>
      <c r="L185" s="4">
        <v>59.54</v>
      </c>
      <c r="M185" s="4">
        <v>79.400000000000006</v>
      </c>
      <c r="N185" s="4">
        <v>79.400000000000006</v>
      </c>
      <c r="O185" s="4">
        <v>84.77</v>
      </c>
      <c r="P185" s="4">
        <v>80.44</v>
      </c>
      <c r="Q185" s="4">
        <v>80.44</v>
      </c>
      <c r="R185" s="4">
        <v>90.66</v>
      </c>
      <c r="S185" s="19">
        <v>108</v>
      </c>
      <c r="T185" s="19">
        <v>1856</v>
      </c>
      <c r="U185" s="19">
        <v>84</v>
      </c>
      <c r="V185" s="19">
        <v>324</v>
      </c>
      <c r="W185" s="19">
        <v>48</v>
      </c>
      <c r="X185" s="19">
        <v>2252</v>
      </c>
      <c r="Y185" s="19">
        <v>104</v>
      </c>
      <c r="Z185" s="19">
        <v>124</v>
      </c>
      <c r="AA185" s="14">
        <v>1</v>
      </c>
    </row>
    <row r="186" spans="1:27">
      <c r="A186" s="16">
        <v>46148.916666666664</v>
      </c>
      <c r="B186" s="17">
        <v>46148</v>
      </c>
      <c r="C186" s="18">
        <v>0.91666666666666663</v>
      </c>
      <c r="D186" t="s">
        <v>74</v>
      </c>
      <c r="E186" t="s">
        <v>142</v>
      </c>
      <c r="F186">
        <v>2</v>
      </c>
      <c r="G186" s="4">
        <v>69.73</v>
      </c>
      <c r="H186" s="4">
        <v>69.73</v>
      </c>
      <c r="I186" s="4">
        <v>55.1</v>
      </c>
      <c r="J186" s="4">
        <v>62.5</v>
      </c>
      <c r="K186" s="4">
        <v>62.5</v>
      </c>
      <c r="L186" s="4">
        <v>62.18</v>
      </c>
      <c r="M186" s="4">
        <v>80.2</v>
      </c>
      <c r="N186" s="4">
        <v>80.2</v>
      </c>
      <c r="O186" s="4">
        <v>76.58</v>
      </c>
      <c r="P186" s="4">
        <v>76.03</v>
      </c>
      <c r="Q186" s="4">
        <v>76.03</v>
      </c>
      <c r="R186" s="4">
        <v>87.4</v>
      </c>
      <c r="S186" s="19">
        <v>204</v>
      </c>
      <c r="T186" s="19">
        <v>1848</v>
      </c>
      <c r="U186" s="19">
        <v>36</v>
      </c>
      <c r="V186" s="19">
        <v>264</v>
      </c>
      <c r="W186" s="19">
        <v>52</v>
      </c>
      <c r="X186" s="19">
        <v>2280</v>
      </c>
      <c r="Y186" s="19">
        <v>88</v>
      </c>
      <c r="Z186" s="19">
        <v>132</v>
      </c>
      <c r="AA186" s="14">
        <v>1</v>
      </c>
    </row>
    <row r="187" spans="1:27">
      <c r="A187" s="16">
        <v>46148.927083333336</v>
      </c>
      <c r="B187" s="17">
        <v>46148</v>
      </c>
      <c r="C187" s="18">
        <v>0.92708333333333337</v>
      </c>
      <c r="D187" t="s">
        <v>74</v>
      </c>
      <c r="E187" t="s">
        <v>142</v>
      </c>
      <c r="F187">
        <v>2</v>
      </c>
      <c r="G187" s="4">
        <v>42.38</v>
      </c>
      <c r="H187" s="4">
        <v>42.38</v>
      </c>
      <c r="I187" s="4">
        <v>37.89</v>
      </c>
      <c r="J187" s="4">
        <v>24.1</v>
      </c>
      <c r="K187" s="4">
        <v>24.1</v>
      </c>
      <c r="L187" s="4">
        <v>34.39</v>
      </c>
      <c r="M187" s="4">
        <v>45.68</v>
      </c>
      <c r="N187" s="4">
        <v>45.68</v>
      </c>
      <c r="O187" s="4">
        <v>41.48</v>
      </c>
      <c r="P187" s="4">
        <v>44.41</v>
      </c>
      <c r="Q187" s="4">
        <v>44.41</v>
      </c>
      <c r="R187" s="4">
        <v>47.74</v>
      </c>
      <c r="S187" s="19">
        <v>104</v>
      </c>
      <c r="T187" s="19">
        <v>1664</v>
      </c>
      <c r="U187" s="19">
        <v>72</v>
      </c>
      <c r="V187" s="19">
        <v>188</v>
      </c>
      <c r="W187" s="19">
        <v>88</v>
      </c>
      <c r="X187" s="19">
        <v>2092</v>
      </c>
      <c r="Y187" s="19">
        <v>116</v>
      </c>
      <c r="Z187" s="19">
        <v>144</v>
      </c>
      <c r="AA187" s="14">
        <v>1</v>
      </c>
    </row>
    <row r="188" spans="1:27">
      <c r="A188" s="16">
        <v>46148.9375</v>
      </c>
      <c r="B188" s="17">
        <v>46148</v>
      </c>
      <c r="C188" s="18">
        <v>0.9375</v>
      </c>
      <c r="D188" t="s">
        <v>74</v>
      </c>
      <c r="E188" t="s">
        <v>142</v>
      </c>
      <c r="F188">
        <v>2</v>
      </c>
      <c r="G188" s="4">
        <v>49.05</v>
      </c>
      <c r="H188" s="4">
        <v>49.05</v>
      </c>
      <c r="I188" s="4">
        <v>36.14</v>
      </c>
      <c r="J188" s="4">
        <v>80.73</v>
      </c>
      <c r="K188" s="4">
        <v>80.73</v>
      </c>
      <c r="L188" s="4">
        <v>27.16</v>
      </c>
      <c r="M188" s="4">
        <v>42.36</v>
      </c>
      <c r="N188" s="4">
        <v>42.36</v>
      </c>
      <c r="O188" s="4">
        <v>34.15</v>
      </c>
      <c r="P188" s="4">
        <v>45.64</v>
      </c>
      <c r="Q188" s="4">
        <v>45.64</v>
      </c>
      <c r="R188" s="4">
        <v>30.53</v>
      </c>
      <c r="S188" s="19">
        <v>120</v>
      </c>
      <c r="T188" s="19">
        <v>1688</v>
      </c>
      <c r="U188" s="19">
        <v>56</v>
      </c>
      <c r="V188" s="19">
        <v>404</v>
      </c>
      <c r="W188" s="19">
        <v>84</v>
      </c>
      <c r="X188" s="19">
        <v>2496</v>
      </c>
      <c r="Y188" s="19">
        <v>108</v>
      </c>
      <c r="Z188" s="19">
        <v>128</v>
      </c>
      <c r="AA188" s="14">
        <v>1</v>
      </c>
    </row>
    <row r="189" spans="1:27">
      <c r="A189" s="16">
        <v>46148.947916666664</v>
      </c>
      <c r="B189" s="17">
        <v>46148</v>
      </c>
      <c r="C189" s="18">
        <v>0.94791666666666663</v>
      </c>
      <c r="D189" t="s">
        <v>74</v>
      </c>
      <c r="E189" t="s">
        <v>142</v>
      </c>
      <c r="F189">
        <v>2</v>
      </c>
      <c r="G189" s="4">
        <v>28.53</v>
      </c>
      <c r="H189" s="4">
        <v>28.53</v>
      </c>
      <c r="I189" s="4">
        <v>35.020000000000003</v>
      </c>
      <c r="J189" s="4">
        <v>43.45</v>
      </c>
      <c r="K189" s="4">
        <v>43.45</v>
      </c>
      <c r="L189" s="4">
        <v>34.92</v>
      </c>
      <c r="M189" s="4">
        <v>37.32</v>
      </c>
      <c r="N189" s="4">
        <v>37.32</v>
      </c>
      <c r="O189" s="4">
        <v>39.86</v>
      </c>
      <c r="P189" s="4">
        <v>42.41</v>
      </c>
      <c r="Q189" s="4">
        <v>42.41</v>
      </c>
      <c r="R189" s="4">
        <v>39.53</v>
      </c>
      <c r="S189" s="19">
        <v>252</v>
      </c>
      <c r="T189" s="19">
        <v>1660</v>
      </c>
      <c r="U189" s="19">
        <v>24</v>
      </c>
      <c r="V189" s="19">
        <v>348</v>
      </c>
      <c r="W189" s="19">
        <v>68</v>
      </c>
      <c r="X189" s="19">
        <v>2272</v>
      </c>
      <c r="Y189" s="19">
        <v>72</v>
      </c>
      <c r="Z189" s="19">
        <v>88</v>
      </c>
      <c r="AA189" s="14">
        <v>1</v>
      </c>
    </row>
    <row r="190" spans="1:27">
      <c r="A190" s="16">
        <v>46148.958333333336</v>
      </c>
      <c r="B190" s="17">
        <v>46148</v>
      </c>
      <c r="C190" s="18">
        <v>0.95833333333333337</v>
      </c>
      <c r="D190" t="s">
        <v>74</v>
      </c>
      <c r="E190" t="s">
        <v>142</v>
      </c>
      <c r="F190">
        <v>2</v>
      </c>
      <c r="G190" s="4">
        <v>24.82</v>
      </c>
      <c r="H190" s="4">
        <v>24.82</v>
      </c>
      <c r="I190" s="4">
        <v>27.95</v>
      </c>
      <c r="J190" s="4">
        <v>61.7</v>
      </c>
      <c r="K190" s="4">
        <v>61.7</v>
      </c>
      <c r="L190" s="4">
        <v>21.39</v>
      </c>
      <c r="M190" s="4">
        <v>37.67</v>
      </c>
      <c r="N190" s="4">
        <v>37.67</v>
      </c>
      <c r="O190" s="4">
        <v>35.82</v>
      </c>
      <c r="P190" s="4">
        <v>49.93</v>
      </c>
      <c r="Q190" s="4">
        <v>49.93</v>
      </c>
      <c r="R190" s="4">
        <v>40.630000000000003</v>
      </c>
      <c r="S190" s="19">
        <v>44</v>
      </c>
      <c r="T190" s="19">
        <v>1432</v>
      </c>
      <c r="U190" s="19">
        <v>36</v>
      </c>
      <c r="V190" s="19">
        <v>208</v>
      </c>
      <c r="W190" s="19">
        <v>68</v>
      </c>
      <c r="X190" s="19">
        <v>2216</v>
      </c>
      <c r="Y190" s="19">
        <v>68</v>
      </c>
      <c r="Z190" s="19">
        <v>132</v>
      </c>
      <c r="AA190" s="14">
        <v>1</v>
      </c>
    </row>
    <row r="191" spans="1:27">
      <c r="A191" s="16">
        <v>46148.96875</v>
      </c>
      <c r="B191" s="17">
        <v>46148</v>
      </c>
      <c r="C191" s="18">
        <v>0.96875</v>
      </c>
      <c r="D191" t="s">
        <v>74</v>
      </c>
      <c r="E191" t="s">
        <v>142</v>
      </c>
      <c r="F191">
        <v>2</v>
      </c>
      <c r="G191" s="4">
        <v>33.229999999999997</v>
      </c>
      <c r="H191" s="4">
        <v>33.229999999999997</v>
      </c>
      <c r="I191" s="4">
        <v>21.65</v>
      </c>
      <c r="J191" s="4">
        <v>69.63</v>
      </c>
      <c r="K191" s="4">
        <v>69.63</v>
      </c>
      <c r="L191" s="4">
        <v>23.4</v>
      </c>
      <c r="M191" s="4">
        <v>30.8</v>
      </c>
      <c r="N191" s="4">
        <v>30.8</v>
      </c>
      <c r="O191" s="4">
        <v>22.59</v>
      </c>
      <c r="P191" s="4">
        <v>46.62</v>
      </c>
      <c r="Q191" s="4">
        <v>46.62</v>
      </c>
      <c r="R191" s="4">
        <v>30.29</v>
      </c>
      <c r="S191" s="19">
        <v>116</v>
      </c>
      <c r="T191" s="19">
        <v>1596</v>
      </c>
      <c r="U191" s="19">
        <v>16</v>
      </c>
      <c r="V191" s="19">
        <v>76</v>
      </c>
      <c r="W191" s="19">
        <v>48</v>
      </c>
      <c r="X191" s="19">
        <v>1896</v>
      </c>
      <c r="Y191" s="19">
        <v>40</v>
      </c>
      <c r="Z191" s="19">
        <v>88</v>
      </c>
      <c r="AA191" s="14">
        <v>1</v>
      </c>
    </row>
    <row r="192" spans="1:27">
      <c r="A192" s="16">
        <v>46148.979166666664</v>
      </c>
      <c r="B192" s="17">
        <v>46148</v>
      </c>
      <c r="C192" s="18">
        <v>0.97916666666666663</v>
      </c>
      <c r="D192" t="s">
        <v>74</v>
      </c>
      <c r="E192" t="s">
        <v>142</v>
      </c>
      <c r="F192">
        <v>2</v>
      </c>
      <c r="G192" s="4">
        <v>30.13</v>
      </c>
      <c r="H192" s="4">
        <v>30.13</v>
      </c>
      <c r="I192" s="4">
        <v>22.22</v>
      </c>
      <c r="J192" s="4">
        <v>35.28</v>
      </c>
      <c r="K192" s="4">
        <v>35.28</v>
      </c>
      <c r="L192" s="4">
        <v>25.89</v>
      </c>
      <c r="M192" s="4">
        <v>24.57</v>
      </c>
      <c r="N192" s="4">
        <v>24.57</v>
      </c>
      <c r="O192" s="4">
        <v>15.45</v>
      </c>
      <c r="P192" s="4">
        <v>35.82</v>
      </c>
      <c r="Q192" s="4">
        <v>35.82</v>
      </c>
      <c r="R192" s="4">
        <v>30.29</v>
      </c>
      <c r="S192" s="19">
        <v>24</v>
      </c>
      <c r="T192" s="19">
        <v>1392</v>
      </c>
      <c r="U192" s="19">
        <v>36</v>
      </c>
      <c r="V192" s="19">
        <v>152</v>
      </c>
      <c r="W192" s="19">
        <v>48</v>
      </c>
      <c r="X192" s="19">
        <v>1840</v>
      </c>
      <c r="Y192" s="19">
        <v>52</v>
      </c>
      <c r="Z192" s="19">
        <v>84</v>
      </c>
      <c r="AA192" s="14">
        <v>1</v>
      </c>
    </row>
    <row r="193" spans="1:27">
      <c r="A193" s="16">
        <v>46148.989583333336</v>
      </c>
      <c r="B193" s="17">
        <v>46148</v>
      </c>
      <c r="C193" s="18">
        <v>0.98958333333333337</v>
      </c>
      <c r="D193" t="s">
        <v>74</v>
      </c>
      <c r="E193" t="s">
        <v>142</v>
      </c>
      <c r="F193">
        <v>2</v>
      </c>
      <c r="G193" s="4">
        <v>44.9</v>
      </c>
      <c r="H193" s="4">
        <v>44.9</v>
      </c>
      <c r="I193" s="4">
        <v>17.670000000000002</v>
      </c>
      <c r="J193" s="4">
        <v>48.45</v>
      </c>
      <c r="K193" s="4">
        <v>48.45</v>
      </c>
      <c r="L193" s="4">
        <v>24.78</v>
      </c>
      <c r="M193" s="4">
        <v>27.18</v>
      </c>
      <c r="N193" s="4">
        <v>27.18</v>
      </c>
      <c r="O193" s="4">
        <v>15.53</v>
      </c>
      <c r="P193" s="4">
        <v>57.47</v>
      </c>
      <c r="Q193" s="4">
        <v>57.47</v>
      </c>
      <c r="R193" s="4">
        <v>25.96</v>
      </c>
      <c r="S193" s="19">
        <v>24</v>
      </c>
      <c r="T193" s="19">
        <v>1516</v>
      </c>
      <c r="U193" s="19">
        <v>36</v>
      </c>
      <c r="V193" s="19">
        <v>124</v>
      </c>
      <c r="W193" s="19">
        <v>56</v>
      </c>
      <c r="X193" s="19">
        <v>1744</v>
      </c>
      <c r="Y193" s="19">
        <v>32</v>
      </c>
      <c r="Z193" s="19">
        <v>72</v>
      </c>
      <c r="AA193" s="14">
        <v>1</v>
      </c>
    </row>
    <row r="194" spans="1:27">
      <c r="A194" s="16">
        <v>46160</v>
      </c>
      <c r="B194" s="17">
        <v>46160</v>
      </c>
      <c r="C194" s="18">
        <v>0</v>
      </c>
      <c r="D194" t="s">
        <v>75</v>
      </c>
      <c r="E194" t="s">
        <v>142</v>
      </c>
      <c r="F194">
        <v>3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19">
        <v>12</v>
      </c>
      <c r="T194" s="19">
        <v>1008</v>
      </c>
      <c r="U194" s="19">
        <v>8</v>
      </c>
      <c r="V194" s="19">
        <v>96</v>
      </c>
      <c r="W194" s="19">
        <v>44</v>
      </c>
      <c r="X194" s="19">
        <v>944</v>
      </c>
      <c r="Y194" s="19">
        <v>16</v>
      </c>
      <c r="Z194" s="19">
        <v>20</v>
      </c>
      <c r="AA194" s="14">
        <v>0</v>
      </c>
    </row>
    <row r="195" spans="1:27">
      <c r="A195" s="16">
        <v>46160.010416666664</v>
      </c>
      <c r="B195" s="17">
        <v>46160</v>
      </c>
      <c r="C195" s="18">
        <v>1.0416666666666666E-2</v>
      </c>
      <c r="D195" t="s">
        <v>75</v>
      </c>
      <c r="E195" t="s">
        <v>142</v>
      </c>
      <c r="F195">
        <v>3</v>
      </c>
      <c r="G195" s="4">
        <v>6.1</v>
      </c>
      <c r="H195" s="4">
        <v>6.1</v>
      </c>
      <c r="I195" s="4">
        <v>7.94</v>
      </c>
      <c r="J195" s="4">
        <v>0</v>
      </c>
      <c r="K195" s="4">
        <v>0</v>
      </c>
      <c r="L195" s="4">
        <v>21.51</v>
      </c>
      <c r="M195" s="4">
        <v>23.14</v>
      </c>
      <c r="N195" s="4">
        <v>23.14</v>
      </c>
      <c r="O195" s="4">
        <v>11.45</v>
      </c>
      <c r="P195" s="4">
        <v>40</v>
      </c>
      <c r="Q195" s="4">
        <v>40</v>
      </c>
      <c r="R195" s="4">
        <v>19.13</v>
      </c>
      <c r="S195" s="19">
        <v>0</v>
      </c>
      <c r="T195" s="19">
        <v>1140</v>
      </c>
      <c r="U195" s="19">
        <v>8</v>
      </c>
      <c r="V195" s="19">
        <v>88</v>
      </c>
      <c r="W195" s="19">
        <v>28</v>
      </c>
      <c r="X195" s="19">
        <v>852</v>
      </c>
      <c r="Y195" s="19">
        <v>24</v>
      </c>
      <c r="Z195" s="19">
        <v>28</v>
      </c>
      <c r="AA195" s="14">
        <v>0</v>
      </c>
    </row>
    <row r="196" spans="1:27">
      <c r="A196" s="16">
        <v>46160.020833333336</v>
      </c>
      <c r="B196" s="17">
        <v>46160</v>
      </c>
      <c r="C196" s="18">
        <v>2.0833333333333332E-2</v>
      </c>
      <c r="D196" t="s">
        <v>75</v>
      </c>
      <c r="E196" t="s">
        <v>142</v>
      </c>
      <c r="F196">
        <v>3</v>
      </c>
      <c r="G196" s="4">
        <v>0</v>
      </c>
      <c r="H196" s="4">
        <v>0</v>
      </c>
      <c r="I196" s="4">
        <v>2.99</v>
      </c>
      <c r="J196" s="4">
        <v>0</v>
      </c>
      <c r="K196" s="4">
        <v>0</v>
      </c>
      <c r="L196" s="4">
        <v>11.87</v>
      </c>
      <c r="M196" s="4">
        <v>20.67</v>
      </c>
      <c r="N196" s="4">
        <v>20.67</v>
      </c>
      <c r="O196" s="4">
        <v>5.44</v>
      </c>
      <c r="P196" s="4">
        <v>8.77</v>
      </c>
      <c r="Q196" s="4">
        <v>8.77</v>
      </c>
      <c r="R196" s="4">
        <v>13.35</v>
      </c>
      <c r="S196" s="19">
        <v>0</v>
      </c>
      <c r="T196" s="19">
        <v>1104</v>
      </c>
      <c r="U196" s="19">
        <v>8</v>
      </c>
      <c r="V196" s="19">
        <v>44</v>
      </c>
      <c r="W196" s="19">
        <v>28</v>
      </c>
      <c r="X196" s="19">
        <v>1172</v>
      </c>
      <c r="Y196" s="19">
        <v>4</v>
      </c>
      <c r="Z196" s="19">
        <v>52</v>
      </c>
      <c r="AA196" s="14">
        <v>0</v>
      </c>
    </row>
    <row r="197" spans="1:27">
      <c r="A197" s="16">
        <v>46160.03125</v>
      </c>
      <c r="B197" s="17">
        <v>46160</v>
      </c>
      <c r="C197" s="18">
        <v>3.125E-2</v>
      </c>
      <c r="D197" t="s">
        <v>75</v>
      </c>
      <c r="E197" t="s">
        <v>142</v>
      </c>
      <c r="F197">
        <v>3</v>
      </c>
      <c r="G197" s="4">
        <v>0</v>
      </c>
      <c r="H197" s="4">
        <v>0</v>
      </c>
      <c r="I197" s="4">
        <v>3.24</v>
      </c>
      <c r="J197" s="4">
        <v>19.7</v>
      </c>
      <c r="K197" s="4">
        <v>19.7</v>
      </c>
      <c r="L197" s="4">
        <v>18.64</v>
      </c>
      <c r="M197" s="4">
        <v>15.3</v>
      </c>
      <c r="N197" s="4">
        <v>15.3</v>
      </c>
      <c r="O197" s="4">
        <v>3.16</v>
      </c>
      <c r="P197" s="4">
        <v>20.9</v>
      </c>
      <c r="Q197" s="4">
        <v>20.9</v>
      </c>
      <c r="R197" s="4">
        <v>13.17</v>
      </c>
      <c r="S197" s="19">
        <v>8</v>
      </c>
      <c r="T197" s="19">
        <v>1156</v>
      </c>
      <c r="U197" s="19">
        <v>16</v>
      </c>
      <c r="V197" s="19">
        <v>52</v>
      </c>
      <c r="W197" s="19">
        <v>28</v>
      </c>
      <c r="X197" s="19">
        <v>1232</v>
      </c>
      <c r="Y197" s="19">
        <v>32</v>
      </c>
      <c r="Z197" s="19">
        <v>8</v>
      </c>
      <c r="AA197" s="14">
        <v>0</v>
      </c>
    </row>
    <row r="198" spans="1:27">
      <c r="A198" s="16">
        <v>46160.041666666664</v>
      </c>
      <c r="B198" s="17">
        <v>46160</v>
      </c>
      <c r="C198" s="18">
        <v>4.1666666666666664E-2</v>
      </c>
      <c r="D198" t="s">
        <v>75</v>
      </c>
      <c r="E198" t="s">
        <v>142</v>
      </c>
      <c r="F198">
        <v>3</v>
      </c>
      <c r="G198" s="4">
        <v>16.5</v>
      </c>
      <c r="H198" s="4">
        <v>16.5</v>
      </c>
      <c r="I198" s="4">
        <v>3.47</v>
      </c>
      <c r="J198" s="4">
        <v>28.6</v>
      </c>
      <c r="K198" s="4">
        <v>28.6</v>
      </c>
      <c r="L198" s="4">
        <v>11.32</v>
      </c>
      <c r="M198" s="4">
        <v>14.08</v>
      </c>
      <c r="N198" s="4">
        <v>14.08</v>
      </c>
      <c r="O198" s="4">
        <v>4.24</v>
      </c>
      <c r="P198" s="4">
        <v>18.649999999999999</v>
      </c>
      <c r="Q198" s="4">
        <v>18.649999999999999</v>
      </c>
      <c r="R198" s="4">
        <v>17</v>
      </c>
      <c r="S198" s="19">
        <v>24</v>
      </c>
      <c r="T198" s="19">
        <v>1384</v>
      </c>
      <c r="U198" s="19">
        <v>0</v>
      </c>
      <c r="V198" s="19">
        <v>36</v>
      </c>
      <c r="W198" s="19">
        <v>32</v>
      </c>
      <c r="X198" s="19">
        <v>1888</v>
      </c>
      <c r="Y198" s="19">
        <v>8</v>
      </c>
      <c r="Z198" s="19">
        <v>28</v>
      </c>
      <c r="AA198" s="14">
        <v>0</v>
      </c>
    </row>
    <row r="199" spans="1:27">
      <c r="A199" s="16">
        <v>46160.052083333336</v>
      </c>
      <c r="B199" s="17">
        <v>46160</v>
      </c>
      <c r="C199" s="18">
        <v>5.2083333333333336E-2</v>
      </c>
      <c r="D199" t="s">
        <v>75</v>
      </c>
      <c r="E199" t="s">
        <v>142</v>
      </c>
      <c r="F199">
        <v>3</v>
      </c>
      <c r="G199" s="4">
        <v>22.8</v>
      </c>
      <c r="H199" s="4">
        <v>22.8</v>
      </c>
      <c r="I199" s="4">
        <v>1.52</v>
      </c>
      <c r="J199" s="4">
        <v>0</v>
      </c>
      <c r="K199" s="4">
        <v>0</v>
      </c>
      <c r="L199" s="4">
        <v>28.03</v>
      </c>
      <c r="M199" s="4">
        <v>7.81</v>
      </c>
      <c r="N199" s="4">
        <v>7.81</v>
      </c>
      <c r="O199" s="4">
        <v>1.86</v>
      </c>
      <c r="P199" s="4">
        <v>40.9</v>
      </c>
      <c r="Q199" s="4">
        <v>40.9</v>
      </c>
      <c r="R199" s="4">
        <v>10.1</v>
      </c>
      <c r="S199" s="19">
        <v>4</v>
      </c>
      <c r="T199" s="19">
        <v>1108</v>
      </c>
      <c r="U199" s="19">
        <v>16</v>
      </c>
      <c r="V199" s="19">
        <v>28</v>
      </c>
      <c r="W199" s="19">
        <v>24</v>
      </c>
      <c r="X199" s="19">
        <v>3016</v>
      </c>
      <c r="Y199" s="19">
        <v>12</v>
      </c>
      <c r="Z199" s="19">
        <v>32</v>
      </c>
      <c r="AA199" s="14">
        <v>0</v>
      </c>
    </row>
    <row r="200" spans="1:27">
      <c r="A200" s="16">
        <v>46160.0625</v>
      </c>
      <c r="B200" s="17">
        <v>46160</v>
      </c>
      <c r="C200" s="18">
        <v>6.25E-2</v>
      </c>
      <c r="D200" t="s">
        <v>75</v>
      </c>
      <c r="E200" t="s">
        <v>142</v>
      </c>
      <c r="F200">
        <v>3</v>
      </c>
      <c r="G200" s="4">
        <v>6.1</v>
      </c>
      <c r="H200" s="4">
        <v>6.1</v>
      </c>
      <c r="I200" s="4">
        <v>1.94</v>
      </c>
      <c r="J200" s="4">
        <v>28.5</v>
      </c>
      <c r="K200" s="4">
        <v>28.5</v>
      </c>
      <c r="L200" s="4">
        <v>9.1999999999999993</v>
      </c>
      <c r="M200" s="4">
        <v>19.809999999999999</v>
      </c>
      <c r="N200" s="4">
        <v>19.809999999999999</v>
      </c>
      <c r="O200" s="4">
        <v>4.47</v>
      </c>
      <c r="P200" s="4">
        <v>14.13</v>
      </c>
      <c r="Q200" s="4">
        <v>14.13</v>
      </c>
      <c r="R200" s="4">
        <v>19.23</v>
      </c>
      <c r="S200" s="19">
        <v>0</v>
      </c>
      <c r="T200" s="19">
        <v>1004</v>
      </c>
      <c r="U200" s="19">
        <v>0</v>
      </c>
      <c r="V200" s="19">
        <v>44</v>
      </c>
      <c r="W200" s="19">
        <v>12</v>
      </c>
      <c r="X200" s="19">
        <v>2572</v>
      </c>
      <c r="Y200" s="19">
        <v>20</v>
      </c>
      <c r="Z200" s="19">
        <v>20</v>
      </c>
      <c r="AA200" s="14">
        <v>1</v>
      </c>
    </row>
    <row r="201" spans="1:27">
      <c r="A201" s="16">
        <v>46160.072916666664</v>
      </c>
      <c r="B201" s="17">
        <v>46160</v>
      </c>
      <c r="C201" s="18">
        <v>7.2916666666666671E-2</v>
      </c>
      <c r="D201" t="s">
        <v>75</v>
      </c>
      <c r="E201" t="s">
        <v>142</v>
      </c>
      <c r="F201">
        <v>3</v>
      </c>
      <c r="G201" s="4">
        <v>0</v>
      </c>
      <c r="H201" s="4">
        <v>0</v>
      </c>
      <c r="I201" s="4">
        <v>3.3</v>
      </c>
      <c r="J201" s="4">
        <v>0</v>
      </c>
      <c r="K201" s="4">
        <v>0</v>
      </c>
      <c r="L201" s="4">
        <v>21.6</v>
      </c>
      <c r="M201" s="4">
        <v>23.8</v>
      </c>
      <c r="N201" s="4">
        <v>23.8</v>
      </c>
      <c r="O201" s="4">
        <v>2.11</v>
      </c>
      <c r="P201" s="4">
        <v>19.670000000000002</v>
      </c>
      <c r="Q201" s="4">
        <v>19.670000000000002</v>
      </c>
      <c r="R201" s="4">
        <v>22</v>
      </c>
      <c r="S201" s="19">
        <v>16</v>
      </c>
      <c r="T201" s="19">
        <v>1008</v>
      </c>
      <c r="U201" s="19">
        <v>0</v>
      </c>
      <c r="V201" s="19">
        <v>48</v>
      </c>
      <c r="W201" s="19">
        <v>12</v>
      </c>
      <c r="X201" s="19">
        <v>2928</v>
      </c>
      <c r="Y201" s="19">
        <v>28</v>
      </c>
      <c r="Z201" s="19">
        <v>16</v>
      </c>
      <c r="AA201" s="14">
        <v>1</v>
      </c>
    </row>
    <row r="202" spans="1:27">
      <c r="A202" s="16">
        <v>46160.083333333336</v>
      </c>
      <c r="B202" s="17">
        <v>46160</v>
      </c>
      <c r="C202" s="18">
        <v>8.3333333333333329E-2</v>
      </c>
      <c r="D202" t="s">
        <v>75</v>
      </c>
      <c r="E202" t="s">
        <v>142</v>
      </c>
      <c r="F202">
        <v>3</v>
      </c>
      <c r="G202" s="4">
        <v>6.2</v>
      </c>
      <c r="H202" s="4">
        <v>6.2</v>
      </c>
      <c r="I202" s="4">
        <v>4.3600000000000003</v>
      </c>
      <c r="J202" s="4">
        <v>0</v>
      </c>
      <c r="K202" s="4">
        <v>0</v>
      </c>
      <c r="L202" s="4">
        <v>11.25</v>
      </c>
      <c r="M202" s="4">
        <v>6.4</v>
      </c>
      <c r="N202" s="4">
        <v>6.4</v>
      </c>
      <c r="O202" s="4">
        <v>6.8</v>
      </c>
      <c r="P202" s="4">
        <v>8.1999999999999993</v>
      </c>
      <c r="Q202" s="4">
        <v>8.1999999999999993</v>
      </c>
      <c r="R202" s="4">
        <v>16.05</v>
      </c>
      <c r="S202" s="19">
        <v>8</v>
      </c>
      <c r="T202" s="19">
        <v>984</v>
      </c>
      <c r="U202" s="19">
        <v>0</v>
      </c>
      <c r="V202" s="19">
        <v>24</v>
      </c>
      <c r="W202" s="19">
        <v>20</v>
      </c>
      <c r="X202" s="19">
        <v>2784</v>
      </c>
      <c r="Y202" s="19">
        <v>12</v>
      </c>
      <c r="Z202" s="19">
        <v>12</v>
      </c>
      <c r="AA202" s="14">
        <v>1</v>
      </c>
    </row>
    <row r="203" spans="1:27">
      <c r="A203" s="16">
        <v>46160.09375</v>
      </c>
      <c r="B203" s="17">
        <v>46160</v>
      </c>
      <c r="C203" s="18">
        <v>9.375E-2</v>
      </c>
      <c r="D203" t="s">
        <v>75</v>
      </c>
      <c r="E203" t="s">
        <v>142</v>
      </c>
      <c r="F203">
        <v>3</v>
      </c>
      <c r="G203" s="4">
        <v>14.5</v>
      </c>
      <c r="H203" s="4">
        <v>14.5</v>
      </c>
      <c r="I203" s="4">
        <v>0.77</v>
      </c>
      <c r="J203" s="4">
        <v>0</v>
      </c>
      <c r="K203" s="4">
        <v>0</v>
      </c>
      <c r="L203" s="4">
        <v>15.67</v>
      </c>
      <c r="M203" s="4">
        <v>12.2</v>
      </c>
      <c r="N203" s="4">
        <v>12.2</v>
      </c>
      <c r="O203" s="4">
        <v>12.04</v>
      </c>
      <c r="P203" s="4">
        <v>12.6</v>
      </c>
      <c r="Q203" s="4">
        <v>12.6</v>
      </c>
      <c r="R203" s="4">
        <v>19.100000000000001</v>
      </c>
      <c r="S203" s="19">
        <v>0</v>
      </c>
      <c r="T203" s="19">
        <v>936</v>
      </c>
      <c r="U203" s="19">
        <v>0</v>
      </c>
      <c r="V203" s="19">
        <v>12</v>
      </c>
      <c r="W203" s="19">
        <v>4</v>
      </c>
      <c r="X203" s="19">
        <v>2212</v>
      </c>
      <c r="Y203" s="19">
        <v>4</v>
      </c>
      <c r="Z203" s="19">
        <v>4</v>
      </c>
      <c r="AA203" s="14">
        <v>1</v>
      </c>
    </row>
    <row r="204" spans="1:27">
      <c r="A204" s="16">
        <v>46160.104166666664</v>
      </c>
      <c r="B204" s="17">
        <v>46160</v>
      </c>
      <c r="C204" s="18">
        <v>0.10416666666666667</v>
      </c>
      <c r="D204" t="s">
        <v>75</v>
      </c>
      <c r="E204" t="s">
        <v>142</v>
      </c>
      <c r="F204">
        <v>3</v>
      </c>
      <c r="G204" s="4">
        <v>0</v>
      </c>
      <c r="H204" s="4">
        <v>0</v>
      </c>
      <c r="I204" s="4">
        <v>0.8</v>
      </c>
      <c r="J204" s="4">
        <v>0</v>
      </c>
      <c r="K204" s="4">
        <v>0</v>
      </c>
      <c r="L204" s="4">
        <v>8.1</v>
      </c>
      <c r="M204" s="4">
        <v>6.1</v>
      </c>
      <c r="N204" s="4">
        <v>6.1</v>
      </c>
      <c r="O204" s="4">
        <v>8.6300000000000008</v>
      </c>
      <c r="P204" s="4">
        <v>0</v>
      </c>
      <c r="Q204" s="4">
        <v>0</v>
      </c>
      <c r="R204" s="4">
        <v>6.9</v>
      </c>
      <c r="S204" s="19">
        <v>12</v>
      </c>
      <c r="T204" s="19">
        <v>952</v>
      </c>
      <c r="U204" s="19">
        <v>0</v>
      </c>
      <c r="V204" s="19">
        <v>4</v>
      </c>
      <c r="W204" s="19">
        <v>8</v>
      </c>
      <c r="X204" s="19">
        <v>2288</v>
      </c>
      <c r="Y204" s="19">
        <v>4</v>
      </c>
      <c r="Z204" s="19">
        <v>12</v>
      </c>
      <c r="AA204" s="14">
        <v>0</v>
      </c>
    </row>
    <row r="205" spans="1:27">
      <c r="A205" s="16">
        <v>46160.114583333336</v>
      </c>
      <c r="B205" s="17">
        <v>46160</v>
      </c>
      <c r="C205" s="18">
        <v>0.11458333333333333</v>
      </c>
      <c r="D205" t="s">
        <v>75</v>
      </c>
      <c r="E205" t="s">
        <v>142</v>
      </c>
      <c r="F205">
        <v>3</v>
      </c>
      <c r="G205" s="4">
        <v>6.65</v>
      </c>
      <c r="H205" s="4">
        <v>6.65</v>
      </c>
      <c r="I205" s="4">
        <v>1.85</v>
      </c>
      <c r="J205" s="4">
        <v>0</v>
      </c>
      <c r="K205" s="4">
        <v>0</v>
      </c>
      <c r="L205" s="4">
        <v>0</v>
      </c>
      <c r="M205" s="4">
        <v>13.45</v>
      </c>
      <c r="N205" s="4">
        <v>13.45</v>
      </c>
      <c r="O205" s="4">
        <v>1.05</v>
      </c>
      <c r="P205" s="4">
        <v>0</v>
      </c>
      <c r="Q205" s="4">
        <v>0</v>
      </c>
      <c r="R205" s="4">
        <v>13.9</v>
      </c>
      <c r="S205" s="19">
        <v>4</v>
      </c>
      <c r="T205" s="19">
        <v>912</v>
      </c>
      <c r="U205" s="19">
        <v>4</v>
      </c>
      <c r="V205" s="19">
        <v>8</v>
      </c>
      <c r="W205" s="19">
        <v>8</v>
      </c>
      <c r="X205" s="19">
        <v>2080</v>
      </c>
      <c r="Y205" s="19">
        <v>0</v>
      </c>
      <c r="Z205" s="19">
        <v>12</v>
      </c>
      <c r="AA205" s="14">
        <v>0</v>
      </c>
    </row>
    <row r="206" spans="1:27">
      <c r="A206" s="16">
        <v>46160.125</v>
      </c>
      <c r="B206" s="17">
        <v>46160</v>
      </c>
      <c r="C206" s="18">
        <v>0.125</v>
      </c>
      <c r="D206" t="s">
        <v>75</v>
      </c>
      <c r="E206" t="s">
        <v>142</v>
      </c>
      <c r="F206">
        <v>3</v>
      </c>
      <c r="G206" s="4">
        <v>6.1</v>
      </c>
      <c r="H206" s="4">
        <v>6.1</v>
      </c>
      <c r="I206" s="4">
        <v>1.2</v>
      </c>
      <c r="J206" s="4">
        <v>7.5</v>
      </c>
      <c r="K206" s="4">
        <v>7.5</v>
      </c>
      <c r="L206" s="4">
        <v>10.6</v>
      </c>
      <c r="M206" s="4">
        <v>17.05</v>
      </c>
      <c r="N206" s="4">
        <v>17.05</v>
      </c>
      <c r="O206" s="4">
        <v>2.15</v>
      </c>
      <c r="P206" s="4">
        <v>0</v>
      </c>
      <c r="Q206" s="4">
        <v>0</v>
      </c>
      <c r="R206" s="4">
        <v>8.0299999999999994</v>
      </c>
      <c r="S206" s="19">
        <v>0</v>
      </c>
      <c r="T206" s="19">
        <v>888</v>
      </c>
      <c r="U206" s="19">
        <v>0</v>
      </c>
      <c r="V206" s="19">
        <v>20</v>
      </c>
      <c r="W206" s="19">
        <v>8</v>
      </c>
      <c r="X206" s="19">
        <v>2184</v>
      </c>
      <c r="Y206" s="19">
        <v>4</v>
      </c>
      <c r="Z206" s="19">
        <v>16</v>
      </c>
      <c r="AA206" s="14">
        <v>0</v>
      </c>
    </row>
    <row r="207" spans="1:27">
      <c r="A207" s="16">
        <v>46160.135416666664</v>
      </c>
      <c r="B207" s="17">
        <v>46160</v>
      </c>
      <c r="C207" s="18">
        <v>0.13541666666666666</v>
      </c>
      <c r="D207" t="s">
        <v>75</v>
      </c>
      <c r="E207" t="s">
        <v>142</v>
      </c>
      <c r="F207">
        <v>3</v>
      </c>
      <c r="G207" s="4">
        <v>0</v>
      </c>
      <c r="H207" s="4">
        <v>0</v>
      </c>
      <c r="I207" s="4">
        <v>3.02</v>
      </c>
      <c r="J207" s="4">
        <v>0</v>
      </c>
      <c r="K207" s="4">
        <v>0</v>
      </c>
      <c r="L207" s="4">
        <v>10.9</v>
      </c>
      <c r="M207" s="4">
        <v>7.1</v>
      </c>
      <c r="N207" s="4">
        <v>7.1</v>
      </c>
      <c r="O207" s="4">
        <v>3.38</v>
      </c>
      <c r="P207" s="4">
        <v>38</v>
      </c>
      <c r="Q207" s="4">
        <v>38</v>
      </c>
      <c r="R207" s="4">
        <v>8.9</v>
      </c>
      <c r="S207" s="19">
        <v>0</v>
      </c>
      <c r="T207" s="19">
        <v>972</v>
      </c>
      <c r="U207" s="19">
        <v>8</v>
      </c>
      <c r="V207" s="19">
        <v>24</v>
      </c>
      <c r="W207" s="19">
        <v>12</v>
      </c>
      <c r="X207" s="19">
        <v>2032</v>
      </c>
      <c r="Y207" s="19">
        <v>8</v>
      </c>
      <c r="Z207" s="19">
        <v>24</v>
      </c>
      <c r="AA207" s="14">
        <v>0</v>
      </c>
    </row>
    <row r="208" spans="1:27">
      <c r="A208" s="16">
        <v>46160.145833333336</v>
      </c>
      <c r="B208" s="17">
        <v>46160</v>
      </c>
      <c r="C208" s="18">
        <v>0.14583333333333334</v>
      </c>
      <c r="D208" t="s">
        <v>75</v>
      </c>
      <c r="E208" t="s">
        <v>142</v>
      </c>
      <c r="F208">
        <v>3</v>
      </c>
      <c r="G208" s="4">
        <v>0</v>
      </c>
      <c r="H208" s="4">
        <v>0</v>
      </c>
      <c r="I208" s="4">
        <v>3.7</v>
      </c>
      <c r="J208" s="4">
        <v>0</v>
      </c>
      <c r="K208" s="4">
        <v>0</v>
      </c>
      <c r="L208" s="4">
        <v>14.5</v>
      </c>
      <c r="M208" s="4">
        <v>6.5</v>
      </c>
      <c r="N208" s="4">
        <v>6.5</v>
      </c>
      <c r="O208" s="4">
        <v>3.55</v>
      </c>
      <c r="P208" s="4">
        <v>19.600000000000001</v>
      </c>
      <c r="Q208" s="4">
        <v>19.600000000000001</v>
      </c>
      <c r="R208" s="4">
        <v>9.7799999999999994</v>
      </c>
      <c r="S208" s="19">
        <v>0</v>
      </c>
      <c r="T208" s="19">
        <v>864</v>
      </c>
      <c r="U208" s="19">
        <v>0</v>
      </c>
      <c r="V208" s="19">
        <v>28</v>
      </c>
      <c r="W208" s="19">
        <v>20</v>
      </c>
      <c r="X208" s="19">
        <v>1720</v>
      </c>
      <c r="Y208" s="19">
        <v>12</v>
      </c>
      <c r="Z208" s="19">
        <v>20</v>
      </c>
      <c r="AA208" s="14">
        <v>0</v>
      </c>
    </row>
    <row r="209" spans="1:27">
      <c r="A209" s="16">
        <v>46160.15625</v>
      </c>
      <c r="B209" s="17">
        <v>46160</v>
      </c>
      <c r="C209" s="18">
        <v>0.15625</v>
      </c>
      <c r="D209" t="s">
        <v>75</v>
      </c>
      <c r="E209" t="s">
        <v>142</v>
      </c>
      <c r="F209">
        <v>3</v>
      </c>
      <c r="G209" s="4">
        <v>0</v>
      </c>
      <c r="H209" s="4">
        <v>0</v>
      </c>
      <c r="I209" s="4">
        <v>3.55</v>
      </c>
      <c r="J209" s="4">
        <v>0</v>
      </c>
      <c r="K209" s="4">
        <v>0</v>
      </c>
      <c r="L209" s="4">
        <v>9.8000000000000007</v>
      </c>
      <c r="M209" s="4">
        <v>8.84</v>
      </c>
      <c r="N209" s="4">
        <v>8.84</v>
      </c>
      <c r="O209" s="4">
        <v>3.32</v>
      </c>
      <c r="P209" s="4">
        <v>6.9</v>
      </c>
      <c r="Q209" s="4">
        <v>6.9</v>
      </c>
      <c r="R209" s="4">
        <v>10.65</v>
      </c>
      <c r="S209" s="19">
        <v>0</v>
      </c>
      <c r="T209" s="19">
        <v>900</v>
      </c>
      <c r="U209" s="19">
        <v>4</v>
      </c>
      <c r="V209" s="19">
        <v>28</v>
      </c>
      <c r="W209" s="19">
        <v>12</v>
      </c>
      <c r="X209" s="19">
        <v>1772</v>
      </c>
      <c r="Y209" s="19">
        <v>4</v>
      </c>
      <c r="Z209" s="19">
        <v>20</v>
      </c>
      <c r="AA209" s="14">
        <v>0</v>
      </c>
    </row>
    <row r="210" spans="1:27">
      <c r="A210" s="16">
        <v>46160.166666666664</v>
      </c>
      <c r="B210" s="17">
        <v>46160</v>
      </c>
      <c r="C210" s="18">
        <v>0.16666666666666666</v>
      </c>
      <c r="D210" t="s">
        <v>75</v>
      </c>
      <c r="E210" t="s">
        <v>142</v>
      </c>
      <c r="F210">
        <v>3</v>
      </c>
      <c r="G210" s="4">
        <v>0</v>
      </c>
      <c r="H210" s="4">
        <v>0</v>
      </c>
      <c r="I210" s="4">
        <v>5.55</v>
      </c>
      <c r="J210" s="4">
        <v>34.799999999999997</v>
      </c>
      <c r="K210" s="4">
        <v>34.799999999999997</v>
      </c>
      <c r="L210" s="4">
        <v>11.2</v>
      </c>
      <c r="M210" s="4">
        <v>35.5</v>
      </c>
      <c r="N210" s="4">
        <v>35.5</v>
      </c>
      <c r="O210" s="4">
        <v>4.04</v>
      </c>
      <c r="P210" s="4">
        <v>16.2</v>
      </c>
      <c r="Q210" s="4">
        <v>16.2</v>
      </c>
      <c r="R210" s="4">
        <v>7.78</v>
      </c>
      <c r="S210" s="19">
        <v>4</v>
      </c>
      <c r="T210" s="19">
        <v>952</v>
      </c>
      <c r="U210" s="19">
        <v>0</v>
      </c>
      <c r="V210" s="19">
        <v>8</v>
      </c>
      <c r="W210" s="19">
        <v>4</v>
      </c>
      <c r="X210" s="19">
        <v>1684</v>
      </c>
      <c r="Y210" s="19">
        <v>0</v>
      </c>
      <c r="Z210" s="19">
        <v>28</v>
      </c>
      <c r="AA210" s="14">
        <v>0</v>
      </c>
    </row>
    <row r="211" spans="1:27">
      <c r="A211" s="16">
        <v>46160.177083333336</v>
      </c>
      <c r="B211" s="17">
        <v>46160</v>
      </c>
      <c r="C211" s="18">
        <v>0.17708333333333334</v>
      </c>
      <c r="D211" t="s">
        <v>75</v>
      </c>
      <c r="E211" t="s">
        <v>142</v>
      </c>
      <c r="F211">
        <v>3</v>
      </c>
      <c r="G211" s="4">
        <v>24.4</v>
      </c>
      <c r="H211" s="4">
        <v>24.4</v>
      </c>
      <c r="I211" s="4">
        <v>1.34</v>
      </c>
      <c r="J211" s="4">
        <v>0</v>
      </c>
      <c r="K211" s="4">
        <v>0</v>
      </c>
      <c r="L211" s="4">
        <v>0</v>
      </c>
      <c r="M211" s="4">
        <v>6.1</v>
      </c>
      <c r="N211" s="4">
        <v>6.1</v>
      </c>
      <c r="O211" s="4">
        <v>1.9</v>
      </c>
      <c r="P211" s="4">
        <v>0</v>
      </c>
      <c r="Q211" s="4">
        <v>0</v>
      </c>
      <c r="R211" s="4">
        <v>11.22</v>
      </c>
      <c r="S211" s="19">
        <v>20</v>
      </c>
      <c r="T211" s="19">
        <v>1044</v>
      </c>
      <c r="U211" s="19">
        <v>16</v>
      </c>
      <c r="V211" s="19">
        <v>56</v>
      </c>
      <c r="W211" s="19">
        <v>8</v>
      </c>
      <c r="X211" s="19">
        <v>1652</v>
      </c>
      <c r="Y211" s="19">
        <v>60</v>
      </c>
      <c r="Z211" s="19">
        <v>32</v>
      </c>
      <c r="AA211" s="14">
        <v>0</v>
      </c>
    </row>
    <row r="212" spans="1:27">
      <c r="A212" s="16">
        <v>46160.1875</v>
      </c>
      <c r="B212" s="17">
        <v>46160</v>
      </c>
      <c r="C212" s="18">
        <v>0.1875</v>
      </c>
      <c r="D212" t="s">
        <v>75</v>
      </c>
      <c r="E212" t="s">
        <v>142</v>
      </c>
      <c r="F212">
        <v>3</v>
      </c>
      <c r="G212" s="4">
        <v>14.8</v>
      </c>
      <c r="H212" s="4">
        <v>14.8</v>
      </c>
      <c r="I212" s="4">
        <v>2.79</v>
      </c>
      <c r="J212" s="4">
        <v>6.55</v>
      </c>
      <c r="K212" s="4">
        <v>6.55</v>
      </c>
      <c r="L212" s="4">
        <v>12.13</v>
      </c>
      <c r="M212" s="4">
        <v>6.1</v>
      </c>
      <c r="N212" s="4">
        <v>6.1</v>
      </c>
      <c r="O212" s="4">
        <v>1.66</v>
      </c>
      <c r="P212" s="4">
        <v>12.1</v>
      </c>
      <c r="Q212" s="4">
        <v>12.1</v>
      </c>
      <c r="R212" s="4">
        <v>12.82</v>
      </c>
      <c r="S212" s="19">
        <v>0</v>
      </c>
      <c r="T212" s="19">
        <v>924</v>
      </c>
      <c r="U212" s="19">
        <v>0</v>
      </c>
      <c r="V212" s="19">
        <v>20</v>
      </c>
      <c r="W212" s="19">
        <v>32</v>
      </c>
      <c r="X212" s="19">
        <v>1556</v>
      </c>
      <c r="Y212" s="19">
        <v>44</v>
      </c>
      <c r="Z212" s="19">
        <v>52</v>
      </c>
      <c r="AA212" s="14">
        <v>0</v>
      </c>
    </row>
    <row r="213" spans="1:27">
      <c r="A213" s="16">
        <v>46160.197916666664</v>
      </c>
      <c r="B213" s="17">
        <v>46160</v>
      </c>
      <c r="C213" s="18">
        <v>0.19791666666666666</v>
      </c>
      <c r="D213" t="s">
        <v>75</v>
      </c>
      <c r="E213" t="s">
        <v>142</v>
      </c>
      <c r="F213">
        <v>3</v>
      </c>
      <c r="G213" s="4">
        <v>0</v>
      </c>
      <c r="H213" s="4">
        <v>0</v>
      </c>
      <c r="I213" s="4">
        <v>2.56</v>
      </c>
      <c r="J213" s="4">
        <v>0</v>
      </c>
      <c r="K213" s="4">
        <v>0</v>
      </c>
      <c r="L213" s="4">
        <v>11.93</v>
      </c>
      <c r="M213" s="4">
        <v>12.4</v>
      </c>
      <c r="N213" s="4">
        <v>12.4</v>
      </c>
      <c r="O213" s="4">
        <v>5.64</v>
      </c>
      <c r="P213" s="4">
        <v>7.6</v>
      </c>
      <c r="Q213" s="4">
        <v>7.6</v>
      </c>
      <c r="R213" s="4">
        <v>14.59</v>
      </c>
      <c r="S213" s="19">
        <v>20</v>
      </c>
      <c r="T213" s="19">
        <v>1048</v>
      </c>
      <c r="U213" s="19">
        <v>20</v>
      </c>
      <c r="V213" s="19">
        <v>148</v>
      </c>
      <c r="W213" s="19">
        <v>40</v>
      </c>
      <c r="X213" s="19">
        <v>1952</v>
      </c>
      <c r="Y213" s="19">
        <v>32</v>
      </c>
      <c r="Z213" s="19">
        <v>76</v>
      </c>
      <c r="AA213" s="14">
        <v>1</v>
      </c>
    </row>
    <row r="214" spans="1:27">
      <c r="A214" s="16">
        <v>46160.208333333336</v>
      </c>
      <c r="B214" s="17">
        <v>46160</v>
      </c>
      <c r="C214" s="18">
        <v>0.20833333333333334</v>
      </c>
      <c r="D214" t="s">
        <v>75</v>
      </c>
      <c r="E214" t="s">
        <v>142</v>
      </c>
      <c r="F214">
        <v>3</v>
      </c>
      <c r="G214" s="4">
        <v>10.3</v>
      </c>
      <c r="H214" s="4">
        <v>10.3</v>
      </c>
      <c r="I214" s="4">
        <v>9.86</v>
      </c>
      <c r="J214" s="4">
        <v>0</v>
      </c>
      <c r="K214" s="4">
        <v>0</v>
      </c>
      <c r="L214" s="4">
        <v>23.14</v>
      </c>
      <c r="M214" s="4">
        <v>24.8</v>
      </c>
      <c r="N214" s="4">
        <v>24.8</v>
      </c>
      <c r="O214" s="4">
        <v>11.54</v>
      </c>
      <c r="P214" s="4">
        <v>16.8</v>
      </c>
      <c r="Q214" s="4">
        <v>16.8</v>
      </c>
      <c r="R214" s="4">
        <v>22.21</v>
      </c>
      <c r="S214" s="19">
        <v>44</v>
      </c>
      <c r="T214" s="19">
        <v>1268</v>
      </c>
      <c r="U214" s="19">
        <v>24</v>
      </c>
      <c r="V214" s="19">
        <v>76</v>
      </c>
      <c r="W214" s="19">
        <v>48</v>
      </c>
      <c r="X214" s="19">
        <v>1976</v>
      </c>
      <c r="Y214" s="19">
        <v>24</v>
      </c>
      <c r="Z214" s="19">
        <v>88</v>
      </c>
      <c r="AA214" s="14">
        <v>0</v>
      </c>
    </row>
    <row r="215" spans="1:27">
      <c r="A215" s="16">
        <v>46160.21875</v>
      </c>
      <c r="B215" s="17">
        <v>46160</v>
      </c>
      <c r="C215" s="18">
        <v>0.21875</v>
      </c>
      <c r="D215" t="s">
        <v>75</v>
      </c>
      <c r="E215" t="s">
        <v>142</v>
      </c>
      <c r="F215">
        <v>3</v>
      </c>
      <c r="G215" s="4">
        <v>11.95</v>
      </c>
      <c r="H215" s="4">
        <v>11.95</v>
      </c>
      <c r="I215" s="4">
        <v>10.64</v>
      </c>
      <c r="J215" s="4">
        <v>49.4</v>
      </c>
      <c r="K215" s="4">
        <v>49.4</v>
      </c>
      <c r="L215" s="4">
        <v>18.579999999999998</v>
      </c>
      <c r="M215" s="4">
        <v>22.01</v>
      </c>
      <c r="N215" s="4">
        <v>22.01</v>
      </c>
      <c r="O215" s="4">
        <v>13.04</v>
      </c>
      <c r="P215" s="4">
        <v>41.6</v>
      </c>
      <c r="Q215" s="4">
        <v>41.6</v>
      </c>
      <c r="R215" s="4">
        <v>15.76</v>
      </c>
      <c r="S215" s="19">
        <v>28</v>
      </c>
      <c r="T215" s="19">
        <v>1044</v>
      </c>
      <c r="U215" s="19">
        <v>16</v>
      </c>
      <c r="V215" s="19">
        <v>60</v>
      </c>
      <c r="W215" s="19">
        <v>28</v>
      </c>
      <c r="X215" s="19">
        <v>1604</v>
      </c>
      <c r="Y215" s="19">
        <v>4</v>
      </c>
      <c r="Z215" s="19">
        <v>88</v>
      </c>
      <c r="AA215" s="14">
        <v>1</v>
      </c>
    </row>
    <row r="216" spans="1:27">
      <c r="A216" s="16">
        <v>46160.229166666664</v>
      </c>
      <c r="B216" s="17">
        <v>46160</v>
      </c>
      <c r="C216" s="18">
        <v>0.22916666666666666</v>
      </c>
      <c r="D216" t="s">
        <v>75</v>
      </c>
      <c r="E216" t="s">
        <v>142</v>
      </c>
      <c r="F216">
        <v>3</v>
      </c>
      <c r="G216" s="4">
        <v>21.13</v>
      </c>
      <c r="H216" s="4">
        <v>21.13</v>
      </c>
      <c r="I216" s="4">
        <v>14.87</v>
      </c>
      <c r="J216" s="4">
        <v>36.700000000000003</v>
      </c>
      <c r="K216" s="4">
        <v>36.700000000000003</v>
      </c>
      <c r="L216" s="4">
        <v>12.7</v>
      </c>
      <c r="M216" s="4">
        <v>34.07</v>
      </c>
      <c r="N216" s="4">
        <v>34.07</v>
      </c>
      <c r="O216" s="4">
        <v>5.24</v>
      </c>
      <c r="P216" s="4">
        <v>24.35</v>
      </c>
      <c r="Q216" s="4">
        <v>24.35</v>
      </c>
      <c r="R216" s="4">
        <v>16.29</v>
      </c>
      <c r="S216" s="19">
        <v>32</v>
      </c>
      <c r="T216" s="19">
        <v>1356</v>
      </c>
      <c r="U216" s="19">
        <v>20</v>
      </c>
      <c r="V216" s="19">
        <v>100</v>
      </c>
      <c r="W216" s="19">
        <v>40</v>
      </c>
      <c r="X216" s="19">
        <v>1940</v>
      </c>
      <c r="Y216" s="19">
        <v>20</v>
      </c>
      <c r="Z216" s="19">
        <v>120</v>
      </c>
      <c r="AA216" s="14">
        <v>0</v>
      </c>
    </row>
    <row r="217" spans="1:27">
      <c r="A217" s="16">
        <v>46160.239583333336</v>
      </c>
      <c r="B217" s="17">
        <v>46160</v>
      </c>
      <c r="C217" s="18">
        <v>0.23958333333333334</v>
      </c>
      <c r="D217" t="s">
        <v>75</v>
      </c>
      <c r="E217" t="s">
        <v>142</v>
      </c>
      <c r="F217">
        <v>3</v>
      </c>
      <c r="G217" s="4">
        <v>32.6</v>
      </c>
      <c r="H217" s="4">
        <v>32.6</v>
      </c>
      <c r="I217" s="4">
        <v>14.26</v>
      </c>
      <c r="J217" s="4">
        <v>26.5</v>
      </c>
      <c r="K217" s="4">
        <v>26.5</v>
      </c>
      <c r="L217" s="4">
        <v>22.07</v>
      </c>
      <c r="M217" s="4">
        <v>28.99</v>
      </c>
      <c r="N217" s="4">
        <v>28.99</v>
      </c>
      <c r="O217" s="4">
        <v>12.9</v>
      </c>
      <c r="P217" s="4">
        <v>28.23</v>
      </c>
      <c r="Q217" s="4">
        <v>28.23</v>
      </c>
      <c r="R217" s="4">
        <v>17.39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4">
        <v>0</v>
      </c>
    </row>
    <row r="218" spans="1:27">
      <c r="A218" s="16">
        <v>46160.25</v>
      </c>
      <c r="B218" s="17">
        <v>46160</v>
      </c>
      <c r="C218" s="18">
        <v>0.25</v>
      </c>
      <c r="D218" t="s">
        <v>75</v>
      </c>
      <c r="E218" t="s">
        <v>142</v>
      </c>
      <c r="F218">
        <v>3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19">
        <v>36</v>
      </c>
      <c r="T218" s="19">
        <v>184</v>
      </c>
      <c r="U218" s="19">
        <v>8</v>
      </c>
      <c r="V218" s="19">
        <v>16</v>
      </c>
      <c r="W218" s="19">
        <v>4</v>
      </c>
      <c r="X218" s="19">
        <v>296</v>
      </c>
      <c r="Y218" s="19">
        <v>4</v>
      </c>
      <c r="Z218" s="19">
        <v>24</v>
      </c>
      <c r="AA218" s="14">
        <v>1</v>
      </c>
    </row>
    <row r="219" spans="1:27">
      <c r="A219" s="16">
        <v>46160.260416666664</v>
      </c>
      <c r="B219" s="17">
        <v>46160</v>
      </c>
      <c r="C219" s="18">
        <v>0.26041666666666669</v>
      </c>
      <c r="D219" t="s">
        <v>75</v>
      </c>
      <c r="E219" t="s">
        <v>142</v>
      </c>
      <c r="F219">
        <v>3</v>
      </c>
      <c r="G219" s="4">
        <v>20.8</v>
      </c>
      <c r="H219" s="4">
        <v>20.8</v>
      </c>
      <c r="I219" s="4">
        <v>46.5</v>
      </c>
      <c r="J219" s="4">
        <v>6.7</v>
      </c>
      <c r="K219" s="4">
        <v>6.7</v>
      </c>
      <c r="L219" s="4">
        <v>0</v>
      </c>
      <c r="M219" s="4">
        <v>0</v>
      </c>
      <c r="N219" s="4">
        <v>0</v>
      </c>
      <c r="O219" s="4">
        <v>63.2</v>
      </c>
      <c r="P219" s="4">
        <v>51.7</v>
      </c>
      <c r="Q219" s="4">
        <v>51.7</v>
      </c>
      <c r="R219" s="4">
        <v>86</v>
      </c>
      <c r="S219" s="19">
        <v>68</v>
      </c>
      <c r="T219" s="19">
        <v>1568</v>
      </c>
      <c r="U219" s="19">
        <v>88</v>
      </c>
      <c r="V219" s="19">
        <v>160</v>
      </c>
      <c r="W219" s="19">
        <v>76</v>
      </c>
      <c r="X219" s="19">
        <v>2180</v>
      </c>
      <c r="Y219" s="19">
        <v>32</v>
      </c>
      <c r="Z219" s="19">
        <v>128</v>
      </c>
      <c r="AA219" s="14">
        <v>1</v>
      </c>
    </row>
    <row r="220" spans="1:27">
      <c r="A220" s="16">
        <v>46160.270833333336</v>
      </c>
      <c r="B220" s="17">
        <v>46160</v>
      </c>
      <c r="C220" s="18">
        <v>0.27083333333333331</v>
      </c>
      <c r="D220" t="s">
        <v>75</v>
      </c>
      <c r="E220" t="s">
        <v>142</v>
      </c>
      <c r="F220">
        <v>3</v>
      </c>
      <c r="G220" s="4">
        <v>28.07</v>
      </c>
      <c r="H220" s="4">
        <v>28.07</v>
      </c>
      <c r="I220" s="4">
        <v>19.829999999999998</v>
      </c>
      <c r="J220" s="4">
        <v>39.549999999999997</v>
      </c>
      <c r="K220" s="4">
        <v>39.549999999999997</v>
      </c>
      <c r="L220" s="4">
        <v>33.979999999999997</v>
      </c>
      <c r="M220" s="4">
        <v>27.94</v>
      </c>
      <c r="N220" s="4">
        <v>27.94</v>
      </c>
      <c r="O220" s="4">
        <v>18.5</v>
      </c>
      <c r="P220" s="4">
        <v>32.25</v>
      </c>
      <c r="Q220" s="4">
        <v>32.25</v>
      </c>
      <c r="R220" s="4">
        <v>30.39</v>
      </c>
      <c r="S220" s="19">
        <v>20</v>
      </c>
      <c r="T220" s="19">
        <v>1416</v>
      </c>
      <c r="U220" s="19">
        <v>32</v>
      </c>
      <c r="V220" s="19">
        <v>184</v>
      </c>
      <c r="W220" s="19">
        <v>60</v>
      </c>
      <c r="X220" s="19">
        <v>2400</v>
      </c>
      <c r="Y220" s="19">
        <v>96</v>
      </c>
      <c r="Z220" s="19">
        <v>156</v>
      </c>
      <c r="AA220" s="14">
        <v>1</v>
      </c>
    </row>
    <row r="221" spans="1:27">
      <c r="A221" s="16">
        <v>46160.28125</v>
      </c>
      <c r="B221" s="17">
        <v>46160</v>
      </c>
      <c r="C221" s="18">
        <v>0.28125</v>
      </c>
      <c r="D221" t="s">
        <v>75</v>
      </c>
      <c r="E221" t="s">
        <v>142</v>
      </c>
      <c r="F221">
        <v>3</v>
      </c>
      <c r="G221" s="4">
        <v>53.65</v>
      </c>
      <c r="H221" s="4">
        <v>53.65</v>
      </c>
      <c r="I221" s="4">
        <v>16.78</v>
      </c>
      <c r="J221" s="4">
        <v>48.65</v>
      </c>
      <c r="K221" s="4">
        <v>48.65</v>
      </c>
      <c r="L221" s="4">
        <v>71.66</v>
      </c>
      <c r="M221" s="4">
        <v>104.35</v>
      </c>
      <c r="N221" s="4">
        <v>104.35</v>
      </c>
      <c r="O221" s="4">
        <v>51.8</v>
      </c>
      <c r="P221" s="4">
        <v>108.83</v>
      </c>
      <c r="Q221" s="4">
        <v>108.83</v>
      </c>
      <c r="R221" s="4">
        <v>80.58</v>
      </c>
      <c r="S221" s="19">
        <v>64</v>
      </c>
      <c r="T221" s="19">
        <v>1664</v>
      </c>
      <c r="U221" s="19">
        <v>32</v>
      </c>
      <c r="V221" s="19">
        <v>228</v>
      </c>
      <c r="W221" s="19">
        <v>48</v>
      </c>
      <c r="X221" s="19">
        <v>2352</v>
      </c>
      <c r="Y221" s="19">
        <v>72</v>
      </c>
      <c r="Z221" s="19">
        <v>108</v>
      </c>
      <c r="AA221" s="14">
        <v>1</v>
      </c>
    </row>
    <row r="222" spans="1:27">
      <c r="A222" s="16">
        <v>46160.291666666664</v>
      </c>
      <c r="B222" s="17">
        <v>46160</v>
      </c>
      <c r="C222" s="18">
        <v>0.29166666666666669</v>
      </c>
      <c r="D222" t="s">
        <v>75</v>
      </c>
      <c r="E222" t="s">
        <v>142</v>
      </c>
      <c r="F222">
        <v>3</v>
      </c>
      <c r="G222" s="4">
        <v>82.97</v>
      </c>
      <c r="H222" s="4">
        <v>82.97</v>
      </c>
      <c r="I222" s="4">
        <v>41.13</v>
      </c>
      <c r="J222" s="4">
        <v>76.72</v>
      </c>
      <c r="K222" s="4">
        <v>76.72</v>
      </c>
      <c r="L222" s="4">
        <v>72.17</v>
      </c>
      <c r="M222" s="4">
        <v>95.47</v>
      </c>
      <c r="N222" s="4">
        <v>95.47</v>
      </c>
      <c r="O222" s="4">
        <v>54.48</v>
      </c>
      <c r="P222" s="4">
        <v>64.83</v>
      </c>
      <c r="Q222" s="4">
        <v>64.83</v>
      </c>
      <c r="R222" s="4">
        <v>84.58</v>
      </c>
      <c r="S222" s="19">
        <v>224</v>
      </c>
      <c r="T222" s="19">
        <v>1628</v>
      </c>
      <c r="U222" s="19">
        <v>60</v>
      </c>
      <c r="V222" s="19">
        <v>296</v>
      </c>
      <c r="W222" s="19">
        <v>48</v>
      </c>
      <c r="X222" s="19">
        <v>1956</v>
      </c>
      <c r="Y222" s="19">
        <v>48</v>
      </c>
      <c r="Z222" s="19">
        <v>116</v>
      </c>
      <c r="AA222" s="14">
        <v>1</v>
      </c>
    </row>
    <row r="223" spans="1:27">
      <c r="A223" s="16">
        <v>46160.302083333336</v>
      </c>
      <c r="B223" s="17">
        <v>46160</v>
      </c>
      <c r="C223" s="18">
        <v>0.30208333333333331</v>
      </c>
      <c r="D223" t="s">
        <v>75</v>
      </c>
      <c r="E223" t="s">
        <v>142</v>
      </c>
      <c r="F223">
        <v>3</v>
      </c>
      <c r="G223" s="4">
        <v>49.45</v>
      </c>
      <c r="H223" s="4">
        <v>49.45</v>
      </c>
      <c r="I223" s="4">
        <v>34.1</v>
      </c>
      <c r="J223" s="4">
        <v>45.15</v>
      </c>
      <c r="K223" s="4">
        <v>45.15</v>
      </c>
      <c r="L223" s="4">
        <v>67.42</v>
      </c>
      <c r="M223" s="4">
        <v>91.65</v>
      </c>
      <c r="N223" s="4">
        <v>91.65</v>
      </c>
      <c r="O223" s="4">
        <v>89.1</v>
      </c>
      <c r="P223" s="4">
        <v>37.24</v>
      </c>
      <c r="Q223" s="4">
        <v>37.24</v>
      </c>
      <c r="R223" s="4">
        <v>109.38</v>
      </c>
      <c r="S223" s="19">
        <v>176</v>
      </c>
      <c r="T223" s="19">
        <v>1604</v>
      </c>
      <c r="U223" s="19">
        <v>36</v>
      </c>
      <c r="V223" s="19">
        <v>332</v>
      </c>
      <c r="W223" s="19">
        <v>32</v>
      </c>
      <c r="X223" s="19">
        <v>2280</v>
      </c>
      <c r="Y223" s="19">
        <v>68</v>
      </c>
      <c r="Z223" s="19">
        <v>140</v>
      </c>
      <c r="AA223" s="14">
        <v>1</v>
      </c>
    </row>
    <row r="224" spans="1:27">
      <c r="A224" s="16">
        <v>46160.3125</v>
      </c>
      <c r="B224" s="17">
        <v>46160</v>
      </c>
      <c r="C224" s="18">
        <v>0.3125</v>
      </c>
      <c r="D224" t="s">
        <v>75</v>
      </c>
      <c r="E224" t="s">
        <v>142</v>
      </c>
      <c r="F224">
        <v>3</v>
      </c>
      <c r="G224" s="4">
        <v>96.48</v>
      </c>
      <c r="H224" s="4">
        <v>96.48</v>
      </c>
      <c r="I224" s="4">
        <v>68.45</v>
      </c>
      <c r="J224" s="4">
        <v>70.45</v>
      </c>
      <c r="K224" s="4">
        <v>70.45</v>
      </c>
      <c r="L224" s="4">
        <v>59.38</v>
      </c>
      <c r="M224" s="4">
        <v>170.27</v>
      </c>
      <c r="N224" s="4">
        <v>170.27</v>
      </c>
      <c r="O224" s="4">
        <v>70.400000000000006</v>
      </c>
      <c r="P224" s="4">
        <v>100.66</v>
      </c>
      <c r="Q224" s="4">
        <v>100.66</v>
      </c>
      <c r="R224" s="4">
        <v>86.3</v>
      </c>
      <c r="S224" s="19">
        <v>120</v>
      </c>
      <c r="T224" s="19">
        <v>1912</v>
      </c>
      <c r="U224" s="19">
        <v>104</v>
      </c>
      <c r="V224" s="19">
        <v>304</v>
      </c>
      <c r="W224" s="19">
        <v>48</v>
      </c>
      <c r="X224" s="19">
        <v>2504</v>
      </c>
      <c r="Y224" s="19">
        <v>80</v>
      </c>
      <c r="Z224" s="19">
        <v>104</v>
      </c>
      <c r="AA224" s="14">
        <v>1</v>
      </c>
    </row>
    <row r="225" spans="1:27">
      <c r="A225" s="16">
        <v>46160.322916666664</v>
      </c>
      <c r="B225" s="17">
        <v>46160</v>
      </c>
      <c r="C225" s="18">
        <v>0.32291666666666669</v>
      </c>
      <c r="D225" t="s">
        <v>75</v>
      </c>
      <c r="E225" t="s">
        <v>142</v>
      </c>
      <c r="F225">
        <v>3</v>
      </c>
      <c r="G225" s="4">
        <v>140.1</v>
      </c>
      <c r="H225" s="4">
        <v>140.1</v>
      </c>
      <c r="I225" s="4">
        <v>87.93</v>
      </c>
      <c r="J225" s="4">
        <v>53.05</v>
      </c>
      <c r="K225" s="4">
        <v>53.05</v>
      </c>
      <c r="L225" s="4">
        <v>57.72</v>
      </c>
      <c r="M225" s="4">
        <v>78.77</v>
      </c>
      <c r="N225" s="4">
        <v>78.77</v>
      </c>
      <c r="O225" s="4">
        <v>99.66</v>
      </c>
      <c r="P225" s="4">
        <v>77.02</v>
      </c>
      <c r="Q225" s="4">
        <v>77.02</v>
      </c>
      <c r="R225" s="4">
        <v>93.64</v>
      </c>
      <c r="S225" s="19">
        <v>216</v>
      </c>
      <c r="T225" s="19">
        <v>2288</v>
      </c>
      <c r="U225" s="19">
        <v>88</v>
      </c>
      <c r="V225" s="19">
        <v>544</v>
      </c>
      <c r="W225" s="19">
        <v>76</v>
      </c>
      <c r="X225" s="19">
        <v>2892</v>
      </c>
      <c r="Y225" s="19">
        <v>92</v>
      </c>
      <c r="Z225" s="19">
        <v>204</v>
      </c>
      <c r="AA225" s="14">
        <v>1</v>
      </c>
    </row>
    <row r="226" spans="1:27">
      <c r="A226" s="16">
        <v>46160.333333333336</v>
      </c>
      <c r="B226" s="17">
        <v>46160</v>
      </c>
      <c r="C226" s="18">
        <v>0.33333333333333331</v>
      </c>
      <c r="D226" t="s">
        <v>75</v>
      </c>
      <c r="E226" t="s">
        <v>142</v>
      </c>
      <c r="F226">
        <v>3</v>
      </c>
      <c r="G226" s="4">
        <v>79.849999999999994</v>
      </c>
      <c r="H226" s="4">
        <v>79.849999999999994</v>
      </c>
      <c r="I226" s="4">
        <v>70.95</v>
      </c>
      <c r="J226" s="4">
        <v>75.36</v>
      </c>
      <c r="K226" s="4">
        <v>75.36</v>
      </c>
      <c r="L226" s="4">
        <v>62.16</v>
      </c>
      <c r="M226" s="4">
        <v>97.48</v>
      </c>
      <c r="N226" s="4">
        <v>97.48</v>
      </c>
      <c r="O226" s="4">
        <v>74.430000000000007</v>
      </c>
      <c r="P226" s="4">
        <v>53.2</v>
      </c>
      <c r="Q226" s="4">
        <v>53.2</v>
      </c>
      <c r="R226" s="4">
        <v>84.63</v>
      </c>
      <c r="S226" s="19">
        <v>156</v>
      </c>
      <c r="T226" s="19">
        <v>2508</v>
      </c>
      <c r="U226" s="19">
        <v>84</v>
      </c>
      <c r="V226" s="19">
        <v>432</v>
      </c>
      <c r="W226" s="19">
        <v>68</v>
      </c>
      <c r="X226" s="19">
        <v>2868</v>
      </c>
      <c r="Y226" s="19">
        <v>104</v>
      </c>
      <c r="Z226" s="19">
        <v>184</v>
      </c>
      <c r="AA226" s="14">
        <v>0</v>
      </c>
    </row>
    <row r="227" spans="1:27">
      <c r="A227" s="16">
        <v>46160.34375</v>
      </c>
      <c r="B227" s="17">
        <v>46160</v>
      </c>
      <c r="C227" s="18">
        <v>0.34375</v>
      </c>
      <c r="D227" t="s">
        <v>75</v>
      </c>
      <c r="E227" t="s">
        <v>142</v>
      </c>
      <c r="F227">
        <v>3</v>
      </c>
      <c r="G227" s="4">
        <v>80.260000000000005</v>
      </c>
      <c r="H227" s="4">
        <v>80.260000000000005</v>
      </c>
      <c r="I227" s="4">
        <v>72.23</v>
      </c>
      <c r="J227" s="4">
        <v>65.540000000000006</v>
      </c>
      <c r="K227" s="4">
        <v>65.540000000000006</v>
      </c>
      <c r="L227" s="4">
        <v>55.38</v>
      </c>
      <c r="M227" s="4">
        <v>81.3</v>
      </c>
      <c r="N227" s="4">
        <v>81.3</v>
      </c>
      <c r="O227" s="4">
        <v>69.47</v>
      </c>
      <c r="P227" s="4">
        <v>73.739999999999995</v>
      </c>
      <c r="Q227" s="4">
        <v>73.739999999999995</v>
      </c>
      <c r="R227" s="4">
        <v>83.92</v>
      </c>
      <c r="S227" s="19">
        <v>224</v>
      </c>
      <c r="T227" s="19">
        <v>2312</v>
      </c>
      <c r="U227" s="19">
        <v>136</v>
      </c>
      <c r="V227" s="19">
        <v>328</v>
      </c>
      <c r="W227" s="19">
        <v>72</v>
      </c>
      <c r="X227" s="19">
        <v>2980</v>
      </c>
      <c r="Y227" s="19">
        <v>96</v>
      </c>
      <c r="Z227" s="19">
        <v>180</v>
      </c>
      <c r="AA227" s="14">
        <v>0</v>
      </c>
    </row>
    <row r="228" spans="1:27">
      <c r="A228" s="16">
        <v>46160.354166666664</v>
      </c>
      <c r="B228" s="17">
        <v>46160</v>
      </c>
      <c r="C228" s="18">
        <v>0.35416666666666669</v>
      </c>
      <c r="D228" t="s">
        <v>75</v>
      </c>
      <c r="E228" t="s">
        <v>142</v>
      </c>
      <c r="F228">
        <v>3</v>
      </c>
      <c r="G228" s="4">
        <v>89.13</v>
      </c>
      <c r="H228" s="4">
        <v>89.13</v>
      </c>
      <c r="I228" s="4">
        <v>60.07</v>
      </c>
      <c r="J228" s="4">
        <v>51.13</v>
      </c>
      <c r="K228" s="4">
        <v>51.13</v>
      </c>
      <c r="L228" s="4">
        <v>77.959999999999994</v>
      </c>
      <c r="M228" s="4">
        <v>95.04</v>
      </c>
      <c r="N228" s="4">
        <v>95.04</v>
      </c>
      <c r="O228" s="4">
        <v>63.25</v>
      </c>
      <c r="P228" s="4">
        <v>77.7</v>
      </c>
      <c r="Q228" s="4">
        <v>77.7</v>
      </c>
      <c r="R228" s="4">
        <v>91.47</v>
      </c>
      <c r="S228" s="19">
        <v>108</v>
      </c>
      <c r="T228" s="19">
        <v>1792</v>
      </c>
      <c r="U228" s="19">
        <v>88</v>
      </c>
      <c r="V228" s="19">
        <v>472</v>
      </c>
      <c r="W228" s="19">
        <v>52</v>
      </c>
      <c r="X228" s="19">
        <v>2540</v>
      </c>
      <c r="Y228" s="19">
        <v>124</v>
      </c>
      <c r="Z228" s="19">
        <v>172</v>
      </c>
      <c r="AA228" s="14">
        <v>1</v>
      </c>
    </row>
    <row r="229" spans="1:27">
      <c r="A229" s="16">
        <v>46160.364583333336</v>
      </c>
      <c r="B229" s="17">
        <v>46160</v>
      </c>
      <c r="C229" s="18">
        <v>0.36458333333333331</v>
      </c>
      <c r="D229" t="s">
        <v>75</v>
      </c>
      <c r="E229" t="s">
        <v>142</v>
      </c>
      <c r="F229">
        <v>3</v>
      </c>
      <c r="G229" s="4">
        <v>96.67</v>
      </c>
      <c r="H229" s="4">
        <v>96.67</v>
      </c>
      <c r="I229" s="4">
        <v>58.7</v>
      </c>
      <c r="J229" s="4">
        <v>76.150000000000006</v>
      </c>
      <c r="K229" s="4">
        <v>76.150000000000006</v>
      </c>
      <c r="L229" s="4">
        <v>81.67</v>
      </c>
      <c r="M229" s="4">
        <v>58.45</v>
      </c>
      <c r="N229" s="4">
        <v>58.45</v>
      </c>
      <c r="O229" s="4">
        <v>80.25</v>
      </c>
      <c r="P229" s="4">
        <v>62.12</v>
      </c>
      <c r="Q229" s="4">
        <v>62.12</v>
      </c>
      <c r="R229" s="4">
        <v>80.400000000000006</v>
      </c>
      <c r="S229" s="19">
        <v>232</v>
      </c>
      <c r="T229" s="19">
        <v>2372</v>
      </c>
      <c r="U229" s="19">
        <v>144</v>
      </c>
      <c r="V229" s="19">
        <v>524</v>
      </c>
      <c r="W229" s="19">
        <v>44</v>
      </c>
      <c r="X229" s="19">
        <v>3076</v>
      </c>
      <c r="Y229" s="19">
        <v>164</v>
      </c>
      <c r="Z229" s="19">
        <v>208</v>
      </c>
      <c r="AA229" s="14">
        <v>1</v>
      </c>
    </row>
    <row r="230" spans="1:27">
      <c r="A230" s="16">
        <v>46160.375</v>
      </c>
      <c r="B230" s="17">
        <v>46160</v>
      </c>
      <c r="C230" s="18">
        <v>0.375</v>
      </c>
      <c r="D230" t="s">
        <v>75</v>
      </c>
      <c r="E230" t="s">
        <v>142</v>
      </c>
      <c r="F230">
        <v>3</v>
      </c>
      <c r="G230" s="4">
        <v>86.23</v>
      </c>
      <c r="H230" s="4">
        <v>86.23</v>
      </c>
      <c r="I230" s="4">
        <v>76.349999999999994</v>
      </c>
      <c r="J230" s="4">
        <v>74.319999999999993</v>
      </c>
      <c r="K230" s="4">
        <v>74.319999999999993</v>
      </c>
      <c r="L230" s="4">
        <v>70.48</v>
      </c>
      <c r="M230" s="4">
        <v>104.8</v>
      </c>
      <c r="N230" s="4">
        <v>104.8</v>
      </c>
      <c r="O230" s="4">
        <v>82.05</v>
      </c>
      <c r="P230" s="4">
        <v>80</v>
      </c>
      <c r="Q230" s="4">
        <v>80</v>
      </c>
      <c r="R230" s="4">
        <v>78.17</v>
      </c>
      <c r="S230" s="19">
        <v>304</v>
      </c>
      <c r="T230" s="19">
        <v>2196</v>
      </c>
      <c r="U230" s="19">
        <v>116</v>
      </c>
      <c r="V230" s="19">
        <v>448</v>
      </c>
      <c r="W230" s="19">
        <v>72</v>
      </c>
      <c r="X230" s="19">
        <v>2912</v>
      </c>
      <c r="Y230" s="19">
        <v>84</v>
      </c>
      <c r="Z230" s="19">
        <v>144</v>
      </c>
      <c r="AA230" s="14">
        <v>1</v>
      </c>
    </row>
    <row r="231" spans="1:27">
      <c r="A231" s="16">
        <v>46160.385416666664</v>
      </c>
      <c r="B231" s="17">
        <v>46160</v>
      </c>
      <c r="C231" s="18">
        <v>0.38541666666666669</v>
      </c>
      <c r="D231" t="s">
        <v>75</v>
      </c>
      <c r="E231" t="s">
        <v>142</v>
      </c>
      <c r="F231">
        <v>3</v>
      </c>
      <c r="G231" s="4">
        <v>90.56</v>
      </c>
      <c r="H231" s="4">
        <v>90.56</v>
      </c>
      <c r="I231" s="4">
        <v>69.17</v>
      </c>
      <c r="J231" s="4">
        <v>58.48</v>
      </c>
      <c r="K231" s="4">
        <v>58.48</v>
      </c>
      <c r="L231" s="4">
        <v>76</v>
      </c>
      <c r="M231" s="4">
        <v>91.97</v>
      </c>
      <c r="N231" s="4">
        <v>91.97</v>
      </c>
      <c r="O231" s="4">
        <v>77.28</v>
      </c>
      <c r="P231" s="4">
        <v>77.94</v>
      </c>
      <c r="Q231" s="4">
        <v>77.94</v>
      </c>
      <c r="R231" s="4">
        <v>86.87</v>
      </c>
      <c r="S231" s="19">
        <v>160</v>
      </c>
      <c r="T231" s="19">
        <v>2120</v>
      </c>
      <c r="U231" s="19">
        <v>196</v>
      </c>
      <c r="V231" s="19">
        <v>384</v>
      </c>
      <c r="W231" s="19">
        <v>52</v>
      </c>
      <c r="X231" s="19">
        <v>2736</v>
      </c>
      <c r="Y231" s="19">
        <v>116</v>
      </c>
      <c r="Z231" s="19">
        <v>184</v>
      </c>
      <c r="AA231" s="14">
        <v>1</v>
      </c>
    </row>
    <row r="232" spans="1:27">
      <c r="A232" s="16">
        <v>46160.395833333336</v>
      </c>
      <c r="B232" s="17">
        <v>46160</v>
      </c>
      <c r="C232" s="18">
        <v>0.39583333333333331</v>
      </c>
      <c r="D232" t="s">
        <v>75</v>
      </c>
      <c r="E232" t="s">
        <v>142</v>
      </c>
      <c r="F232">
        <v>3</v>
      </c>
      <c r="G232" s="4">
        <v>95.34</v>
      </c>
      <c r="H232" s="4">
        <v>95.34</v>
      </c>
      <c r="I232" s="4">
        <v>0</v>
      </c>
      <c r="J232" s="4">
        <v>51.73</v>
      </c>
      <c r="K232" s="4">
        <v>51.73</v>
      </c>
      <c r="L232" s="4">
        <v>67.45</v>
      </c>
      <c r="M232" s="4">
        <v>101.08</v>
      </c>
      <c r="N232" s="4">
        <v>101.08</v>
      </c>
      <c r="O232" s="4">
        <v>73.58</v>
      </c>
      <c r="P232" s="4">
        <v>86.54</v>
      </c>
      <c r="Q232" s="4">
        <v>86.54</v>
      </c>
      <c r="R232" s="4">
        <v>96.04</v>
      </c>
      <c r="S232" s="19">
        <v>336</v>
      </c>
      <c r="T232" s="19">
        <v>2048</v>
      </c>
      <c r="U232" s="19">
        <v>60</v>
      </c>
      <c r="V232" s="19">
        <v>428</v>
      </c>
      <c r="W232" s="19">
        <v>64</v>
      </c>
      <c r="X232" s="19">
        <v>2960</v>
      </c>
      <c r="Y232" s="19">
        <v>152</v>
      </c>
      <c r="Z232" s="19">
        <v>188</v>
      </c>
      <c r="AA232" s="14">
        <v>1</v>
      </c>
    </row>
    <row r="233" spans="1:27">
      <c r="A233" s="16">
        <v>46160.40625</v>
      </c>
      <c r="B233" s="17">
        <v>46160</v>
      </c>
      <c r="C233" s="18">
        <v>0.40625</v>
      </c>
      <c r="D233" t="s">
        <v>75</v>
      </c>
      <c r="E233" t="s">
        <v>142</v>
      </c>
      <c r="F233">
        <v>3</v>
      </c>
      <c r="G233" s="4">
        <v>89.82</v>
      </c>
      <c r="H233" s="4">
        <v>89.82</v>
      </c>
      <c r="I233" s="4">
        <v>68.849999999999994</v>
      </c>
      <c r="J233" s="4">
        <v>74.06</v>
      </c>
      <c r="K233" s="4">
        <v>74.06</v>
      </c>
      <c r="L233" s="4">
        <v>71.180000000000007</v>
      </c>
      <c r="M233" s="4">
        <v>96.66</v>
      </c>
      <c r="N233" s="4">
        <v>96.66</v>
      </c>
      <c r="O233" s="4">
        <v>71.88</v>
      </c>
      <c r="P233" s="4">
        <v>84.97</v>
      </c>
      <c r="Q233" s="4">
        <v>84.97</v>
      </c>
      <c r="R233" s="4">
        <v>80.28</v>
      </c>
      <c r="S233" s="19">
        <v>164</v>
      </c>
      <c r="T233" s="19">
        <v>2284</v>
      </c>
      <c r="U233" s="19">
        <v>116</v>
      </c>
      <c r="V233" s="19">
        <v>440</v>
      </c>
      <c r="W233" s="19">
        <v>52</v>
      </c>
      <c r="X233" s="19">
        <v>2888</v>
      </c>
      <c r="Y233" s="19">
        <v>236</v>
      </c>
      <c r="Z233" s="19">
        <v>216</v>
      </c>
      <c r="AA233" s="14">
        <v>0</v>
      </c>
    </row>
    <row r="234" spans="1:27">
      <c r="A234" s="16">
        <v>46160.416666666664</v>
      </c>
      <c r="B234" s="17">
        <v>46160</v>
      </c>
      <c r="C234" s="18">
        <v>0.41666666666666669</v>
      </c>
      <c r="D234" t="s">
        <v>75</v>
      </c>
      <c r="E234" t="s">
        <v>142</v>
      </c>
      <c r="F234">
        <v>3</v>
      </c>
      <c r="G234" s="4">
        <v>77.819999999999993</v>
      </c>
      <c r="H234" s="4">
        <v>77.819999999999993</v>
      </c>
      <c r="I234" s="4">
        <v>63.18</v>
      </c>
      <c r="J234" s="4">
        <v>79.67</v>
      </c>
      <c r="K234" s="4">
        <v>79.67</v>
      </c>
      <c r="L234" s="4">
        <v>61.68</v>
      </c>
      <c r="M234" s="4">
        <v>92.95</v>
      </c>
      <c r="N234" s="4">
        <v>92.95</v>
      </c>
      <c r="O234" s="4">
        <v>62.8</v>
      </c>
      <c r="P234" s="4">
        <v>64.62</v>
      </c>
      <c r="Q234" s="4">
        <v>64.62</v>
      </c>
      <c r="R234" s="4">
        <v>69.5</v>
      </c>
      <c r="S234" s="19">
        <v>156</v>
      </c>
      <c r="T234" s="19">
        <v>2020</v>
      </c>
      <c r="U234" s="19">
        <v>112</v>
      </c>
      <c r="V234" s="19">
        <v>424</v>
      </c>
      <c r="W234" s="19">
        <v>68</v>
      </c>
      <c r="X234" s="19">
        <v>2916</v>
      </c>
      <c r="Y234" s="19">
        <v>196</v>
      </c>
      <c r="Z234" s="19">
        <v>156</v>
      </c>
      <c r="AA234" s="14">
        <v>1</v>
      </c>
    </row>
    <row r="235" spans="1:27">
      <c r="A235" s="16">
        <v>46160.427083333336</v>
      </c>
      <c r="B235" s="17">
        <v>46160</v>
      </c>
      <c r="C235" s="18">
        <v>0.42708333333333331</v>
      </c>
      <c r="D235" t="s">
        <v>75</v>
      </c>
      <c r="E235" t="s">
        <v>142</v>
      </c>
      <c r="F235">
        <v>3</v>
      </c>
      <c r="G235" s="4">
        <v>104.05</v>
      </c>
      <c r="H235" s="4">
        <v>104.05</v>
      </c>
      <c r="I235" s="4">
        <v>63.4</v>
      </c>
      <c r="J235" s="4">
        <v>68.5</v>
      </c>
      <c r="K235" s="4">
        <v>68.5</v>
      </c>
      <c r="L235" s="4">
        <v>52.82</v>
      </c>
      <c r="M235" s="4">
        <v>90.65</v>
      </c>
      <c r="N235" s="4">
        <v>90.65</v>
      </c>
      <c r="O235" s="4">
        <v>79.900000000000006</v>
      </c>
      <c r="P235" s="4">
        <v>58.5</v>
      </c>
      <c r="Q235" s="4">
        <v>58.5</v>
      </c>
      <c r="R235" s="4">
        <v>88.32</v>
      </c>
      <c r="S235" s="19">
        <v>272</v>
      </c>
      <c r="T235" s="19">
        <v>2412</v>
      </c>
      <c r="U235" s="19">
        <v>132</v>
      </c>
      <c r="V235" s="19">
        <v>284</v>
      </c>
      <c r="W235" s="19">
        <v>44</v>
      </c>
      <c r="X235" s="19">
        <v>2868</v>
      </c>
      <c r="Y235" s="19">
        <v>128</v>
      </c>
      <c r="Z235" s="19">
        <v>180</v>
      </c>
      <c r="AA235" s="14">
        <v>1</v>
      </c>
    </row>
    <row r="236" spans="1:27">
      <c r="A236" s="16">
        <v>46160.4375</v>
      </c>
      <c r="B236" s="17">
        <v>46160</v>
      </c>
      <c r="C236" s="18">
        <v>0.4375</v>
      </c>
      <c r="D236" t="s">
        <v>75</v>
      </c>
      <c r="E236" t="s">
        <v>142</v>
      </c>
      <c r="F236">
        <v>3</v>
      </c>
      <c r="G236" s="4">
        <v>104.47</v>
      </c>
      <c r="H236" s="4">
        <v>104.47</v>
      </c>
      <c r="I236" s="4">
        <v>69.900000000000006</v>
      </c>
      <c r="J236" s="4">
        <v>65.5</v>
      </c>
      <c r="K236" s="4">
        <v>65.5</v>
      </c>
      <c r="L236" s="4">
        <v>64.37</v>
      </c>
      <c r="M236" s="4">
        <v>97.85</v>
      </c>
      <c r="N236" s="4">
        <v>97.85</v>
      </c>
      <c r="O236" s="4">
        <v>80.75</v>
      </c>
      <c r="P236" s="4">
        <v>66.319999999999993</v>
      </c>
      <c r="Q236" s="4">
        <v>66.319999999999993</v>
      </c>
      <c r="R236" s="4">
        <v>91.17</v>
      </c>
      <c r="S236" s="19">
        <v>220</v>
      </c>
      <c r="T236" s="19">
        <v>2132</v>
      </c>
      <c r="U236" s="19">
        <v>132</v>
      </c>
      <c r="V236" s="19">
        <v>376</v>
      </c>
      <c r="W236" s="19">
        <v>76</v>
      </c>
      <c r="X236" s="19">
        <v>2888</v>
      </c>
      <c r="Y236" s="19">
        <v>200</v>
      </c>
      <c r="Z236" s="19">
        <v>156</v>
      </c>
      <c r="AA236" s="14">
        <v>1</v>
      </c>
    </row>
    <row r="237" spans="1:27">
      <c r="A237" s="16">
        <v>46160.447916666664</v>
      </c>
      <c r="B237" s="17">
        <v>46160</v>
      </c>
      <c r="C237" s="18">
        <v>0.44791666666666669</v>
      </c>
      <c r="D237" t="s">
        <v>75</v>
      </c>
      <c r="E237" t="s">
        <v>142</v>
      </c>
      <c r="F237">
        <v>3</v>
      </c>
      <c r="G237" s="4">
        <v>92.05</v>
      </c>
      <c r="H237" s="4">
        <v>92.05</v>
      </c>
      <c r="I237" s="4">
        <v>72.95</v>
      </c>
      <c r="J237" s="4">
        <v>47.12</v>
      </c>
      <c r="K237" s="4">
        <v>47.12</v>
      </c>
      <c r="L237" s="4">
        <v>41.05</v>
      </c>
      <c r="M237" s="4">
        <v>102.63</v>
      </c>
      <c r="N237" s="4">
        <v>102.63</v>
      </c>
      <c r="O237" s="4">
        <v>76.98</v>
      </c>
      <c r="P237" s="4">
        <v>76.930000000000007</v>
      </c>
      <c r="Q237" s="4">
        <v>76.930000000000007</v>
      </c>
      <c r="R237" s="4">
        <v>81.430000000000007</v>
      </c>
      <c r="S237" s="19">
        <v>80</v>
      </c>
      <c r="T237" s="19">
        <v>2132</v>
      </c>
      <c r="U237" s="19">
        <v>140</v>
      </c>
      <c r="V237" s="19">
        <v>248</v>
      </c>
      <c r="W237" s="19">
        <v>76</v>
      </c>
      <c r="X237" s="19">
        <v>2704</v>
      </c>
      <c r="Y237" s="19">
        <v>112</v>
      </c>
      <c r="Z237" s="19">
        <v>120</v>
      </c>
      <c r="AA237" s="14">
        <v>1</v>
      </c>
    </row>
    <row r="238" spans="1:27">
      <c r="A238" s="16">
        <v>46160.458333333336</v>
      </c>
      <c r="B238" s="17">
        <v>46160</v>
      </c>
      <c r="C238" s="18">
        <v>0.45833333333333331</v>
      </c>
      <c r="D238" t="s">
        <v>75</v>
      </c>
      <c r="E238" t="s">
        <v>142</v>
      </c>
      <c r="F238">
        <v>3</v>
      </c>
      <c r="G238" s="4">
        <v>134.43</v>
      </c>
      <c r="H238" s="4">
        <v>134.43</v>
      </c>
      <c r="I238" s="4">
        <v>95.56</v>
      </c>
      <c r="J238" s="4">
        <v>102.88</v>
      </c>
      <c r="K238" s="4">
        <v>102.88</v>
      </c>
      <c r="L238" s="4">
        <v>71.78</v>
      </c>
      <c r="M238" s="4">
        <v>95.08</v>
      </c>
      <c r="N238" s="4">
        <v>95.08</v>
      </c>
      <c r="O238" s="4">
        <v>84.9</v>
      </c>
      <c r="P238" s="4">
        <v>56.28</v>
      </c>
      <c r="Q238" s="4">
        <v>56.28</v>
      </c>
      <c r="R238" s="4">
        <v>62.45</v>
      </c>
      <c r="S238" s="19">
        <v>172</v>
      </c>
      <c r="T238" s="19">
        <v>2716</v>
      </c>
      <c r="U238" s="19">
        <v>80</v>
      </c>
      <c r="V238" s="19">
        <v>292</v>
      </c>
      <c r="W238" s="19">
        <v>72</v>
      </c>
      <c r="X238" s="19">
        <v>3300</v>
      </c>
      <c r="Y238" s="19">
        <v>180</v>
      </c>
      <c r="Z238" s="19">
        <v>184</v>
      </c>
      <c r="AA238" s="14">
        <v>1</v>
      </c>
    </row>
    <row r="239" spans="1:27">
      <c r="A239" s="16">
        <v>46160.46875</v>
      </c>
      <c r="B239" s="17">
        <v>46160</v>
      </c>
      <c r="C239" s="18">
        <v>0.46875</v>
      </c>
      <c r="D239" t="s">
        <v>75</v>
      </c>
      <c r="E239" t="s">
        <v>142</v>
      </c>
      <c r="F239">
        <v>3</v>
      </c>
      <c r="G239" s="4">
        <v>96.05</v>
      </c>
      <c r="H239" s="4">
        <v>96.05</v>
      </c>
      <c r="I239" s="4">
        <v>61.4</v>
      </c>
      <c r="J239" s="4">
        <v>89.94</v>
      </c>
      <c r="K239" s="4">
        <v>89.94</v>
      </c>
      <c r="L239" s="4">
        <v>56.83</v>
      </c>
      <c r="M239" s="4">
        <v>97.86</v>
      </c>
      <c r="N239" s="4">
        <v>97.86</v>
      </c>
      <c r="O239" s="4">
        <v>85</v>
      </c>
      <c r="P239" s="4">
        <v>74.78</v>
      </c>
      <c r="Q239" s="4">
        <v>74.78</v>
      </c>
      <c r="R239" s="4">
        <v>71.099999999999994</v>
      </c>
      <c r="S239" s="19">
        <v>156</v>
      </c>
      <c r="T239" s="19">
        <v>2400</v>
      </c>
      <c r="U239" s="19">
        <v>112</v>
      </c>
      <c r="V239" s="19">
        <v>384</v>
      </c>
      <c r="W239" s="19">
        <v>72</v>
      </c>
      <c r="X239" s="19">
        <v>2732</v>
      </c>
      <c r="Y239" s="19">
        <v>196</v>
      </c>
      <c r="Z239" s="19">
        <v>256</v>
      </c>
      <c r="AA239" s="14">
        <v>1</v>
      </c>
    </row>
    <row r="240" spans="1:27">
      <c r="A240" s="16">
        <v>46160.479166666664</v>
      </c>
      <c r="B240" s="17">
        <v>46160</v>
      </c>
      <c r="C240" s="18">
        <v>0.47916666666666669</v>
      </c>
      <c r="D240" t="s">
        <v>75</v>
      </c>
      <c r="E240" t="s">
        <v>142</v>
      </c>
      <c r="F240">
        <v>3</v>
      </c>
      <c r="G240" s="4">
        <v>99.28</v>
      </c>
      <c r="H240" s="4">
        <v>99.28</v>
      </c>
      <c r="I240" s="4">
        <v>64.83</v>
      </c>
      <c r="J240" s="4">
        <v>84.97</v>
      </c>
      <c r="K240" s="4">
        <v>84.97</v>
      </c>
      <c r="L240" s="4">
        <v>77.349999999999994</v>
      </c>
      <c r="M240" s="4">
        <v>98.93</v>
      </c>
      <c r="N240" s="4">
        <v>98.93</v>
      </c>
      <c r="O240" s="4">
        <v>85.6</v>
      </c>
      <c r="P240" s="4">
        <v>55.79</v>
      </c>
      <c r="Q240" s="4">
        <v>55.79</v>
      </c>
      <c r="R240" s="4">
        <v>91.65</v>
      </c>
      <c r="S240" s="19">
        <v>208</v>
      </c>
      <c r="T240" s="19">
        <v>2308</v>
      </c>
      <c r="U240" s="19">
        <v>88</v>
      </c>
      <c r="V240" s="19">
        <v>476</v>
      </c>
      <c r="W240" s="19">
        <v>92</v>
      </c>
      <c r="X240" s="19">
        <v>3020</v>
      </c>
      <c r="Y240" s="19">
        <v>164</v>
      </c>
      <c r="Z240" s="19">
        <v>200</v>
      </c>
      <c r="AA240" s="14">
        <v>1</v>
      </c>
    </row>
    <row r="241" spans="1:27">
      <c r="A241" s="16">
        <v>46160.489583333336</v>
      </c>
      <c r="B241" s="17">
        <v>46160</v>
      </c>
      <c r="C241" s="18">
        <v>0.48958333333333331</v>
      </c>
      <c r="D241" t="s">
        <v>75</v>
      </c>
      <c r="E241" t="s">
        <v>142</v>
      </c>
      <c r="F241">
        <v>3</v>
      </c>
      <c r="G241" s="4">
        <v>97.29</v>
      </c>
      <c r="H241" s="4">
        <v>97.29</v>
      </c>
      <c r="I241" s="4">
        <v>80.400000000000006</v>
      </c>
      <c r="J241" s="4">
        <v>57.5</v>
      </c>
      <c r="K241" s="4">
        <v>57.5</v>
      </c>
      <c r="L241" s="4">
        <v>49.54</v>
      </c>
      <c r="M241" s="4">
        <v>91.37</v>
      </c>
      <c r="N241" s="4">
        <v>91.37</v>
      </c>
      <c r="O241" s="4">
        <v>83.7</v>
      </c>
      <c r="P241" s="4">
        <v>103.53</v>
      </c>
      <c r="Q241" s="4">
        <v>103.53</v>
      </c>
      <c r="R241" s="4">
        <v>79.81</v>
      </c>
      <c r="S241" s="19">
        <v>160</v>
      </c>
      <c r="T241" s="19">
        <v>2432</v>
      </c>
      <c r="U241" s="19">
        <v>104</v>
      </c>
      <c r="V241" s="19">
        <v>388</v>
      </c>
      <c r="W241" s="19">
        <v>64</v>
      </c>
      <c r="X241" s="19">
        <v>2772</v>
      </c>
      <c r="Y241" s="19">
        <v>196</v>
      </c>
      <c r="Z241" s="19">
        <v>228</v>
      </c>
      <c r="AA241" s="14">
        <v>1</v>
      </c>
    </row>
    <row r="242" spans="1:27">
      <c r="A242" s="16">
        <v>46160.5</v>
      </c>
      <c r="B242" s="17">
        <v>46160</v>
      </c>
      <c r="C242" s="18">
        <v>0.5</v>
      </c>
      <c r="D242" t="s">
        <v>75</v>
      </c>
      <c r="E242" t="s">
        <v>142</v>
      </c>
      <c r="F242">
        <v>3</v>
      </c>
      <c r="G242" s="4">
        <v>88.77</v>
      </c>
      <c r="H242" s="4">
        <v>88.77</v>
      </c>
      <c r="I242" s="4">
        <v>72.849999999999994</v>
      </c>
      <c r="J242" s="4">
        <v>84.83</v>
      </c>
      <c r="K242" s="4">
        <v>84.83</v>
      </c>
      <c r="L242" s="4">
        <v>47.56</v>
      </c>
      <c r="M242" s="4">
        <v>114.5</v>
      </c>
      <c r="N242" s="4">
        <v>114.5</v>
      </c>
      <c r="O242" s="4">
        <v>87.25</v>
      </c>
      <c r="P242" s="4">
        <v>57.34</v>
      </c>
      <c r="Q242" s="4">
        <v>57.34</v>
      </c>
      <c r="R242" s="4">
        <v>92.73</v>
      </c>
      <c r="S242" s="19">
        <v>204</v>
      </c>
      <c r="T242" s="19">
        <v>2276</v>
      </c>
      <c r="U242" s="19">
        <v>124</v>
      </c>
      <c r="V242" s="19">
        <v>372</v>
      </c>
      <c r="W242" s="19">
        <v>72</v>
      </c>
      <c r="X242" s="19">
        <v>2868</v>
      </c>
      <c r="Y242" s="19">
        <v>180</v>
      </c>
      <c r="Z242" s="19">
        <v>252</v>
      </c>
      <c r="AA242" s="14">
        <v>1</v>
      </c>
    </row>
    <row r="243" spans="1:27">
      <c r="A243" s="16">
        <v>46160.510416666664</v>
      </c>
      <c r="B243" s="17">
        <v>46160</v>
      </c>
      <c r="C243" s="18">
        <v>0.51041666666666663</v>
      </c>
      <c r="D243" t="s">
        <v>75</v>
      </c>
      <c r="E243" t="s">
        <v>142</v>
      </c>
      <c r="F243">
        <v>3</v>
      </c>
      <c r="G243" s="4">
        <v>88.27</v>
      </c>
      <c r="H243" s="4">
        <v>88.27</v>
      </c>
      <c r="I243" s="4">
        <v>78.45</v>
      </c>
      <c r="J243" s="4">
        <v>52.4</v>
      </c>
      <c r="K243" s="4">
        <v>52.4</v>
      </c>
      <c r="L243" s="4">
        <v>77.78</v>
      </c>
      <c r="M243" s="4">
        <v>95.42</v>
      </c>
      <c r="N243" s="4">
        <v>95.42</v>
      </c>
      <c r="O243" s="4">
        <v>82.83</v>
      </c>
      <c r="P243" s="4">
        <v>85.53</v>
      </c>
      <c r="Q243" s="4">
        <v>85.53</v>
      </c>
      <c r="R243" s="4">
        <v>76.34</v>
      </c>
      <c r="S243" s="19">
        <v>228</v>
      </c>
      <c r="T243" s="19">
        <v>2644</v>
      </c>
      <c r="U243" s="19">
        <v>104</v>
      </c>
      <c r="V243" s="19">
        <v>460</v>
      </c>
      <c r="W243" s="19">
        <v>92</v>
      </c>
      <c r="X243" s="19">
        <v>2960</v>
      </c>
      <c r="Y243" s="19">
        <v>164</v>
      </c>
      <c r="Z243" s="19">
        <v>192</v>
      </c>
      <c r="AA243" s="14">
        <v>1</v>
      </c>
    </row>
    <row r="244" spans="1:27">
      <c r="A244" s="16">
        <v>46160.520833333336</v>
      </c>
      <c r="B244" s="17">
        <v>46160</v>
      </c>
      <c r="C244" s="18">
        <v>0.52083333333333337</v>
      </c>
      <c r="D244" t="s">
        <v>75</v>
      </c>
      <c r="E244" t="s">
        <v>142</v>
      </c>
      <c r="F244">
        <v>3</v>
      </c>
      <c r="G244" s="4">
        <v>93.8</v>
      </c>
      <c r="H244" s="4">
        <v>93.8</v>
      </c>
      <c r="I244" s="4">
        <v>73.05</v>
      </c>
      <c r="J244" s="4">
        <v>71.05</v>
      </c>
      <c r="K244" s="4">
        <v>71.05</v>
      </c>
      <c r="L244" s="4">
        <v>76.14</v>
      </c>
      <c r="M244" s="4">
        <v>0</v>
      </c>
      <c r="N244" s="4">
        <v>0</v>
      </c>
      <c r="O244" s="4">
        <v>85.13</v>
      </c>
      <c r="P244" s="4">
        <v>92.33</v>
      </c>
      <c r="Q244" s="4">
        <v>92.33</v>
      </c>
      <c r="R244" s="4">
        <v>90.4</v>
      </c>
      <c r="S244" s="19">
        <v>176</v>
      </c>
      <c r="T244" s="19">
        <v>2524</v>
      </c>
      <c r="U244" s="19">
        <v>148</v>
      </c>
      <c r="V244" s="19">
        <v>448</v>
      </c>
      <c r="W244" s="19">
        <v>88</v>
      </c>
      <c r="X244" s="19">
        <v>2864</v>
      </c>
      <c r="Y244" s="19">
        <v>220</v>
      </c>
      <c r="Z244" s="19">
        <v>164</v>
      </c>
      <c r="AA244" s="14">
        <v>1</v>
      </c>
    </row>
    <row r="245" spans="1:27">
      <c r="A245" s="16">
        <v>46160.53125</v>
      </c>
      <c r="B245" s="17">
        <v>46160</v>
      </c>
      <c r="C245" s="18">
        <v>0.53125</v>
      </c>
      <c r="D245" t="s">
        <v>75</v>
      </c>
      <c r="E245" t="s">
        <v>142</v>
      </c>
      <c r="F245">
        <v>3</v>
      </c>
      <c r="G245" s="4">
        <v>107.8</v>
      </c>
      <c r="H245" s="4">
        <v>107.8</v>
      </c>
      <c r="I245" s="4">
        <v>75.650000000000006</v>
      </c>
      <c r="J245" s="4">
        <v>10.9</v>
      </c>
      <c r="K245" s="4">
        <v>10.9</v>
      </c>
      <c r="L245" s="4">
        <v>62.52</v>
      </c>
      <c r="M245" s="4">
        <v>98.82</v>
      </c>
      <c r="N245" s="4">
        <v>98.82</v>
      </c>
      <c r="O245" s="4">
        <v>81.77</v>
      </c>
      <c r="P245" s="4">
        <v>80.27</v>
      </c>
      <c r="Q245" s="4">
        <v>80.27</v>
      </c>
      <c r="R245" s="4">
        <v>83.2</v>
      </c>
      <c r="S245" s="19">
        <v>276</v>
      </c>
      <c r="T245" s="19">
        <v>2536</v>
      </c>
      <c r="U245" s="19">
        <v>132</v>
      </c>
      <c r="V245" s="19">
        <v>496</v>
      </c>
      <c r="W245" s="19">
        <v>48</v>
      </c>
      <c r="X245" s="19">
        <v>3056</v>
      </c>
      <c r="Y245" s="19">
        <v>140</v>
      </c>
      <c r="Z245" s="19">
        <v>204</v>
      </c>
      <c r="AA245" s="14">
        <v>1</v>
      </c>
    </row>
    <row r="246" spans="1:27">
      <c r="A246" s="16">
        <v>46160.541666666664</v>
      </c>
      <c r="B246" s="17">
        <v>46160</v>
      </c>
      <c r="C246" s="18">
        <v>0.54166666666666663</v>
      </c>
      <c r="D246" t="s">
        <v>75</v>
      </c>
      <c r="E246" t="s">
        <v>142</v>
      </c>
      <c r="F246">
        <v>3</v>
      </c>
      <c r="G246" s="4">
        <v>98.75</v>
      </c>
      <c r="H246" s="4">
        <v>98.75</v>
      </c>
      <c r="I246" s="4">
        <v>72.17</v>
      </c>
      <c r="J246" s="4">
        <v>26.33</v>
      </c>
      <c r="K246" s="4">
        <v>26.33</v>
      </c>
      <c r="L246" s="4">
        <v>76.37</v>
      </c>
      <c r="M246" s="4">
        <v>98.65</v>
      </c>
      <c r="N246" s="4">
        <v>98.65</v>
      </c>
      <c r="O246" s="4">
        <v>69.75</v>
      </c>
      <c r="P246" s="4">
        <v>86.62</v>
      </c>
      <c r="Q246" s="4">
        <v>86.62</v>
      </c>
      <c r="R246" s="4">
        <v>77.62</v>
      </c>
      <c r="S246" s="19">
        <v>144</v>
      </c>
      <c r="T246" s="19">
        <v>2444</v>
      </c>
      <c r="U246" s="19">
        <v>120</v>
      </c>
      <c r="V246" s="19">
        <v>408</v>
      </c>
      <c r="W246" s="19">
        <v>68</v>
      </c>
      <c r="X246" s="19">
        <v>2892</v>
      </c>
      <c r="Y246" s="19">
        <v>164</v>
      </c>
      <c r="Z246" s="19">
        <v>232</v>
      </c>
      <c r="AA246" s="14">
        <v>1</v>
      </c>
    </row>
    <row r="247" spans="1:27">
      <c r="A247" s="16">
        <v>46160.552083333336</v>
      </c>
      <c r="B247" s="17">
        <v>46160</v>
      </c>
      <c r="C247" s="18">
        <v>0.55208333333333337</v>
      </c>
      <c r="D247" t="s">
        <v>75</v>
      </c>
      <c r="E247" t="s">
        <v>142</v>
      </c>
      <c r="F247">
        <v>3</v>
      </c>
      <c r="G247" s="4">
        <v>95.42</v>
      </c>
      <c r="H247" s="4">
        <v>95.42</v>
      </c>
      <c r="I247" s="4">
        <v>81.099999999999994</v>
      </c>
      <c r="J247" s="4">
        <v>78.17</v>
      </c>
      <c r="K247" s="4">
        <v>78.17</v>
      </c>
      <c r="L247" s="4">
        <v>52.12</v>
      </c>
      <c r="M247" s="4">
        <v>86.4</v>
      </c>
      <c r="N247" s="4">
        <v>86.4</v>
      </c>
      <c r="O247" s="4">
        <v>87.98</v>
      </c>
      <c r="P247" s="4">
        <v>99.03</v>
      </c>
      <c r="Q247" s="4">
        <v>99.03</v>
      </c>
      <c r="R247" s="4">
        <v>82.85</v>
      </c>
      <c r="S247" s="19">
        <v>180</v>
      </c>
      <c r="T247" s="19">
        <v>2648</v>
      </c>
      <c r="U247" s="19">
        <v>112</v>
      </c>
      <c r="V247" s="19">
        <v>392</v>
      </c>
      <c r="W247" s="19">
        <v>80</v>
      </c>
      <c r="X247" s="19">
        <v>2876</v>
      </c>
      <c r="Y247" s="19">
        <v>236</v>
      </c>
      <c r="Z247" s="19">
        <v>196</v>
      </c>
      <c r="AA247" s="14">
        <v>1</v>
      </c>
    </row>
    <row r="248" spans="1:27">
      <c r="A248" s="16">
        <v>46160.5625</v>
      </c>
      <c r="B248" s="17">
        <v>46160</v>
      </c>
      <c r="C248" s="18">
        <v>0.5625</v>
      </c>
      <c r="D248" t="s">
        <v>75</v>
      </c>
      <c r="E248" t="s">
        <v>142</v>
      </c>
      <c r="F248">
        <v>3</v>
      </c>
      <c r="G248" s="4">
        <v>95.63</v>
      </c>
      <c r="H248" s="4">
        <v>95.63</v>
      </c>
      <c r="I248" s="4">
        <v>0</v>
      </c>
      <c r="J248" s="4">
        <v>68.75</v>
      </c>
      <c r="K248" s="4">
        <v>68.75</v>
      </c>
      <c r="L248" s="4">
        <v>77.88</v>
      </c>
      <c r="M248" s="4">
        <v>83.1</v>
      </c>
      <c r="N248" s="4">
        <v>83.1</v>
      </c>
      <c r="O248" s="4">
        <v>80.17</v>
      </c>
      <c r="P248" s="4">
        <v>103.78</v>
      </c>
      <c r="Q248" s="4">
        <v>103.78</v>
      </c>
      <c r="R248" s="4">
        <v>82.7</v>
      </c>
      <c r="S248" s="19">
        <v>140</v>
      </c>
      <c r="T248" s="19">
        <v>2484</v>
      </c>
      <c r="U248" s="19">
        <v>120</v>
      </c>
      <c r="V248" s="19">
        <v>412</v>
      </c>
      <c r="W248" s="19">
        <v>72</v>
      </c>
      <c r="X248" s="19">
        <v>2756</v>
      </c>
      <c r="Y248" s="19">
        <v>148</v>
      </c>
      <c r="Z248" s="19">
        <v>188</v>
      </c>
      <c r="AA248" s="14">
        <v>1</v>
      </c>
    </row>
    <row r="249" spans="1:27">
      <c r="A249" s="16">
        <v>46160.572916666664</v>
      </c>
      <c r="B249" s="17">
        <v>46160</v>
      </c>
      <c r="C249" s="18">
        <v>0.57291666666666663</v>
      </c>
      <c r="D249" t="s">
        <v>75</v>
      </c>
      <c r="E249" t="s">
        <v>142</v>
      </c>
      <c r="F249">
        <v>3</v>
      </c>
      <c r="G249" s="4">
        <v>76.27</v>
      </c>
      <c r="H249" s="4">
        <v>76.27</v>
      </c>
      <c r="I249" s="4">
        <v>79.23</v>
      </c>
      <c r="J249" s="4">
        <v>49.14</v>
      </c>
      <c r="K249" s="4">
        <v>49.14</v>
      </c>
      <c r="L249" s="4">
        <v>55.82</v>
      </c>
      <c r="M249" s="4">
        <v>93.46</v>
      </c>
      <c r="N249" s="4">
        <v>93.46</v>
      </c>
      <c r="O249" s="4">
        <v>58.32</v>
      </c>
      <c r="P249" s="4">
        <v>89.36</v>
      </c>
      <c r="Q249" s="4">
        <v>89.36</v>
      </c>
      <c r="R249" s="4">
        <v>82.8</v>
      </c>
      <c r="S249" s="19">
        <v>156</v>
      </c>
      <c r="T249" s="19">
        <v>2588</v>
      </c>
      <c r="U249" s="19">
        <v>104</v>
      </c>
      <c r="V249" s="19">
        <v>488</v>
      </c>
      <c r="W249" s="19">
        <v>72</v>
      </c>
      <c r="X249" s="19">
        <v>2984</v>
      </c>
      <c r="Y249" s="19">
        <v>184</v>
      </c>
      <c r="Z249" s="19">
        <v>168</v>
      </c>
      <c r="AA249" s="14">
        <v>1</v>
      </c>
    </row>
    <row r="250" spans="1:27">
      <c r="A250" s="16">
        <v>46160.583333333336</v>
      </c>
      <c r="B250" s="17">
        <v>46160</v>
      </c>
      <c r="C250" s="18">
        <v>0.58333333333333337</v>
      </c>
      <c r="D250" t="s">
        <v>75</v>
      </c>
      <c r="E250" t="s">
        <v>142</v>
      </c>
      <c r="F250">
        <v>3</v>
      </c>
      <c r="G250" s="4">
        <v>91.47</v>
      </c>
      <c r="H250" s="4">
        <v>91.47</v>
      </c>
      <c r="I250" s="4">
        <v>74.7</v>
      </c>
      <c r="J250" s="4">
        <v>83.55</v>
      </c>
      <c r="K250" s="4">
        <v>83.55</v>
      </c>
      <c r="L250" s="4">
        <v>54.02</v>
      </c>
      <c r="M250" s="4">
        <v>140.72999999999999</v>
      </c>
      <c r="N250" s="4">
        <v>140.72999999999999</v>
      </c>
      <c r="O250" s="4">
        <v>91.1</v>
      </c>
      <c r="P250" s="4">
        <v>97.4</v>
      </c>
      <c r="Q250" s="4">
        <v>97.4</v>
      </c>
      <c r="R250" s="4">
        <v>79.040000000000006</v>
      </c>
      <c r="S250" s="19">
        <v>300</v>
      </c>
      <c r="T250" s="19">
        <v>2640</v>
      </c>
      <c r="U250" s="19">
        <v>120</v>
      </c>
      <c r="V250" s="19">
        <v>416</v>
      </c>
      <c r="W250" s="19">
        <v>68</v>
      </c>
      <c r="X250" s="19">
        <v>2832</v>
      </c>
      <c r="Y250" s="19">
        <v>192</v>
      </c>
      <c r="Z250" s="19">
        <v>200</v>
      </c>
      <c r="AA250" s="14">
        <v>1</v>
      </c>
    </row>
    <row r="251" spans="1:27">
      <c r="A251" s="16">
        <v>46160.59375</v>
      </c>
      <c r="B251" s="17">
        <v>46160</v>
      </c>
      <c r="C251" s="18">
        <v>0.59375</v>
      </c>
      <c r="D251" t="s">
        <v>75</v>
      </c>
      <c r="E251" t="s">
        <v>142</v>
      </c>
      <c r="F251">
        <v>3</v>
      </c>
      <c r="G251" s="4">
        <v>74.430000000000007</v>
      </c>
      <c r="H251" s="4">
        <v>74.430000000000007</v>
      </c>
      <c r="I251" s="4">
        <v>66.37</v>
      </c>
      <c r="J251" s="4">
        <v>85.46</v>
      </c>
      <c r="K251" s="4">
        <v>85.46</v>
      </c>
      <c r="L251" s="4">
        <v>73.09</v>
      </c>
      <c r="M251" s="4">
        <v>94.92</v>
      </c>
      <c r="N251" s="4">
        <v>94.92</v>
      </c>
      <c r="O251" s="4">
        <v>74.42</v>
      </c>
      <c r="P251" s="4">
        <v>80.53</v>
      </c>
      <c r="Q251" s="4">
        <v>80.53</v>
      </c>
      <c r="R251" s="4">
        <v>85.32</v>
      </c>
      <c r="S251" s="19">
        <v>264</v>
      </c>
      <c r="T251" s="19">
        <v>2200</v>
      </c>
      <c r="U251" s="19">
        <v>132</v>
      </c>
      <c r="V251" s="19">
        <v>364</v>
      </c>
      <c r="W251" s="19">
        <v>64</v>
      </c>
      <c r="X251" s="19">
        <v>2640</v>
      </c>
      <c r="Y251" s="19">
        <v>116</v>
      </c>
      <c r="Z251" s="19">
        <v>256</v>
      </c>
      <c r="AA251" s="14">
        <v>1</v>
      </c>
    </row>
    <row r="252" spans="1:27">
      <c r="A252" s="16">
        <v>46160.604166666664</v>
      </c>
      <c r="B252" s="17">
        <v>46160</v>
      </c>
      <c r="C252" s="18">
        <v>0.60416666666666663</v>
      </c>
      <c r="D252" t="s">
        <v>75</v>
      </c>
      <c r="E252" t="s">
        <v>142</v>
      </c>
      <c r="F252">
        <v>3</v>
      </c>
      <c r="G252" s="4">
        <v>93.95</v>
      </c>
      <c r="H252" s="4">
        <v>93.95</v>
      </c>
      <c r="I252" s="4">
        <v>78.02</v>
      </c>
      <c r="J252" s="4">
        <v>93.66</v>
      </c>
      <c r="K252" s="4">
        <v>93.66</v>
      </c>
      <c r="L252" s="4">
        <v>67.47</v>
      </c>
      <c r="M252" s="4">
        <v>94.75</v>
      </c>
      <c r="N252" s="4">
        <v>94.75</v>
      </c>
      <c r="O252" s="4">
        <v>88.03</v>
      </c>
      <c r="P252" s="4">
        <v>75.36</v>
      </c>
      <c r="Q252" s="4">
        <v>75.36</v>
      </c>
      <c r="R252" s="4">
        <v>83.75</v>
      </c>
      <c r="S252" s="19">
        <v>108</v>
      </c>
      <c r="T252" s="19">
        <v>2512</v>
      </c>
      <c r="U252" s="19">
        <v>112</v>
      </c>
      <c r="V252" s="19">
        <v>380</v>
      </c>
      <c r="W252" s="19">
        <v>80</v>
      </c>
      <c r="X252" s="19">
        <v>3048</v>
      </c>
      <c r="Y252" s="19">
        <v>140</v>
      </c>
      <c r="Z252" s="19">
        <v>296</v>
      </c>
      <c r="AA252" s="14">
        <v>1</v>
      </c>
    </row>
    <row r="253" spans="1:27">
      <c r="A253" s="16">
        <v>46160.614583333336</v>
      </c>
      <c r="B253" s="17">
        <v>46160</v>
      </c>
      <c r="C253" s="18">
        <v>0.61458333333333337</v>
      </c>
      <c r="D253" t="s">
        <v>75</v>
      </c>
      <c r="E253" t="s">
        <v>142</v>
      </c>
      <c r="F253">
        <v>3</v>
      </c>
      <c r="G253" s="4">
        <v>84.44</v>
      </c>
      <c r="H253" s="4">
        <v>84.44</v>
      </c>
      <c r="I253" s="4">
        <v>66.5</v>
      </c>
      <c r="J253" s="4">
        <v>95.3</v>
      </c>
      <c r="K253" s="4">
        <v>95.3</v>
      </c>
      <c r="L253" s="4">
        <v>76.040000000000006</v>
      </c>
      <c r="M253" s="4">
        <v>93.28</v>
      </c>
      <c r="N253" s="4">
        <v>93.28</v>
      </c>
      <c r="O253" s="4">
        <v>70.8</v>
      </c>
      <c r="P253" s="4">
        <v>78.819999999999993</v>
      </c>
      <c r="Q253" s="4">
        <v>78.819999999999993</v>
      </c>
      <c r="R253" s="4">
        <v>76.22</v>
      </c>
      <c r="S253" s="19">
        <v>264</v>
      </c>
      <c r="T253" s="19">
        <v>2744</v>
      </c>
      <c r="U253" s="19">
        <v>104</v>
      </c>
      <c r="V253" s="19">
        <v>364</v>
      </c>
      <c r="W253" s="19">
        <v>96</v>
      </c>
      <c r="X253" s="19">
        <v>2728</v>
      </c>
      <c r="Y253" s="19">
        <v>188</v>
      </c>
      <c r="Z253" s="19">
        <v>232</v>
      </c>
      <c r="AA253" s="14">
        <v>1</v>
      </c>
    </row>
    <row r="254" spans="1:27">
      <c r="A254" s="16">
        <v>46160.625</v>
      </c>
      <c r="B254" s="17">
        <v>46160</v>
      </c>
      <c r="C254" s="18">
        <v>0.625</v>
      </c>
      <c r="D254" t="s">
        <v>75</v>
      </c>
      <c r="E254" t="s">
        <v>142</v>
      </c>
      <c r="F254">
        <v>3</v>
      </c>
      <c r="G254" s="4">
        <v>105.3</v>
      </c>
      <c r="H254" s="4">
        <v>105.3</v>
      </c>
      <c r="I254" s="4">
        <v>78.400000000000006</v>
      </c>
      <c r="J254" s="4">
        <v>67.680000000000007</v>
      </c>
      <c r="K254" s="4">
        <v>67.680000000000007</v>
      </c>
      <c r="L254" s="4">
        <v>82.83</v>
      </c>
      <c r="M254" s="4">
        <v>100.8</v>
      </c>
      <c r="N254" s="4">
        <v>100.8</v>
      </c>
      <c r="O254" s="4">
        <v>79.2</v>
      </c>
      <c r="P254" s="4">
        <v>69.8</v>
      </c>
      <c r="Q254" s="4">
        <v>69.8</v>
      </c>
      <c r="R254" s="4">
        <v>78.08</v>
      </c>
      <c r="S254" s="19">
        <v>132</v>
      </c>
      <c r="T254" s="19">
        <v>2372</v>
      </c>
      <c r="U254" s="19">
        <v>112</v>
      </c>
      <c r="V254" s="19">
        <v>372</v>
      </c>
      <c r="W254" s="19">
        <v>64</v>
      </c>
      <c r="X254" s="19">
        <v>2796</v>
      </c>
      <c r="Y254" s="19">
        <v>140</v>
      </c>
      <c r="Z254" s="19">
        <v>188</v>
      </c>
      <c r="AA254" s="14">
        <v>1</v>
      </c>
    </row>
    <row r="255" spans="1:27">
      <c r="A255" s="16">
        <v>46160.635416666664</v>
      </c>
      <c r="B255" s="17">
        <v>46160</v>
      </c>
      <c r="C255" s="18">
        <v>0.63541666666666663</v>
      </c>
      <c r="D255" t="s">
        <v>75</v>
      </c>
      <c r="E255" t="s">
        <v>142</v>
      </c>
      <c r="F255">
        <v>3</v>
      </c>
      <c r="G255" s="4">
        <v>93.04</v>
      </c>
      <c r="H255" s="4">
        <v>93.04</v>
      </c>
      <c r="I255" s="4">
        <v>83.57</v>
      </c>
      <c r="J255" s="4">
        <v>104.3</v>
      </c>
      <c r="K255" s="4">
        <v>104.3</v>
      </c>
      <c r="L255" s="4">
        <v>61.54</v>
      </c>
      <c r="M255" s="4">
        <v>124.13</v>
      </c>
      <c r="N255" s="4">
        <v>124.13</v>
      </c>
      <c r="O255" s="4">
        <v>81.849999999999994</v>
      </c>
      <c r="P255" s="4">
        <v>84.6</v>
      </c>
      <c r="Q255" s="4">
        <v>84.6</v>
      </c>
      <c r="R255" s="4">
        <v>98.53</v>
      </c>
      <c r="S255" s="19">
        <v>92</v>
      </c>
      <c r="T255" s="19">
        <v>2672</v>
      </c>
      <c r="U255" s="19">
        <v>100</v>
      </c>
      <c r="V255" s="19">
        <v>536</v>
      </c>
      <c r="W255" s="19">
        <v>112</v>
      </c>
      <c r="X255" s="19">
        <v>2904</v>
      </c>
      <c r="Y255" s="19">
        <v>128</v>
      </c>
      <c r="Z255" s="19">
        <v>240</v>
      </c>
      <c r="AA255" s="14">
        <v>1</v>
      </c>
    </row>
    <row r="256" spans="1:27">
      <c r="A256" s="16">
        <v>46160.645833333336</v>
      </c>
      <c r="B256" s="17">
        <v>46160</v>
      </c>
      <c r="C256" s="18">
        <v>0.64583333333333337</v>
      </c>
      <c r="D256" t="s">
        <v>75</v>
      </c>
      <c r="E256" t="s">
        <v>142</v>
      </c>
      <c r="F256">
        <v>3</v>
      </c>
      <c r="G256" s="4">
        <v>108.84</v>
      </c>
      <c r="H256" s="4">
        <v>108.84</v>
      </c>
      <c r="I256" s="4">
        <v>98.2</v>
      </c>
      <c r="J256" s="4">
        <v>70.3</v>
      </c>
      <c r="K256" s="4">
        <v>70.3</v>
      </c>
      <c r="L256" s="4">
        <v>115.1</v>
      </c>
      <c r="M256" s="4">
        <v>111.2</v>
      </c>
      <c r="N256" s="4">
        <v>111.2</v>
      </c>
      <c r="O256" s="4">
        <v>82.75</v>
      </c>
      <c r="P256" s="4">
        <v>155.65</v>
      </c>
      <c r="Q256" s="4">
        <v>155.65</v>
      </c>
      <c r="R256" s="4">
        <v>96.63</v>
      </c>
      <c r="S256" s="19">
        <v>144</v>
      </c>
      <c r="T256" s="19">
        <v>2628</v>
      </c>
      <c r="U256" s="19">
        <v>180</v>
      </c>
      <c r="V256" s="19">
        <v>468</v>
      </c>
      <c r="W256" s="19">
        <v>92</v>
      </c>
      <c r="X256" s="19">
        <v>2804</v>
      </c>
      <c r="Y256" s="19">
        <v>96</v>
      </c>
      <c r="Z256" s="19">
        <v>140</v>
      </c>
      <c r="AA256" s="14">
        <v>1</v>
      </c>
    </row>
    <row r="257" spans="1:27">
      <c r="A257" s="16">
        <v>46160.65625</v>
      </c>
      <c r="B257" s="17">
        <v>46160</v>
      </c>
      <c r="C257" s="18">
        <v>0.65625</v>
      </c>
      <c r="D257" t="s">
        <v>75</v>
      </c>
      <c r="E257" t="s">
        <v>142</v>
      </c>
      <c r="F257">
        <v>3</v>
      </c>
      <c r="G257" s="4">
        <v>124.07</v>
      </c>
      <c r="H257" s="4">
        <v>124.07</v>
      </c>
      <c r="I257" s="4">
        <v>0</v>
      </c>
      <c r="J257" s="4">
        <v>79.87</v>
      </c>
      <c r="K257" s="4">
        <v>79.87</v>
      </c>
      <c r="L257" s="4">
        <v>83.3</v>
      </c>
      <c r="M257" s="4">
        <v>114.53</v>
      </c>
      <c r="N257" s="4">
        <v>114.53</v>
      </c>
      <c r="O257" s="4">
        <v>88.47</v>
      </c>
      <c r="P257" s="4">
        <v>137.07</v>
      </c>
      <c r="Q257" s="4">
        <v>137.07</v>
      </c>
      <c r="R257" s="4">
        <v>98.5</v>
      </c>
      <c r="S257" s="19">
        <v>144</v>
      </c>
      <c r="T257" s="19">
        <v>2696</v>
      </c>
      <c r="U257" s="19">
        <v>104</v>
      </c>
      <c r="V257" s="19">
        <v>464</v>
      </c>
      <c r="W257" s="19">
        <v>40</v>
      </c>
      <c r="X257" s="19">
        <v>2972</v>
      </c>
      <c r="Y257" s="19">
        <v>120</v>
      </c>
      <c r="Z257" s="19">
        <v>304</v>
      </c>
      <c r="AA257" s="14">
        <v>1</v>
      </c>
    </row>
    <row r="258" spans="1:27">
      <c r="A258" s="16">
        <v>46160.666666666664</v>
      </c>
      <c r="B258" s="17">
        <v>46160</v>
      </c>
      <c r="C258" s="18">
        <v>0.66666666666666663</v>
      </c>
      <c r="D258" t="s">
        <v>75</v>
      </c>
      <c r="E258" t="s">
        <v>142</v>
      </c>
      <c r="F258">
        <v>3</v>
      </c>
      <c r="G258" s="4">
        <v>100.74</v>
      </c>
      <c r="H258" s="4">
        <v>100.74</v>
      </c>
      <c r="I258" s="4">
        <v>89.4</v>
      </c>
      <c r="J258" s="4">
        <v>97.18</v>
      </c>
      <c r="K258" s="4">
        <v>97.18</v>
      </c>
      <c r="L258" s="4">
        <v>93.04</v>
      </c>
      <c r="M258" s="4">
        <v>112.9</v>
      </c>
      <c r="N258" s="4">
        <v>112.9</v>
      </c>
      <c r="O258" s="4">
        <v>92.2</v>
      </c>
      <c r="P258" s="4">
        <v>127.5</v>
      </c>
      <c r="Q258" s="4">
        <v>127.5</v>
      </c>
      <c r="R258" s="4">
        <v>90.28</v>
      </c>
      <c r="S258" s="19">
        <v>440</v>
      </c>
      <c r="T258" s="19">
        <v>2564</v>
      </c>
      <c r="U258" s="19">
        <v>140</v>
      </c>
      <c r="V258" s="19">
        <v>400</v>
      </c>
      <c r="W258" s="19">
        <v>80</v>
      </c>
      <c r="X258" s="19">
        <v>2924</v>
      </c>
      <c r="Y258" s="19">
        <v>124</v>
      </c>
      <c r="Z258" s="19">
        <v>276</v>
      </c>
      <c r="AA258" s="14">
        <v>1</v>
      </c>
    </row>
    <row r="259" spans="1:27">
      <c r="A259" s="16">
        <v>46160.677083333336</v>
      </c>
      <c r="B259" s="17">
        <v>46160</v>
      </c>
      <c r="C259" s="18">
        <v>0.67708333333333337</v>
      </c>
      <c r="D259" t="s">
        <v>75</v>
      </c>
      <c r="E259" t="s">
        <v>142</v>
      </c>
      <c r="F259">
        <v>3</v>
      </c>
      <c r="G259" s="4">
        <v>110.83</v>
      </c>
      <c r="H259" s="4">
        <v>110.83</v>
      </c>
      <c r="I259" s="4">
        <v>90.8</v>
      </c>
      <c r="J259" s="4">
        <v>84.53</v>
      </c>
      <c r="K259" s="4">
        <v>84.53</v>
      </c>
      <c r="L259" s="4">
        <v>98.2</v>
      </c>
      <c r="M259" s="4">
        <v>114.84</v>
      </c>
      <c r="N259" s="4">
        <v>114.84</v>
      </c>
      <c r="O259" s="4">
        <v>89.17</v>
      </c>
      <c r="P259" s="4">
        <v>62.9</v>
      </c>
      <c r="Q259" s="4">
        <v>62.9</v>
      </c>
      <c r="R259" s="4">
        <v>98.46</v>
      </c>
      <c r="S259" s="19">
        <v>236</v>
      </c>
      <c r="T259" s="19">
        <v>2440</v>
      </c>
      <c r="U259" s="19">
        <v>168</v>
      </c>
      <c r="V259" s="19">
        <v>480</v>
      </c>
      <c r="W259" s="19">
        <v>80</v>
      </c>
      <c r="X259" s="19">
        <v>2976</v>
      </c>
      <c r="Y259" s="19">
        <v>148</v>
      </c>
      <c r="Z259" s="19">
        <v>272</v>
      </c>
      <c r="AA259" s="14">
        <v>1</v>
      </c>
    </row>
    <row r="260" spans="1:27">
      <c r="A260" s="16">
        <v>46160.6875</v>
      </c>
      <c r="B260" s="17">
        <v>46160</v>
      </c>
      <c r="C260" s="18">
        <v>0.6875</v>
      </c>
      <c r="D260" t="s">
        <v>75</v>
      </c>
      <c r="E260" t="s">
        <v>142</v>
      </c>
      <c r="F260">
        <v>3</v>
      </c>
      <c r="G260" s="4">
        <v>98.14</v>
      </c>
      <c r="H260" s="4">
        <v>98.14</v>
      </c>
      <c r="I260" s="4">
        <v>90.5</v>
      </c>
      <c r="J260" s="4">
        <v>75.8</v>
      </c>
      <c r="K260" s="4">
        <v>75.8</v>
      </c>
      <c r="L260" s="4">
        <v>73.400000000000006</v>
      </c>
      <c r="M260" s="4">
        <v>96.33</v>
      </c>
      <c r="N260" s="4">
        <v>96.33</v>
      </c>
      <c r="O260" s="4">
        <v>92.88</v>
      </c>
      <c r="P260" s="4">
        <v>72.150000000000006</v>
      </c>
      <c r="Q260" s="4">
        <v>72.150000000000006</v>
      </c>
      <c r="R260" s="4">
        <v>101.1</v>
      </c>
      <c r="S260" s="19">
        <v>116</v>
      </c>
      <c r="T260" s="19">
        <v>2564</v>
      </c>
      <c r="U260" s="19">
        <v>128</v>
      </c>
      <c r="V260" s="19">
        <v>328</v>
      </c>
      <c r="W260" s="19">
        <v>44</v>
      </c>
      <c r="X260" s="19">
        <v>2908</v>
      </c>
      <c r="Y260" s="19">
        <v>432</v>
      </c>
      <c r="Z260" s="19">
        <v>208</v>
      </c>
      <c r="AA260" s="14">
        <v>1</v>
      </c>
    </row>
    <row r="261" spans="1:27">
      <c r="A261" s="16">
        <v>46160.697916666664</v>
      </c>
      <c r="B261" s="17">
        <v>46160</v>
      </c>
      <c r="C261" s="18">
        <v>0.69791666666666663</v>
      </c>
      <c r="D261" t="s">
        <v>75</v>
      </c>
      <c r="E261" t="s">
        <v>142</v>
      </c>
      <c r="F261">
        <v>3</v>
      </c>
      <c r="G261" s="4">
        <v>106.7</v>
      </c>
      <c r="H261" s="4">
        <v>106.7</v>
      </c>
      <c r="I261" s="4">
        <v>89.17</v>
      </c>
      <c r="J261" s="4">
        <v>98.24</v>
      </c>
      <c r="K261" s="4">
        <v>98.24</v>
      </c>
      <c r="L261" s="4">
        <v>61.05</v>
      </c>
      <c r="M261" s="4">
        <v>162.72999999999999</v>
      </c>
      <c r="N261" s="4">
        <v>162.72999999999999</v>
      </c>
      <c r="O261" s="4">
        <v>93.7</v>
      </c>
      <c r="P261" s="4">
        <v>22.13</v>
      </c>
      <c r="Q261" s="4">
        <v>22.13</v>
      </c>
      <c r="R261" s="4">
        <v>96.93</v>
      </c>
      <c r="S261" s="19">
        <v>124</v>
      </c>
      <c r="T261" s="19">
        <v>2632</v>
      </c>
      <c r="U261" s="19">
        <v>160</v>
      </c>
      <c r="V261" s="19">
        <v>340</v>
      </c>
      <c r="W261" s="19">
        <v>72</v>
      </c>
      <c r="X261" s="19">
        <v>2788</v>
      </c>
      <c r="Y261" s="19">
        <v>144</v>
      </c>
      <c r="Z261" s="19">
        <v>220</v>
      </c>
      <c r="AA261" s="14">
        <v>1</v>
      </c>
    </row>
    <row r="262" spans="1:27">
      <c r="A262" s="16">
        <v>46160.708333333336</v>
      </c>
      <c r="B262" s="17">
        <v>46160</v>
      </c>
      <c r="C262" s="18">
        <v>0.70833333333333337</v>
      </c>
      <c r="D262" t="s">
        <v>75</v>
      </c>
      <c r="E262" t="s">
        <v>142</v>
      </c>
      <c r="F262">
        <v>3</v>
      </c>
      <c r="G262" s="4">
        <v>100.3</v>
      </c>
      <c r="H262" s="4">
        <v>100.3</v>
      </c>
      <c r="I262" s="4">
        <v>86.7</v>
      </c>
      <c r="J262" s="4">
        <v>52.18</v>
      </c>
      <c r="K262" s="4">
        <v>52.18</v>
      </c>
      <c r="L262" s="4">
        <v>80.72</v>
      </c>
      <c r="M262" s="4">
        <v>84.22</v>
      </c>
      <c r="N262" s="4">
        <v>84.22</v>
      </c>
      <c r="O262" s="4">
        <v>76.569999999999993</v>
      </c>
      <c r="P262" s="4">
        <v>99.25</v>
      </c>
      <c r="Q262" s="4">
        <v>99.25</v>
      </c>
      <c r="R262" s="4">
        <v>82.5</v>
      </c>
      <c r="S262" s="19">
        <v>120</v>
      </c>
      <c r="T262" s="19">
        <v>2616</v>
      </c>
      <c r="U262" s="19">
        <v>352</v>
      </c>
      <c r="V262" s="19">
        <v>312</v>
      </c>
      <c r="W262" s="19">
        <v>100</v>
      </c>
      <c r="X262" s="19">
        <v>2924</v>
      </c>
      <c r="Y262" s="19">
        <v>228</v>
      </c>
      <c r="Z262" s="19">
        <v>228</v>
      </c>
      <c r="AA262" s="14">
        <v>1</v>
      </c>
    </row>
    <row r="263" spans="1:27">
      <c r="A263" s="16">
        <v>46160.71875</v>
      </c>
      <c r="B263" s="17">
        <v>46160</v>
      </c>
      <c r="C263" s="18">
        <v>0.71875</v>
      </c>
      <c r="D263" t="s">
        <v>75</v>
      </c>
      <c r="E263" t="s">
        <v>142</v>
      </c>
      <c r="F263">
        <v>3</v>
      </c>
      <c r="G263" s="4">
        <v>87.2</v>
      </c>
      <c r="H263" s="4">
        <v>87.2</v>
      </c>
      <c r="I263" s="4">
        <v>0</v>
      </c>
      <c r="J263" s="4">
        <v>81.2</v>
      </c>
      <c r="K263" s="4">
        <v>81.2</v>
      </c>
      <c r="L263" s="4">
        <v>82.38</v>
      </c>
      <c r="M263" s="4">
        <v>108.9</v>
      </c>
      <c r="N263" s="4">
        <v>108.9</v>
      </c>
      <c r="O263" s="4">
        <v>97.87</v>
      </c>
      <c r="P263" s="4">
        <v>121.3</v>
      </c>
      <c r="Q263" s="4">
        <v>121.3</v>
      </c>
      <c r="R263" s="4">
        <v>97.2</v>
      </c>
      <c r="S263" s="19">
        <v>104</v>
      </c>
      <c r="T263" s="19">
        <v>2948</v>
      </c>
      <c r="U263" s="19">
        <v>152</v>
      </c>
      <c r="V263" s="19">
        <v>432</v>
      </c>
      <c r="W263" s="19">
        <v>76</v>
      </c>
      <c r="X263" s="19">
        <v>2944</v>
      </c>
      <c r="Y263" s="19">
        <v>116</v>
      </c>
      <c r="Z263" s="19">
        <v>128</v>
      </c>
      <c r="AA263" s="14">
        <v>1</v>
      </c>
    </row>
    <row r="264" spans="1:27">
      <c r="A264" s="16">
        <v>46160.729166666664</v>
      </c>
      <c r="B264" s="17">
        <v>46160</v>
      </c>
      <c r="C264" s="18">
        <v>0.72916666666666663</v>
      </c>
      <c r="D264" t="s">
        <v>75</v>
      </c>
      <c r="E264" t="s">
        <v>142</v>
      </c>
      <c r="F264">
        <v>3</v>
      </c>
      <c r="G264" s="4">
        <v>90.66</v>
      </c>
      <c r="H264" s="4">
        <v>90.66</v>
      </c>
      <c r="I264" s="4">
        <v>88.9</v>
      </c>
      <c r="J264" s="4">
        <v>77.400000000000006</v>
      </c>
      <c r="K264" s="4">
        <v>77.400000000000006</v>
      </c>
      <c r="L264" s="4">
        <v>87.08</v>
      </c>
      <c r="M264" s="4">
        <v>101.65</v>
      </c>
      <c r="N264" s="4">
        <v>101.65</v>
      </c>
      <c r="O264" s="4">
        <v>98.85</v>
      </c>
      <c r="P264" s="4">
        <v>104.05</v>
      </c>
      <c r="Q264" s="4">
        <v>104.05</v>
      </c>
      <c r="R264" s="4">
        <v>0</v>
      </c>
      <c r="S264" s="19">
        <v>188</v>
      </c>
      <c r="T264" s="19">
        <v>2580</v>
      </c>
      <c r="U264" s="19">
        <v>92</v>
      </c>
      <c r="V264" s="19">
        <v>400</v>
      </c>
      <c r="W264" s="19">
        <v>76</v>
      </c>
      <c r="X264" s="19">
        <v>2988</v>
      </c>
      <c r="Y264" s="19">
        <v>248</v>
      </c>
      <c r="Z264" s="19">
        <v>228</v>
      </c>
      <c r="AA264" s="14">
        <v>1</v>
      </c>
    </row>
    <row r="265" spans="1:27">
      <c r="A265" s="16">
        <v>46160.739583333336</v>
      </c>
      <c r="B265" s="17">
        <v>46160</v>
      </c>
      <c r="C265" s="18">
        <v>0.73958333333333337</v>
      </c>
      <c r="D265" t="s">
        <v>75</v>
      </c>
      <c r="E265" t="s">
        <v>142</v>
      </c>
      <c r="F265">
        <v>3</v>
      </c>
      <c r="G265" s="4">
        <v>111.5</v>
      </c>
      <c r="H265" s="4">
        <v>111.5</v>
      </c>
      <c r="I265" s="4">
        <v>0</v>
      </c>
      <c r="J265" s="4">
        <v>54.35</v>
      </c>
      <c r="K265" s="4">
        <v>54.35</v>
      </c>
      <c r="L265" s="4">
        <v>94.12</v>
      </c>
      <c r="M265" s="4">
        <v>107.9</v>
      </c>
      <c r="N265" s="4">
        <v>107.9</v>
      </c>
      <c r="O265" s="4">
        <v>78.75</v>
      </c>
      <c r="P265" s="4">
        <v>124.97</v>
      </c>
      <c r="Q265" s="4">
        <v>124.97</v>
      </c>
      <c r="R265" s="4">
        <v>91.9</v>
      </c>
      <c r="S265" s="19">
        <v>140</v>
      </c>
      <c r="T265" s="19">
        <v>2456</v>
      </c>
      <c r="U265" s="19">
        <v>116</v>
      </c>
      <c r="V265" s="19">
        <v>396</v>
      </c>
      <c r="W265" s="19">
        <v>84</v>
      </c>
      <c r="X265" s="19">
        <v>2780</v>
      </c>
      <c r="Y265" s="19">
        <v>176</v>
      </c>
      <c r="Z265" s="19">
        <v>244</v>
      </c>
      <c r="AA265" s="14">
        <v>1</v>
      </c>
    </row>
    <row r="266" spans="1:27">
      <c r="A266" s="16">
        <v>46160.75</v>
      </c>
      <c r="B266" s="17">
        <v>46160</v>
      </c>
      <c r="C266" s="18">
        <v>0.75</v>
      </c>
      <c r="D266" t="s">
        <v>75</v>
      </c>
      <c r="E266" t="s">
        <v>142</v>
      </c>
      <c r="F266">
        <v>3</v>
      </c>
      <c r="G266" s="4">
        <v>103.7</v>
      </c>
      <c r="H266" s="4">
        <v>103.7</v>
      </c>
      <c r="I266" s="4">
        <v>95</v>
      </c>
      <c r="J266" s="4">
        <v>92.74</v>
      </c>
      <c r="K266" s="4">
        <v>92.74</v>
      </c>
      <c r="L266" s="4">
        <v>97.06</v>
      </c>
      <c r="M266" s="4">
        <v>113.47</v>
      </c>
      <c r="N266" s="4">
        <v>113.47</v>
      </c>
      <c r="O266" s="4">
        <v>96.27</v>
      </c>
      <c r="P266" s="4">
        <v>116.92</v>
      </c>
      <c r="Q266" s="4">
        <v>116.92</v>
      </c>
      <c r="R266" s="4">
        <v>94.88</v>
      </c>
      <c r="S266" s="19">
        <v>140</v>
      </c>
      <c r="T266" s="19">
        <v>2256</v>
      </c>
      <c r="U266" s="19">
        <v>120</v>
      </c>
      <c r="V266" s="19">
        <v>472</v>
      </c>
      <c r="W266" s="19">
        <v>64</v>
      </c>
      <c r="X266" s="19">
        <v>2760</v>
      </c>
      <c r="Y266" s="19">
        <v>188</v>
      </c>
      <c r="Z266" s="19">
        <v>252</v>
      </c>
      <c r="AA266" s="14">
        <v>1</v>
      </c>
    </row>
    <row r="267" spans="1:27">
      <c r="A267" s="16">
        <v>46160.760416666664</v>
      </c>
      <c r="B267" s="17">
        <v>46160</v>
      </c>
      <c r="C267" s="18">
        <v>0.76041666666666663</v>
      </c>
      <c r="D267" t="s">
        <v>75</v>
      </c>
      <c r="E267" t="s">
        <v>142</v>
      </c>
      <c r="F267">
        <v>3</v>
      </c>
      <c r="G267" s="4">
        <v>121.02</v>
      </c>
      <c r="H267" s="4">
        <v>121.02</v>
      </c>
      <c r="I267" s="4">
        <v>83.95</v>
      </c>
      <c r="J267" s="4">
        <v>54.14</v>
      </c>
      <c r="K267" s="4">
        <v>54.14</v>
      </c>
      <c r="L267" s="4">
        <v>97</v>
      </c>
      <c r="M267" s="4">
        <v>142.13999999999999</v>
      </c>
      <c r="N267" s="4">
        <v>142.13999999999999</v>
      </c>
      <c r="O267" s="4">
        <v>93</v>
      </c>
      <c r="P267" s="4">
        <v>116.56</v>
      </c>
      <c r="Q267" s="4">
        <v>116.56</v>
      </c>
      <c r="R267" s="4">
        <v>102.2</v>
      </c>
      <c r="S267" s="19">
        <v>296</v>
      </c>
      <c r="T267" s="19">
        <v>2216</v>
      </c>
      <c r="U267" s="19">
        <v>92</v>
      </c>
      <c r="V267" s="19">
        <v>592</v>
      </c>
      <c r="W267" s="19">
        <v>112</v>
      </c>
      <c r="X267" s="19">
        <v>2632</v>
      </c>
      <c r="Y267" s="19">
        <v>192</v>
      </c>
      <c r="Z267" s="19">
        <v>244</v>
      </c>
      <c r="AA267" s="14">
        <v>1</v>
      </c>
    </row>
    <row r="268" spans="1:27">
      <c r="A268" s="16">
        <v>46160.770833333336</v>
      </c>
      <c r="B268" s="17">
        <v>46160</v>
      </c>
      <c r="C268" s="18">
        <v>0.77083333333333337</v>
      </c>
      <c r="D268" t="s">
        <v>75</v>
      </c>
      <c r="E268" t="s">
        <v>142</v>
      </c>
      <c r="F268">
        <v>3</v>
      </c>
      <c r="G268" s="4">
        <v>96.43</v>
      </c>
      <c r="H268" s="4">
        <v>96.43</v>
      </c>
      <c r="I268" s="4">
        <v>88.4</v>
      </c>
      <c r="J268" s="4">
        <v>91.47</v>
      </c>
      <c r="K268" s="4">
        <v>91.47</v>
      </c>
      <c r="L268" s="4">
        <v>100.1</v>
      </c>
      <c r="M268" s="4">
        <v>113.7</v>
      </c>
      <c r="N268" s="4">
        <v>113.7</v>
      </c>
      <c r="O268" s="4">
        <v>92.8</v>
      </c>
      <c r="P268" s="4">
        <v>85.97</v>
      </c>
      <c r="Q268" s="4">
        <v>85.97</v>
      </c>
      <c r="R268" s="4">
        <v>0</v>
      </c>
      <c r="S268" s="19">
        <v>216</v>
      </c>
      <c r="T268" s="19">
        <v>2224</v>
      </c>
      <c r="U268" s="19">
        <v>180</v>
      </c>
      <c r="V268" s="19">
        <v>444</v>
      </c>
      <c r="W268" s="19">
        <v>84</v>
      </c>
      <c r="X268" s="19">
        <v>2708</v>
      </c>
      <c r="Y268" s="19">
        <v>140</v>
      </c>
      <c r="Z268" s="19">
        <v>264</v>
      </c>
      <c r="AA268" s="14">
        <v>1</v>
      </c>
    </row>
    <row r="269" spans="1:27">
      <c r="A269" s="16">
        <v>46160.78125</v>
      </c>
      <c r="B269" s="17">
        <v>46160</v>
      </c>
      <c r="C269" s="18">
        <v>0.78125</v>
      </c>
      <c r="D269" t="s">
        <v>75</v>
      </c>
      <c r="E269" t="s">
        <v>142</v>
      </c>
      <c r="F269">
        <v>3</v>
      </c>
      <c r="G269" s="4">
        <v>109.42</v>
      </c>
      <c r="H269" s="4">
        <v>109.42</v>
      </c>
      <c r="I269" s="4">
        <v>84.65</v>
      </c>
      <c r="J269" s="4">
        <v>65.38</v>
      </c>
      <c r="K269" s="4">
        <v>65.38</v>
      </c>
      <c r="L269" s="4">
        <v>78</v>
      </c>
      <c r="M269" s="4">
        <v>110.47</v>
      </c>
      <c r="N269" s="4">
        <v>110.47</v>
      </c>
      <c r="O269" s="4">
        <v>94.73</v>
      </c>
      <c r="P269" s="4">
        <v>106.02</v>
      </c>
      <c r="Q269" s="4">
        <v>106.02</v>
      </c>
      <c r="R269" s="4">
        <v>100.02</v>
      </c>
      <c r="S269" s="19">
        <v>208</v>
      </c>
      <c r="T269" s="19">
        <v>2464</v>
      </c>
      <c r="U269" s="19">
        <v>92</v>
      </c>
      <c r="V269" s="19">
        <v>504</v>
      </c>
      <c r="W269" s="19">
        <v>64</v>
      </c>
      <c r="X269" s="19">
        <v>2764</v>
      </c>
      <c r="Y269" s="19">
        <v>152</v>
      </c>
      <c r="Z269" s="19">
        <v>212</v>
      </c>
      <c r="AA269" s="14">
        <v>1</v>
      </c>
    </row>
    <row r="270" spans="1:27">
      <c r="A270" s="16">
        <v>46160.791666666664</v>
      </c>
      <c r="B270" s="17">
        <v>46160</v>
      </c>
      <c r="C270" s="18">
        <v>0.79166666666666663</v>
      </c>
      <c r="D270" t="s">
        <v>75</v>
      </c>
      <c r="E270" t="s">
        <v>142</v>
      </c>
      <c r="F270">
        <v>3</v>
      </c>
      <c r="G270" s="4">
        <v>116.12</v>
      </c>
      <c r="H270" s="4">
        <v>116.12</v>
      </c>
      <c r="I270" s="4">
        <v>88.7</v>
      </c>
      <c r="J270" s="4">
        <v>107.85</v>
      </c>
      <c r="K270" s="4">
        <v>107.85</v>
      </c>
      <c r="L270" s="4">
        <v>92.9</v>
      </c>
      <c r="M270" s="4">
        <v>107.8</v>
      </c>
      <c r="N270" s="4">
        <v>107.8</v>
      </c>
      <c r="O270" s="4">
        <v>89.97</v>
      </c>
      <c r="P270" s="4">
        <v>114.48</v>
      </c>
      <c r="Q270" s="4">
        <v>114.48</v>
      </c>
      <c r="R270" s="4">
        <v>94.47</v>
      </c>
      <c r="S270" s="19">
        <v>148</v>
      </c>
      <c r="T270" s="19">
        <v>2236</v>
      </c>
      <c r="U270" s="19">
        <v>96</v>
      </c>
      <c r="V270" s="19">
        <v>336</v>
      </c>
      <c r="W270" s="19">
        <v>152</v>
      </c>
      <c r="X270" s="19">
        <v>2256</v>
      </c>
      <c r="Y270" s="19">
        <v>164</v>
      </c>
      <c r="Z270" s="19">
        <v>208</v>
      </c>
      <c r="AA270" s="14">
        <v>1</v>
      </c>
    </row>
    <row r="271" spans="1:27">
      <c r="A271" s="16">
        <v>46160.802083333336</v>
      </c>
      <c r="B271" s="17">
        <v>46160</v>
      </c>
      <c r="C271" s="18">
        <v>0.80208333333333337</v>
      </c>
      <c r="D271" t="s">
        <v>75</v>
      </c>
      <c r="E271" t="s">
        <v>142</v>
      </c>
      <c r="F271">
        <v>3</v>
      </c>
      <c r="G271" s="4">
        <v>114.4</v>
      </c>
      <c r="H271" s="4">
        <v>114.4</v>
      </c>
      <c r="I271" s="4">
        <v>86.25</v>
      </c>
      <c r="J271" s="4">
        <v>63.08</v>
      </c>
      <c r="K271" s="4">
        <v>63.08</v>
      </c>
      <c r="L271" s="4">
        <v>65.92</v>
      </c>
      <c r="M271" s="4">
        <v>75.2</v>
      </c>
      <c r="N271" s="4">
        <v>75.2</v>
      </c>
      <c r="O271" s="4">
        <v>88.97</v>
      </c>
      <c r="P271" s="4">
        <v>102.13</v>
      </c>
      <c r="Q271" s="4">
        <v>102.13</v>
      </c>
      <c r="R271" s="4">
        <v>87.12</v>
      </c>
      <c r="S271" s="19">
        <v>184</v>
      </c>
      <c r="T271" s="19">
        <v>2156</v>
      </c>
      <c r="U271" s="19">
        <v>104</v>
      </c>
      <c r="V271" s="19">
        <v>320</v>
      </c>
      <c r="W271" s="19">
        <v>56</v>
      </c>
      <c r="X271" s="19">
        <v>2348</v>
      </c>
      <c r="Y271" s="19">
        <v>164</v>
      </c>
      <c r="Z271" s="19">
        <v>220</v>
      </c>
      <c r="AA271" s="14">
        <v>1</v>
      </c>
    </row>
    <row r="272" spans="1:27">
      <c r="A272" s="16">
        <v>46160.8125</v>
      </c>
      <c r="B272" s="17">
        <v>46160</v>
      </c>
      <c r="C272" s="18">
        <v>0.8125</v>
      </c>
      <c r="D272" t="s">
        <v>75</v>
      </c>
      <c r="E272" t="s">
        <v>142</v>
      </c>
      <c r="F272">
        <v>3</v>
      </c>
      <c r="G272" s="4">
        <v>88.96</v>
      </c>
      <c r="H272" s="4">
        <v>88.96</v>
      </c>
      <c r="I272" s="4">
        <v>73.7</v>
      </c>
      <c r="J272" s="4">
        <v>83.25</v>
      </c>
      <c r="K272" s="4">
        <v>83.25</v>
      </c>
      <c r="L272" s="4">
        <v>70.87</v>
      </c>
      <c r="M272" s="4">
        <v>82.5</v>
      </c>
      <c r="N272" s="4">
        <v>82.5</v>
      </c>
      <c r="O272" s="4">
        <v>62.19</v>
      </c>
      <c r="P272" s="4">
        <v>78.53</v>
      </c>
      <c r="Q272" s="4">
        <v>78.53</v>
      </c>
      <c r="R272" s="4">
        <v>83.56</v>
      </c>
      <c r="S272" s="19">
        <v>84</v>
      </c>
      <c r="T272" s="19">
        <v>2092</v>
      </c>
      <c r="U272" s="19">
        <v>68</v>
      </c>
      <c r="V272" s="19">
        <v>380</v>
      </c>
      <c r="W272" s="19">
        <v>88</v>
      </c>
      <c r="X272" s="19">
        <v>1968</v>
      </c>
      <c r="Y272" s="19">
        <v>172</v>
      </c>
      <c r="Z272" s="19">
        <v>224</v>
      </c>
      <c r="AA272" s="14">
        <v>1</v>
      </c>
    </row>
    <row r="273" spans="1:27">
      <c r="A273" s="16">
        <v>46160.822916666664</v>
      </c>
      <c r="B273" s="17">
        <v>46160</v>
      </c>
      <c r="C273" s="18">
        <v>0.82291666666666663</v>
      </c>
      <c r="D273" t="s">
        <v>75</v>
      </c>
      <c r="E273" t="s">
        <v>142</v>
      </c>
      <c r="F273">
        <v>3</v>
      </c>
      <c r="G273" s="4">
        <v>101.94</v>
      </c>
      <c r="H273" s="4">
        <v>101.94</v>
      </c>
      <c r="I273" s="4">
        <v>60.25</v>
      </c>
      <c r="J273" s="4">
        <v>59.66</v>
      </c>
      <c r="K273" s="4">
        <v>59.66</v>
      </c>
      <c r="L273" s="4">
        <v>48.63</v>
      </c>
      <c r="M273" s="4">
        <v>80.7</v>
      </c>
      <c r="N273" s="4">
        <v>80.7</v>
      </c>
      <c r="O273" s="4">
        <v>62.35</v>
      </c>
      <c r="P273" s="4">
        <v>69.64</v>
      </c>
      <c r="Q273" s="4">
        <v>69.64</v>
      </c>
      <c r="R273" s="4">
        <v>78.62</v>
      </c>
      <c r="S273" s="19">
        <v>116</v>
      </c>
      <c r="T273" s="19">
        <v>2124</v>
      </c>
      <c r="U273" s="19">
        <v>80</v>
      </c>
      <c r="V273" s="19">
        <v>392</v>
      </c>
      <c r="W273" s="19">
        <v>56</v>
      </c>
      <c r="X273" s="19">
        <v>2076</v>
      </c>
      <c r="Y273" s="19">
        <v>204</v>
      </c>
      <c r="Z273" s="19">
        <v>176</v>
      </c>
      <c r="AA273" s="14">
        <v>1</v>
      </c>
    </row>
    <row r="274" spans="1:27">
      <c r="A274" s="16">
        <v>46160.833333333336</v>
      </c>
      <c r="B274" s="17">
        <v>46160</v>
      </c>
      <c r="C274" s="18">
        <v>0.83333333333333337</v>
      </c>
      <c r="D274" t="s">
        <v>75</v>
      </c>
      <c r="E274" t="s">
        <v>142</v>
      </c>
      <c r="F274">
        <v>3</v>
      </c>
      <c r="G274" s="4">
        <v>105.52</v>
      </c>
      <c r="H274" s="4">
        <v>105.52</v>
      </c>
      <c r="I274" s="4">
        <v>62.86</v>
      </c>
      <c r="J274" s="4">
        <v>53.9</v>
      </c>
      <c r="K274" s="4">
        <v>53.9</v>
      </c>
      <c r="L274" s="4">
        <v>54.73</v>
      </c>
      <c r="M274" s="4">
        <v>93.9</v>
      </c>
      <c r="N274" s="4">
        <v>93.9</v>
      </c>
      <c r="O274" s="4">
        <v>80.5</v>
      </c>
      <c r="P274" s="4">
        <v>86.19</v>
      </c>
      <c r="Q274" s="4">
        <v>86.19</v>
      </c>
      <c r="R274" s="4">
        <v>64.83</v>
      </c>
      <c r="S274" s="19">
        <v>136</v>
      </c>
      <c r="T274" s="19">
        <v>1876</v>
      </c>
      <c r="U274" s="19">
        <v>164</v>
      </c>
      <c r="V274" s="19">
        <v>464</v>
      </c>
      <c r="W274" s="19">
        <v>44</v>
      </c>
      <c r="X274" s="19">
        <v>2288</v>
      </c>
      <c r="Y274" s="19">
        <v>104</v>
      </c>
      <c r="Z274" s="19">
        <v>184</v>
      </c>
      <c r="AA274" s="14">
        <v>1</v>
      </c>
    </row>
    <row r="275" spans="1:27">
      <c r="A275" s="16">
        <v>46160.84375</v>
      </c>
      <c r="B275" s="17">
        <v>46160</v>
      </c>
      <c r="C275" s="18">
        <v>0.84375</v>
      </c>
      <c r="D275" t="s">
        <v>75</v>
      </c>
      <c r="E275" t="s">
        <v>142</v>
      </c>
      <c r="F275">
        <v>3</v>
      </c>
      <c r="G275" s="4">
        <v>91.97</v>
      </c>
      <c r="H275" s="4">
        <v>91.97</v>
      </c>
      <c r="I275" s="4">
        <v>64.87</v>
      </c>
      <c r="J275" s="4">
        <v>43.72</v>
      </c>
      <c r="K275" s="4">
        <v>43.72</v>
      </c>
      <c r="L275" s="4">
        <v>46.22</v>
      </c>
      <c r="M275" s="4">
        <v>137.53</v>
      </c>
      <c r="N275" s="4">
        <v>137.53</v>
      </c>
      <c r="O275" s="4">
        <v>79.38</v>
      </c>
      <c r="P275" s="4">
        <v>87.7</v>
      </c>
      <c r="Q275" s="4">
        <v>87.7</v>
      </c>
      <c r="R275" s="4">
        <v>86.18</v>
      </c>
      <c r="S275" s="19">
        <v>208</v>
      </c>
      <c r="T275" s="19">
        <v>2052</v>
      </c>
      <c r="U275" s="19">
        <v>180</v>
      </c>
      <c r="V275" s="19">
        <v>288</v>
      </c>
      <c r="W275" s="19">
        <v>100</v>
      </c>
      <c r="X275" s="19">
        <v>2560</v>
      </c>
      <c r="Y275" s="19">
        <v>92</v>
      </c>
      <c r="Z275" s="19">
        <v>228</v>
      </c>
      <c r="AA275" s="14">
        <v>1</v>
      </c>
    </row>
    <row r="276" spans="1:27">
      <c r="A276" s="16">
        <v>46160.854166666664</v>
      </c>
      <c r="B276" s="17">
        <v>46160</v>
      </c>
      <c r="C276" s="18">
        <v>0.85416666666666663</v>
      </c>
      <c r="D276" t="s">
        <v>75</v>
      </c>
      <c r="E276" t="s">
        <v>142</v>
      </c>
      <c r="F276">
        <v>3</v>
      </c>
      <c r="G276" s="4">
        <v>79.86</v>
      </c>
      <c r="H276" s="4">
        <v>79.86</v>
      </c>
      <c r="I276" s="4">
        <v>70.67</v>
      </c>
      <c r="J276" s="4">
        <v>75.680000000000007</v>
      </c>
      <c r="K276" s="4">
        <v>75.680000000000007</v>
      </c>
      <c r="L276" s="4">
        <v>58.6</v>
      </c>
      <c r="M276" s="4">
        <v>86.61</v>
      </c>
      <c r="N276" s="4">
        <v>86.61</v>
      </c>
      <c r="O276" s="4">
        <v>81.069999999999993</v>
      </c>
      <c r="P276" s="4">
        <v>66.42</v>
      </c>
      <c r="Q276" s="4">
        <v>66.42</v>
      </c>
      <c r="R276" s="4">
        <v>87.53</v>
      </c>
      <c r="S276" s="19">
        <v>116</v>
      </c>
      <c r="T276" s="19">
        <v>2236</v>
      </c>
      <c r="U276" s="19">
        <v>168</v>
      </c>
      <c r="V276" s="19">
        <v>472</v>
      </c>
      <c r="W276" s="19">
        <v>80</v>
      </c>
      <c r="X276" s="19">
        <v>2156</v>
      </c>
      <c r="Y276" s="19">
        <v>172</v>
      </c>
      <c r="Z276" s="19">
        <v>212</v>
      </c>
      <c r="AA276" s="14">
        <v>1</v>
      </c>
    </row>
    <row r="277" spans="1:27">
      <c r="A277" s="16">
        <v>46160.864583333336</v>
      </c>
      <c r="B277" s="17">
        <v>46160</v>
      </c>
      <c r="C277" s="18">
        <v>0.86458333333333337</v>
      </c>
      <c r="D277" t="s">
        <v>75</v>
      </c>
      <c r="E277" t="s">
        <v>142</v>
      </c>
      <c r="F277">
        <v>3</v>
      </c>
      <c r="G277" s="4">
        <v>75.92</v>
      </c>
      <c r="H277" s="4">
        <v>75.92</v>
      </c>
      <c r="I277" s="4">
        <v>67.180000000000007</v>
      </c>
      <c r="J277" s="4">
        <v>60.47</v>
      </c>
      <c r="K277" s="4">
        <v>60.47</v>
      </c>
      <c r="L277" s="4">
        <v>61.42</v>
      </c>
      <c r="M277" s="4">
        <v>88.68</v>
      </c>
      <c r="N277" s="4">
        <v>88.68</v>
      </c>
      <c r="O277" s="4">
        <v>84.14</v>
      </c>
      <c r="P277" s="4">
        <v>75.88</v>
      </c>
      <c r="Q277" s="4">
        <v>75.88</v>
      </c>
      <c r="R277" s="4">
        <v>81.62</v>
      </c>
      <c r="S277" s="19">
        <v>128</v>
      </c>
      <c r="T277" s="19">
        <v>2132</v>
      </c>
      <c r="U277" s="19">
        <v>68</v>
      </c>
      <c r="V277" s="19">
        <v>216</v>
      </c>
      <c r="W277" s="19">
        <v>96</v>
      </c>
      <c r="X277" s="19">
        <v>2292</v>
      </c>
      <c r="Y277" s="19">
        <v>124</v>
      </c>
      <c r="Z277" s="19">
        <v>208</v>
      </c>
      <c r="AA277" s="14">
        <v>1</v>
      </c>
    </row>
    <row r="278" spans="1:27">
      <c r="A278" s="16">
        <v>46160.875</v>
      </c>
      <c r="B278" s="17">
        <v>46160</v>
      </c>
      <c r="C278" s="18">
        <v>0.875</v>
      </c>
      <c r="D278" t="s">
        <v>75</v>
      </c>
      <c r="E278" t="s">
        <v>142</v>
      </c>
      <c r="F278">
        <v>3</v>
      </c>
      <c r="G278" s="4">
        <v>100.8</v>
      </c>
      <c r="H278" s="4">
        <v>100.8</v>
      </c>
      <c r="I278" s="4">
        <v>69.73</v>
      </c>
      <c r="J278" s="4">
        <v>63.6</v>
      </c>
      <c r="K278" s="4">
        <v>63.6</v>
      </c>
      <c r="L278" s="4">
        <v>60.16</v>
      </c>
      <c r="M278" s="4">
        <v>97.6</v>
      </c>
      <c r="N278" s="4">
        <v>97.6</v>
      </c>
      <c r="O278" s="4">
        <v>79.930000000000007</v>
      </c>
      <c r="P278" s="4">
        <v>57.31</v>
      </c>
      <c r="Q278" s="4">
        <v>57.31</v>
      </c>
      <c r="R278" s="4">
        <v>96.12</v>
      </c>
      <c r="S278" s="19">
        <v>300</v>
      </c>
      <c r="T278" s="19">
        <v>2192</v>
      </c>
      <c r="U278" s="19">
        <v>112</v>
      </c>
      <c r="V278" s="19">
        <v>220</v>
      </c>
      <c r="W278" s="19">
        <v>48</v>
      </c>
      <c r="X278" s="19">
        <v>2092</v>
      </c>
      <c r="Y278" s="19">
        <v>104</v>
      </c>
      <c r="Z278" s="19">
        <v>172</v>
      </c>
      <c r="AA278" s="14">
        <v>1</v>
      </c>
    </row>
    <row r="279" spans="1:27">
      <c r="A279" s="16">
        <v>46160.885416666664</v>
      </c>
      <c r="B279" s="17">
        <v>46160</v>
      </c>
      <c r="C279" s="18">
        <v>0.88541666666666663</v>
      </c>
      <c r="D279" t="s">
        <v>75</v>
      </c>
      <c r="E279" t="s">
        <v>142</v>
      </c>
      <c r="F279">
        <v>3</v>
      </c>
      <c r="G279" s="4">
        <v>87.94</v>
      </c>
      <c r="H279" s="4">
        <v>87.94</v>
      </c>
      <c r="I279" s="4">
        <v>51.06</v>
      </c>
      <c r="J279" s="4">
        <v>92.35</v>
      </c>
      <c r="K279" s="4">
        <v>92.35</v>
      </c>
      <c r="L279" s="4">
        <v>79.14</v>
      </c>
      <c r="M279" s="4">
        <v>97.28</v>
      </c>
      <c r="N279" s="4">
        <v>97.28</v>
      </c>
      <c r="O279" s="4">
        <v>72.650000000000006</v>
      </c>
      <c r="P279" s="4">
        <v>87.22</v>
      </c>
      <c r="Q279" s="4">
        <v>87.22</v>
      </c>
      <c r="R279" s="4">
        <v>89.2</v>
      </c>
      <c r="S279" s="19">
        <v>164</v>
      </c>
      <c r="T279" s="19">
        <v>1996</v>
      </c>
      <c r="U279" s="19">
        <v>76</v>
      </c>
      <c r="V279" s="19">
        <v>156</v>
      </c>
      <c r="W279" s="19">
        <v>48</v>
      </c>
      <c r="X279" s="19">
        <v>2108</v>
      </c>
      <c r="Y279" s="19">
        <v>84</v>
      </c>
      <c r="Z279" s="19">
        <v>128</v>
      </c>
      <c r="AA279" s="14">
        <v>1</v>
      </c>
    </row>
    <row r="280" spans="1:27">
      <c r="A280" s="16">
        <v>46160.895833333336</v>
      </c>
      <c r="B280" s="17">
        <v>46160</v>
      </c>
      <c r="C280" s="18">
        <v>0.89583333333333337</v>
      </c>
      <c r="D280" t="s">
        <v>75</v>
      </c>
      <c r="E280" t="s">
        <v>142</v>
      </c>
      <c r="F280">
        <v>3</v>
      </c>
      <c r="G280" s="4">
        <v>100.5</v>
      </c>
      <c r="H280" s="4">
        <v>100.5</v>
      </c>
      <c r="I280" s="4">
        <v>41.75</v>
      </c>
      <c r="J280" s="4">
        <v>68.3</v>
      </c>
      <c r="K280" s="4">
        <v>68.3</v>
      </c>
      <c r="L280" s="4">
        <v>69.53</v>
      </c>
      <c r="M280" s="4">
        <v>91.32</v>
      </c>
      <c r="N280" s="4">
        <v>91.32</v>
      </c>
      <c r="O280" s="4">
        <v>66.650000000000006</v>
      </c>
      <c r="P280" s="4">
        <v>89.64</v>
      </c>
      <c r="Q280" s="4">
        <v>89.64</v>
      </c>
      <c r="R280" s="4">
        <v>90.8</v>
      </c>
      <c r="S280" s="19">
        <v>120</v>
      </c>
      <c r="T280" s="19">
        <v>1928</v>
      </c>
      <c r="U280" s="19">
        <v>56</v>
      </c>
      <c r="V280" s="19">
        <v>228</v>
      </c>
      <c r="W280" s="19">
        <v>52</v>
      </c>
      <c r="X280" s="19">
        <v>2312</v>
      </c>
      <c r="Y280" s="19">
        <v>100</v>
      </c>
      <c r="Z280" s="19">
        <v>156</v>
      </c>
      <c r="AA280" s="14">
        <v>1</v>
      </c>
    </row>
    <row r="281" spans="1:27">
      <c r="A281" s="16">
        <v>46160.90625</v>
      </c>
      <c r="B281" s="17">
        <v>46160</v>
      </c>
      <c r="C281" s="18">
        <v>0.90625</v>
      </c>
      <c r="D281" t="s">
        <v>75</v>
      </c>
      <c r="E281" t="s">
        <v>142</v>
      </c>
      <c r="F281">
        <v>3</v>
      </c>
      <c r="G281" s="4">
        <v>77.2</v>
      </c>
      <c r="H281" s="4">
        <v>77.2</v>
      </c>
      <c r="I281" s="4">
        <v>42.95</v>
      </c>
      <c r="J281" s="4">
        <v>58.95</v>
      </c>
      <c r="K281" s="4">
        <v>58.95</v>
      </c>
      <c r="L281" s="4">
        <v>80.900000000000006</v>
      </c>
      <c r="M281" s="4">
        <v>66.73</v>
      </c>
      <c r="N281" s="4">
        <v>66.73</v>
      </c>
      <c r="O281" s="4">
        <v>67.17</v>
      </c>
      <c r="P281" s="4">
        <v>80.37</v>
      </c>
      <c r="Q281" s="4">
        <v>80.37</v>
      </c>
      <c r="R281" s="4">
        <v>88.95</v>
      </c>
      <c r="S281" s="19">
        <v>160</v>
      </c>
      <c r="T281" s="19">
        <v>1660</v>
      </c>
      <c r="U281" s="19">
        <v>140</v>
      </c>
      <c r="V281" s="19">
        <v>180</v>
      </c>
      <c r="W281" s="19">
        <v>44</v>
      </c>
      <c r="X281" s="19">
        <v>1936</v>
      </c>
      <c r="Y281" s="19">
        <v>116</v>
      </c>
      <c r="Z281" s="19">
        <v>120</v>
      </c>
      <c r="AA281" s="14">
        <v>1</v>
      </c>
    </row>
    <row r="282" spans="1:27">
      <c r="A282" s="16">
        <v>46160.916666666664</v>
      </c>
      <c r="B282" s="17">
        <v>46160</v>
      </c>
      <c r="C282" s="18">
        <v>0.91666666666666663</v>
      </c>
      <c r="D282" t="s">
        <v>75</v>
      </c>
      <c r="E282" t="s">
        <v>142</v>
      </c>
      <c r="F282">
        <v>3</v>
      </c>
      <c r="G282" s="4">
        <v>98.22</v>
      </c>
      <c r="H282" s="4">
        <v>98.22</v>
      </c>
      <c r="I282" s="4">
        <v>53</v>
      </c>
      <c r="J282" s="4">
        <v>35.159999999999997</v>
      </c>
      <c r="K282" s="4">
        <v>35.159999999999997</v>
      </c>
      <c r="L282" s="4">
        <v>65.66</v>
      </c>
      <c r="M282" s="4">
        <v>68.06</v>
      </c>
      <c r="N282" s="4">
        <v>68.06</v>
      </c>
      <c r="O282" s="4">
        <v>74.7</v>
      </c>
      <c r="P282" s="4">
        <v>108.68</v>
      </c>
      <c r="Q282" s="4">
        <v>108.68</v>
      </c>
      <c r="R282" s="4">
        <v>88.78</v>
      </c>
      <c r="S282" s="19">
        <v>140</v>
      </c>
      <c r="T282" s="19">
        <v>1728</v>
      </c>
      <c r="U282" s="19">
        <v>60</v>
      </c>
      <c r="V282" s="19">
        <v>252</v>
      </c>
      <c r="W282" s="19">
        <v>96</v>
      </c>
      <c r="X282" s="19">
        <v>2192</v>
      </c>
      <c r="Y282" s="19">
        <v>100</v>
      </c>
      <c r="Z282" s="19">
        <v>188</v>
      </c>
      <c r="AA282" s="14">
        <v>1</v>
      </c>
    </row>
    <row r="283" spans="1:27">
      <c r="A283" s="16">
        <v>46160.927083333336</v>
      </c>
      <c r="B283" s="17">
        <v>46160</v>
      </c>
      <c r="C283" s="18">
        <v>0.92708333333333337</v>
      </c>
      <c r="D283" t="s">
        <v>75</v>
      </c>
      <c r="E283" t="s">
        <v>142</v>
      </c>
      <c r="F283">
        <v>3</v>
      </c>
      <c r="G283" s="4">
        <v>39.340000000000003</v>
      </c>
      <c r="H283" s="4">
        <v>39.340000000000003</v>
      </c>
      <c r="I283" s="4">
        <v>44.84</v>
      </c>
      <c r="J283" s="4">
        <v>42.38</v>
      </c>
      <c r="K283" s="4">
        <v>42.38</v>
      </c>
      <c r="L283" s="4">
        <v>39.43</v>
      </c>
      <c r="M283" s="4">
        <v>56.19</v>
      </c>
      <c r="N283" s="4">
        <v>56.19</v>
      </c>
      <c r="O283" s="4">
        <v>43.42</v>
      </c>
      <c r="P283" s="4">
        <v>60.03</v>
      </c>
      <c r="Q283" s="4">
        <v>60.03</v>
      </c>
      <c r="R283" s="4">
        <v>43.09</v>
      </c>
      <c r="S283" s="19">
        <v>124</v>
      </c>
      <c r="T283" s="19">
        <v>1364</v>
      </c>
      <c r="U283" s="19">
        <v>56</v>
      </c>
      <c r="V283" s="19">
        <v>284</v>
      </c>
      <c r="W283" s="19">
        <v>92</v>
      </c>
      <c r="X283" s="19">
        <v>2040</v>
      </c>
      <c r="Y283" s="19">
        <v>76</v>
      </c>
      <c r="Z283" s="19">
        <v>140</v>
      </c>
      <c r="AA283" s="14">
        <v>1</v>
      </c>
    </row>
    <row r="284" spans="1:27">
      <c r="A284" s="16">
        <v>46160.9375</v>
      </c>
      <c r="B284" s="17">
        <v>46160</v>
      </c>
      <c r="C284" s="18">
        <v>0.9375</v>
      </c>
      <c r="D284" t="s">
        <v>75</v>
      </c>
      <c r="E284" t="s">
        <v>142</v>
      </c>
      <c r="F284">
        <v>3</v>
      </c>
      <c r="G284" s="4">
        <v>50.34</v>
      </c>
      <c r="H284" s="4">
        <v>50.34</v>
      </c>
      <c r="I284" s="4">
        <v>32.840000000000003</v>
      </c>
      <c r="J284" s="4">
        <v>44.16</v>
      </c>
      <c r="K284" s="4">
        <v>44.16</v>
      </c>
      <c r="L284" s="4">
        <v>30.41</v>
      </c>
      <c r="M284" s="4">
        <v>39.17</v>
      </c>
      <c r="N284" s="4">
        <v>39.17</v>
      </c>
      <c r="O284" s="4">
        <v>32.5</v>
      </c>
      <c r="P284" s="4">
        <v>46.16</v>
      </c>
      <c r="Q284" s="4">
        <v>46.16</v>
      </c>
      <c r="R284" s="4">
        <v>45.2</v>
      </c>
      <c r="S284" s="19">
        <v>52</v>
      </c>
      <c r="T284" s="19">
        <v>1564</v>
      </c>
      <c r="U284" s="19">
        <v>40</v>
      </c>
      <c r="V284" s="19">
        <v>208</v>
      </c>
      <c r="W284" s="19">
        <v>68</v>
      </c>
      <c r="X284" s="19">
        <v>1944</v>
      </c>
      <c r="Y284" s="19">
        <v>52</v>
      </c>
      <c r="Z284" s="19">
        <v>152</v>
      </c>
      <c r="AA284" s="14">
        <v>1</v>
      </c>
    </row>
    <row r="285" spans="1:27">
      <c r="A285" s="16">
        <v>46160.947916666664</v>
      </c>
      <c r="B285" s="17">
        <v>46160</v>
      </c>
      <c r="C285" s="18">
        <v>0.94791666666666663</v>
      </c>
      <c r="D285" t="s">
        <v>75</v>
      </c>
      <c r="E285" t="s">
        <v>142</v>
      </c>
      <c r="F285">
        <v>3</v>
      </c>
      <c r="G285" s="4">
        <v>35</v>
      </c>
      <c r="H285" s="4">
        <v>35</v>
      </c>
      <c r="I285" s="4">
        <v>22.48</v>
      </c>
      <c r="J285" s="4">
        <v>47.75</v>
      </c>
      <c r="K285" s="4">
        <v>47.75</v>
      </c>
      <c r="L285" s="4">
        <v>32.450000000000003</v>
      </c>
      <c r="M285" s="4">
        <v>30.1</v>
      </c>
      <c r="N285" s="4">
        <v>30.1</v>
      </c>
      <c r="O285" s="4">
        <v>30.38</v>
      </c>
      <c r="P285" s="4">
        <v>35.76</v>
      </c>
      <c r="Q285" s="4">
        <v>35.76</v>
      </c>
      <c r="R285" s="4">
        <v>38.909999999999997</v>
      </c>
      <c r="S285" s="19">
        <v>56</v>
      </c>
      <c r="T285" s="19">
        <v>1560</v>
      </c>
      <c r="U285" s="19">
        <v>32</v>
      </c>
      <c r="V285" s="19">
        <v>156</v>
      </c>
      <c r="W285" s="19">
        <v>76</v>
      </c>
      <c r="X285" s="19">
        <v>1956</v>
      </c>
      <c r="Y285" s="19">
        <v>52</v>
      </c>
      <c r="Z285" s="19">
        <v>120</v>
      </c>
      <c r="AA285" s="14">
        <v>1</v>
      </c>
    </row>
    <row r="286" spans="1:27">
      <c r="A286" s="16">
        <v>46160.958333333336</v>
      </c>
      <c r="B286" s="17">
        <v>46160</v>
      </c>
      <c r="C286" s="18">
        <v>0.95833333333333337</v>
      </c>
      <c r="D286" t="s">
        <v>75</v>
      </c>
      <c r="E286" t="s">
        <v>142</v>
      </c>
      <c r="F286">
        <v>3</v>
      </c>
      <c r="G286" s="4">
        <v>39.67</v>
      </c>
      <c r="H286" s="4">
        <v>39.67</v>
      </c>
      <c r="I286" s="4">
        <v>17.59</v>
      </c>
      <c r="J286" s="4">
        <v>26.9</v>
      </c>
      <c r="K286" s="4">
        <v>26.9</v>
      </c>
      <c r="L286" s="4">
        <v>28.54</v>
      </c>
      <c r="M286" s="4">
        <v>36.700000000000003</v>
      </c>
      <c r="N286" s="4">
        <v>36.700000000000003</v>
      </c>
      <c r="O286" s="4">
        <v>30.24</v>
      </c>
      <c r="P286" s="4">
        <v>37.979999999999997</v>
      </c>
      <c r="Q286" s="4">
        <v>37.979999999999997</v>
      </c>
      <c r="R286" s="4">
        <v>29.02</v>
      </c>
      <c r="S286" s="19">
        <v>52</v>
      </c>
      <c r="T286" s="19">
        <v>1520</v>
      </c>
      <c r="U286" s="19">
        <v>32</v>
      </c>
      <c r="V286" s="19">
        <v>116</v>
      </c>
      <c r="W286" s="19">
        <v>64</v>
      </c>
      <c r="X286" s="19">
        <v>1852</v>
      </c>
      <c r="Y286" s="19">
        <v>96</v>
      </c>
      <c r="Z286" s="19">
        <v>96</v>
      </c>
      <c r="AA286" s="14">
        <v>1</v>
      </c>
    </row>
    <row r="287" spans="1:27">
      <c r="A287" s="16">
        <v>46160.96875</v>
      </c>
      <c r="B287" s="17">
        <v>46160</v>
      </c>
      <c r="C287" s="18">
        <v>0.96875</v>
      </c>
      <c r="D287" t="s">
        <v>75</v>
      </c>
      <c r="E287" t="s">
        <v>142</v>
      </c>
      <c r="F287">
        <v>3</v>
      </c>
      <c r="G287" s="4">
        <v>35.75</v>
      </c>
      <c r="H287" s="4">
        <v>35.75</v>
      </c>
      <c r="I287" s="4">
        <v>19.170000000000002</v>
      </c>
      <c r="J287" s="4">
        <v>46.7</v>
      </c>
      <c r="K287" s="4">
        <v>46.7</v>
      </c>
      <c r="L287" s="4">
        <v>28.31</v>
      </c>
      <c r="M287" s="4">
        <v>24.15</v>
      </c>
      <c r="N287" s="4">
        <v>24.15</v>
      </c>
      <c r="O287" s="4">
        <v>20.5</v>
      </c>
      <c r="P287" s="4">
        <v>30.44</v>
      </c>
      <c r="Q287" s="4">
        <v>30.44</v>
      </c>
      <c r="R287" s="4">
        <v>29.7</v>
      </c>
      <c r="S287" s="19">
        <v>56</v>
      </c>
      <c r="T287" s="19">
        <v>1388</v>
      </c>
      <c r="U287" s="19">
        <v>28</v>
      </c>
      <c r="V287" s="19">
        <v>152</v>
      </c>
      <c r="W287" s="19">
        <v>68</v>
      </c>
      <c r="X287" s="19">
        <v>1840</v>
      </c>
      <c r="Y287" s="19">
        <v>4</v>
      </c>
      <c r="Z287" s="19">
        <v>88</v>
      </c>
      <c r="AA287" s="14">
        <v>1</v>
      </c>
    </row>
    <row r="288" spans="1:27">
      <c r="A288" s="16">
        <v>46160.979166666664</v>
      </c>
      <c r="B288" s="17">
        <v>46160</v>
      </c>
      <c r="C288" s="18">
        <v>0.97916666666666663</v>
      </c>
      <c r="D288" t="s">
        <v>75</v>
      </c>
      <c r="E288" t="s">
        <v>142</v>
      </c>
      <c r="F288">
        <v>3</v>
      </c>
      <c r="G288" s="4">
        <v>37.39</v>
      </c>
      <c r="H288" s="4">
        <v>37.39</v>
      </c>
      <c r="I288" s="4">
        <v>20.010000000000002</v>
      </c>
      <c r="J288" s="4">
        <v>17.75</v>
      </c>
      <c r="K288" s="4">
        <v>17.75</v>
      </c>
      <c r="L288" s="4">
        <v>40.96</v>
      </c>
      <c r="M288" s="4">
        <v>32.380000000000003</v>
      </c>
      <c r="N288" s="4">
        <v>32.380000000000003</v>
      </c>
      <c r="O288" s="4">
        <v>20.63</v>
      </c>
      <c r="P288" s="4">
        <v>56</v>
      </c>
      <c r="Q288" s="4">
        <v>56</v>
      </c>
      <c r="R288" s="4">
        <v>31.97</v>
      </c>
      <c r="S288" s="19">
        <v>16</v>
      </c>
      <c r="T288" s="19">
        <v>1348</v>
      </c>
      <c r="U288" s="19">
        <v>40</v>
      </c>
      <c r="V288" s="19">
        <v>68</v>
      </c>
      <c r="W288" s="19">
        <v>20</v>
      </c>
      <c r="X288" s="19">
        <v>1796</v>
      </c>
      <c r="Y288" s="19">
        <v>16</v>
      </c>
      <c r="Z288" s="19">
        <v>64</v>
      </c>
      <c r="AA288" s="14">
        <v>0</v>
      </c>
    </row>
    <row r="289" spans="1:27">
      <c r="A289" s="16">
        <v>46160.989583333336</v>
      </c>
      <c r="B289" s="17">
        <v>46160</v>
      </c>
      <c r="C289" s="18">
        <v>0.98958333333333337</v>
      </c>
      <c r="D289" t="s">
        <v>75</v>
      </c>
      <c r="E289" t="s">
        <v>142</v>
      </c>
      <c r="F289">
        <v>3</v>
      </c>
      <c r="G289" s="4">
        <v>31.43</v>
      </c>
      <c r="H289" s="4">
        <v>31.43</v>
      </c>
      <c r="I289" s="4">
        <v>13.75</v>
      </c>
      <c r="J289" s="4">
        <v>12.95</v>
      </c>
      <c r="K289" s="4">
        <v>12.95</v>
      </c>
      <c r="L289" s="4">
        <v>24.97</v>
      </c>
      <c r="M289" s="4">
        <v>33.08</v>
      </c>
      <c r="N289" s="4">
        <v>33.08</v>
      </c>
      <c r="O289" s="4">
        <v>10.78</v>
      </c>
      <c r="P289" s="4">
        <v>18.8</v>
      </c>
      <c r="Q289" s="4">
        <v>18.8</v>
      </c>
      <c r="R289" s="4">
        <v>19.579999999999998</v>
      </c>
      <c r="S289" s="19">
        <v>8</v>
      </c>
      <c r="T289" s="19">
        <v>1148</v>
      </c>
      <c r="U289" s="19">
        <v>8</v>
      </c>
      <c r="V289" s="19">
        <v>104</v>
      </c>
      <c r="W289" s="19">
        <v>12</v>
      </c>
      <c r="X289" s="19">
        <v>1756</v>
      </c>
      <c r="Y289" s="19">
        <v>44</v>
      </c>
      <c r="Z289" s="19">
        <v>40</v>
      </c>
      <c r="AA289" s="14">
        <v>0</v>
      </c>
    </row>
    <row r="290" spans="1:27">
      <c r="A290" s="16">
        <v>46196</v>
      </c>
      <c r="B290" s="17">
        <v>46196</v>
      </c>
      <c r="C290" s="18">
        <v>0</v>
      </c>
      <c r="D290" t="s">
        <v>76</v>
      </c>
      <c r="E290" t="s">
        <v>143</v>
      </c>
      <c r="F290">
        <v>1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19">
        <v>68</v>
      </c>
      <c r="T290" s="19">
        <v>716</v>
      </c>
      <c r="U290" s="19">
        <v>40</v>
      </c>
      <c r="V290" s="19">
        <v>124</v>
      </c>
      <c r="W290" s="19">
        <v>52</v>
      </c>
      <c r="X290" s="19">
        <v>1344</v>
      </c>
      <c r="Y290" s="19">
        <v>76</v>
      </c>
      <c r="Z290" s="19">
        <v>68</v>
      </c>
      <c r="AA290" s="14">
        <v>1</v>
      </c>
    </row>
    <row r="291" spans="1:27">
      <c r="A291" s="16">
        <v>46196.010416666664</v>
      </c>
      <c r="B291" s="17">
        <v>46196</v>
      </c>
      <c r="C291" s="18">
        <v>1.0416666666666666E-2</v>
      </c>
      <c r="D291" t="s">
        <v>76</v>
      </c>
      <c r="E291" t="s">
        <v>143</v>
      </c>
      <c r="F291">
        <v>1</v>
      </c>
      <c r="G291" s="4">
        <v>39.72</v>
      </c>
      <c r="H291" s="4">
        <v>39.72</v>
      </c>
      <c r="I291" s="4">
        <v>10.75</v>
      </c>
      <c r="J291" s="4">
        <v>33.299999999999997</v>
      </c>
      <c r="K291" s="4">
        <v>33.299999999999997</v>
      </c>
      <c r="L291" s="4">
        <v>16.53</v>
      </c>
      <c r="M291" s="4">
        <v>31.63</v>
      </c>
      <c r="N291" s="4">
        <v>31.63</v>
      </c>
      <c r="O291" s="4">
        <v>16.8</v>
      </c>
      <c r="P291" s="4">
        <v>33.17</v>
      </c>
      <c r="Q291" s="4">
        <v>33.17</v>
      </c>
      <c r="R291" s="4">
        <v>33.299999999999997</v>
      </c>
      <c r="S291" s="19">
        <v>48</v>
      </c>
      <c r="T291" s="19">
        <v>560</v>
      </c>
      <c r="U291" s="19">
        <v>12</v>
      </c>
      <c r="V291" s="19">
        <v>88</v>
      </c>
      <c r="W291" s="19">
        <v>40</v>
      </c>
      <c r="X291" s="19">
        <v>948</v>
      </c>
      <c r="Y291" s="19">
        <v>32</v>
      </c>
      <c r="Z291" s="19">
        <v>56</v>
      </c>
      <c r="AA291" s="14">
        <v>1</v>
      </c>
    </row>
    <row r="292" spans="1:27">
      <c r="A292" s="16">
        <v>46196.020833333336</v>
      </c>
      <c r="B292" s="17">
        <v>46196</v>
      </c>
      <c r="C292" s="18">
        <v>2.0833333333333332E-2</v>
      </c>
      <c r="D292" t="s">
        <v>76</v>
      </c>
      <c r="E292" t="s">
        <v>143</v>
      </c>
      <c r="F292">
        <v>1</v>
      </c>
      <c r="G292" s="4">
        <v>6.35</v>
      </c>
      <c r="H292" s="4">
        <v>6.35</v>
      </c>
      <c r="I292" s="4">
        <v>14.13</v>
      </c>
      <c r="J292" s="4">
        <v>14.6</v>
      </c>
      <c r="K292" s="4">
        <v>14.6</v>
      </c>
      <c r="L292" s="4">
        <v>20.63</v>
      </c>
      <c r="M292" s="4">
        <v>22.27</v>
      </c>
      <c r="N292" s="4">
        <v>22.27</v>
      </c>
      <c r="O292" s="4">
        <v>5.8</v>
      </c>
      <c r="P292" s="4">
        <v>11.34</v>
      </c>
      <c r="Q292" s="4">
        <v>11.34</v>
      </c>
      <c r="R292" s="4">
        <v>15.66</v>
      </c>
      <c r="S292" s="19">
        <v>12</v>
      </c>
      <c r="T292" s="19">
        <v>680</v>
      </c>
      <c r="U292" s="19">
        <v>8</v>
      </c>
      <c r="V292" s="19">
        <v>136</v>
      </c>
      <c r="W292" s="19">
        <v>36</v>
      </c>
      <c r="X292" s="19">
        <v>988</v>
      </c>
      <c r="Y292" s="19">
        <v>20</v>
      </c>
      <c r="Z292" s="19">
        <v>56</v>
      </c>
      <c r="AA292" s="14">
        <v>1</v>
      </c>
    </row>
    <row r="293" spans="1:27">
      <c r="A293" s="16">
        <v>46196.03125</v>
      </c>
      <c r="B293" s="17">
        <v>46196</v>
      </c>
      <c r="C293" s="18">
        <v>3.125E-2</v>
      </c>
      <c r="D293" t="s">
        <v>76</v>
      </c>
      <c r="E293" t="s">
        <v>143</v>
      </c>
      <c r="F293">
        <v>1</v>
      </c>
      <c r="G293" s="4">
        <v>45.47</v>
      </c>
      <c r="H293" s="4">
        <v>45.47</v>
      </c>
      <c r="I293" s="4">
        <v>12.37</v>
      </c>
      <c r="J293" s="4">
        <v>47.3</v>
      </c>
      <c r="K293" s="4">
        <v>47.3</v>
      </c>
      <c r="L293" s="4">
        <v>9.39</v>
      </c>
      <c r="M293" s="4">
        <v>16.600000000000001</v>
      </c>
      <c r="N293" s="4">
        <v>16.600000000000001</v>
      </c>
      <c r="O293" s="4">
        <v>3.64</v>
      </c>
      <c r="P293" s="4">
        <v>15.4</v>
      </c>
      <c r="Q293" s="4">
        <v>15.4</v>
      </c>
      <c r="R293" s="4">
        <v>15.51</v>
      </c>
      <c r="S293" s="19">
        <v>12</v>
      </c>
      <c r="T293" s="19">
        <v>512</v>
      </c>
      <c r="U293" s="19">
        <v>0</v>
      </c>
      <c r="V293" s="19">
        <v>52</v>
      </c>
      <c r="W293" s="19">
        <v>48</v>
      </c>
      <c r="X293" s="19">
        <v>848</v>
      </c>
      <c r="Y293" s="19">
        <v>28</v>
      </c>
      <c r="Z293" s="19">
        <v>20</v>
      </c>
      <c r="AA293" s="14">
        <v>0</v>
      </c>
    </row>
    <row r="294" spans="1:27">
      <c r="A294" s="16">
        <v>46196.041666666664</v>
      </c>
      <c r="B294" s="17">
        <v>46196</v>
      </c>
      <c r="C294" s="18">
        <v>4.1666666666666664E-2</v>
      </c>
      <c r="D294" t="s">
        <v>76</v>
      </c>
      <c r="E294" t="s">
        <v>143</v>
      </c>
      <c r="F294">
        <v>1</v>
      </c>
      <c r="G294" s="4">
        <v>8.4499999999999993</v>
      </c>
      <c r="H294" s="4">
        <v>8.4499999999999993</v>
      </c>
      <c r="I294" s="4">
        <v>4.62</v>
      </c>
      <c r="J294" s="4">
        <v>0</v>
      </c>
      <c r="K294" s="4">
        <v>0</v>
      </c>
      <c r="L294" s="4">
        <v>7.72</v>
      </c>
      <c r="M294" s="4">
        <v>15.47</v>
      </c>
      <c r="N294" s="4">
        <v>15.47</v>
      </c>
      <c r="O294" s="4">
        <v>3.02</v>
      </c>
      <c r="P294" s="4">
        <v>13.5</v>
      </c>
      <c r="Q294" s="4">
        <v>13.5</v>
      </c>
      <c r="R294" s="4">
        <v>19.97</v>
      </c>
      <c r="S294" s="19">
        <v>16</v>
      </c>
      <c r="T294" s="19">
        <v>372</v>
      </c>
      <c r="U294" s="19">
        <v>4</v>
      </c>
      <c r="V294" s="19">
        <v>56</v>
      </c>
      <c r="W294" s="19">
        <v>24</v>
      </c>
      <c r="X294" s="19">
        <v>856</v>
      </c>
      <c r="Y294" s="19">
        <v>36</v>
      </c>
      <c r="Z294" s="19">
        <v>24</v>
      </c>
      <c r="AA294" s="14">
        <v>1</v>
      </c>
    </row>
    <row r="295" spans="1:27">
      <c r="A295" s="16">
        <v>46196.052083333336</v>
      </c>
      <c r="B295" s="17">
        <v>46196</v>
      </c>
      <c r="C295" s="18">
        <v>5.2083333333333336E-2</v>
      </c>
      <c r="D295" t="s">
        <v>76</v>
      </c>
      <c r="E295" t="s">
        <v>143</v>
      </c>
      <c r="F295">
        <v>1</v>
      </c>
      <c r="G295" s="4">
        <v>0</v>
      </c>
      <c r="H295" s="4">
        <v>0</v>
      </c>
      <c r="I295" s="4">
        <v>4.0999999999999996</v>
      </c>
      <c r="J295" s="4">
        <v>26.2</v>
      </c>
      <c r="K295" s="4">
        <v>26.2</v>
      </c>
      <c r="L295" s="4">
        <v>9.5</v>
      </c>
      <c r="M295" s="4">
        <v>18.579999999999998</v>
      </c>
      <c r="N295" s="4">
        <v>18.579999999999998</v>
      </c>
      <c r="O295" s="4">
        <v>7.17</v>
      </c>
      <c r="P295" s="4">
        <v>17.100000000000001</v>
      </c>
      <c r="Q295" s="4">
        <v>17.100000000000001</v>
      </c>
      <c r="R295" s="4">
        <v>18.7</v>
      </c>
      <c r="S295" s="19">
        <v>32</v>
      </c>
      <c r="T295" s="19">
        <v>460</v>
      </c>
      <c r="U295" s="19">
        <v>60</v>
      </c>
      <c r="V295" s="19">
        <v>60</v>
      </c>
      <c r="W295" s="19">
        <v>36</v>
      </c>
      <c r="X295" s="19">
        <v>932</v>
      </c>
      <c r="Y295" s="19">
        <v>44</v>
      </c>
      <c r="Z295" s="19">
        <v>12</v>
      </c>
      <c r="AA295" s="14">
        <v>1</v>
      </c>
    </row>
    <row r="296" spans="1:27">
      <c r="A296" s="16">
        <v>46196.0625</v>
      </c>
      <c r="B296" s="17">
        <v>46196</v>
      </c>
      <c r="C296" s="18">
        <v>6.25E-2</v>
      </c>
      <c r="D296" t="s">
        <v>76</v>
      </c>
      <c r="E296" t="s">
        <v>143</v>
      </c>
      <c r="F296">
        <v>1</v>
      </c>
      <c r="G296" s="4">
        <v>6.1</v>
      </c>
      <c r="H296" s="4">
        <v>6.1</v>
      </c>
      <c r="I296" s="4">
        <v>8.86</v>
      </c>
      <c r="J296" s="4">
        <v>18.7</v>
      </c>
      <c r="K296" s="4">
        <v>18.7</v>
      </c>
      <c r="L296" s="4">
        <v>17.04</v>
      </c>
      <c r="M296" s="4">
        <v>12.6</v>
      </c>
      <c r="N296" s="4">
        <v>12.6</v>
      </c>
      <c r="O296" s="4">
        <v>8.1199999999999992</v>
      </c>
      <c r="P296" s="4">
        <v>36.5</v>
      </c>
      <c r="Q296" s="4">
        <v>36.5</v>
      </c>
      <c r="R296" s="4">
        <v>34.700000000000003</v>
      </c>
      <c r="S296" s="19">
        <v>12</v>
      </c>
      <c r="T296" s="19">
        <v>436</v>
      </c>
      <c r="U296" s="19">
        <v>36</v>
      </c>
      <c r="V296" s="19">
        <v>68</v>
      </c>
      <c r="W296" s="19">
        <v>28</v>
      </c>
      <c r="X296" s="19">
        <v>756</v>
      </c>
      <c r="Y296" s="19">
        <v>16</v>
      </c>
      <c r="Z296" s="19">
        <v>64</v>
      </c>
      <c r="AA296" s="14">
        <v>0</v>
      </c>
    </row>
    <row r="297" spans="1:27">
      <c r="A297" s="16">
        <v>46196.072916666664</v>
      </c>
      <c r="B297" s="17">
        <v>46196</v>
      </c>
      <c r="C297" s="18">
        <v>7.2916666666666671E-2</v>
      </c>
      <c r="D297" t="s">
        <v>76</v>
      </c>
      <c r="E297" t="s">
        <v>143</v>
      </c>
      <c r="F297">
        <v>1</v>
      </c>
      <c r="G297" s="4">
        <v>31.55</v>
      </c>
      <c r="H297" s="4">
        <v>31.55</v>
      </c>
      <c r="I297" s="4">
        <v>9.8699999999999992</v>
      </c>
      <c r="J297" s="4">
        <v>42.3</v>
      </c>
      <c r="K297" s="4">
        <v>42.3</v>
      </c>
      <c r="L297" s="4">
        <v>17.649999999999999</v>
      </c>
      <c r="M297" s="4">
        <v>26.64</v>
      </c>
      <c r="N297" s="4">
        <v>26.64</v>
      </c>
      <c r="O297" s="4">
        <v>6.18</v>
      </c>
      <c r="P297" s="4">
        <v>35.6</v>
      </c>
      <c r="Q297" s="4">
        <v>35.6</v>
      </c>
      <c r="R297" s="4">
        <v>13.96</v>
      </c>
      <c r="S297" s="19">
        <v>4</v>
      </c>
      <c r="T297" s="19">
        <v>440</v>
      </c>
      <c r="U297" s="19">
        <v>4</v>
      </c>
      <c r="V297" s="19">
        <v>48</v>
      </c>
      <c r="W297" s="19">
        <v>4</v>
      </c>
      <c r="X297" s="19">
        <v>900</v>
      </c>
      <c r="Y297" s="19">
        <v>4</v>
      </c>
      <c r="Z297" s="19">
        <v>4</v>
      </c>
      <c r="AA297" s="14">
        <v>1</v>
      </c>
    </row>
    <row r="298" spans="1:27">
      <c r="A298" s="16">
        <v>46196.083333333336</v>
      </c>
      <c r="B298" s="17">
        <v>46196</v>
      </c>
      <c r="C298" s="18">
        <v>8.3333333333333329E-2</v>
      </c>
      <c r="D298" t="s">
        <v>76</v>
      </c>
      <c r="E298" t="s">
        <v>143</v>
      </c>
      <c r="F298">
        <v>1</v>
      </c>
      <c r="G298" s="4">
        <v>6.1</v>
      </c>
      <c r="H298" s="4">
        <v>6.1</v>
      </c>
      <c r="I298" s="4">
        <v>1.3</v>
      </c>
      <c r="J298" s="4">
        <v>6.1</v>
      </c>
      <c r="K298" s="4">
        <v>6.1</v>
      </c>
      <c r="L298" s="4">
        <v>9.6</v>
      </c>
      <c r="M298" s="4">
        <v>6.7</v>
      </c>
      <c r="N298" s="4">
        <v>6.7</v>
      </c>
      <c r="O298" s="4">
        <v>0.6</v>
      </c>
      <c r="P298" s="4">
        <v>6.5</v>
      </c>
      <c r="Q298" s="4">
        <v>6.5</v>
      </c>
      <c r="R298" s="4">
        <v>10.199999999999999</v>
      </c>
      <c r="S298" s="19">
        <v>0</v>
      </c>
      <c r="T298" s="19">
        <v>548</v>
      </c>
      <c r="U298" s="19">
        <v>0</v>
      </c>
      <c r="V298" s="19">
        <v>28</v>
      </c>
      <c r="W298" s="19">
        <v>16</v>
      </c>
      <c r="X298" s="19">
        <v>984</v>
      </c>
      <c r="Y298" s="19">
        <v>4</v>
      </c>
      <c r="Z298" s="19">
        <v>8</v>
      </c>
      <c r="AA298" s="14">
        <v>1</v>
      </c>
    </row>
    <row r="299" spans="1:27">
      <c r="A299" s="16">
        <v>46196.09375</v>
      </c>
      <c r="B299" s="17">
        <v>46196</v>
      </c>
      <c r="C299" s="18">
        <v>9.375E-2</v>
      </c>
      <c r="D299" t="s">
        <v>76</v>
      </c>
      <c r="E299" t="s">
        <v>143</v>
      </c>
      <c r="F299">
        <v>1</v>
      </c>
      <c r="G299" s="4">
        <v>0</v>
      </c>
      <c r="H299" s="4">
        <v>0</v>
      </c>
      <c r="I299" s="4">
        <v>5.9</v>
      </c>
      <c r="J299" s="4">
        <v>0</v>
      </c>
      <c r="K299" s="4">
        <v>0</v>
      </c>
      <c r="L299" s="4">
        <v>6.1</v>
      </c>
      <c r="M299" s="4">
        <v>12.3</v>
      </c>
      <c r="N299" s="4">
        <v>12.3</v>
      </c>
      <c r="O299" s="4">
        <v>2.52</v>
      </c>
      <c r="P299" s="4">
        <v>7.2</v>
      </c>
      <c r="Q299" s="4">
        <v>7.2</v>
      </c>
      <c r="R299" s="4">
        <v>10.35</v>
      </c>
      <c r="S299" s="19">
        <v>4</v>
      </c>
      <c r="T299" s="19">
        <v>584</v>
      </c>
      <c r="U299" s="19">
        <v>8</v>
      </c>
      <c r="V299" s="19">
        <v>44</v>
      </c>
      <c r="W299" s="19">
        <v>16</v>
      </c>
      <c r="X299" s="19">
        <v>928</v>
      </c>
      <c r="Y299" s="19">
        <v>12</v>
      </c>
      <c r="Z299" s="19">
        <v>24</v>
      </c>
      <c r="AA299" s="14">
        <v>0</v>
      </c>
    </row>
    <row r="300" spans="1:27">
      <c r="A300" s="16">
        <v>46196.104166666664</v>
      </c>
      <c r="B300" s="17">
        <v>46196</v>
      </c>
      <c r="C300" s="18">
        <v>0.10416666666666667</v>
      </c>
      <c r="D300" t="s">
        <v>76</v>
      </c>
      <c r="E300" t="s">
        <v>143</v>
      </c>
      <c r="F300">
        <v>1</v>
      </c>
      <c r="G300" s="4">
        <v>8.9</v>
      </c>
      <c r="H300" s="4">
        <v>8.9</v>
      </c>
      <c r="I300" s="4">
        <v>2.72</v>
      </c>
      <c r="J300" s="4">
        <v>6.1</v>
      </c>
      <c r="K300" s="4">
        <v>6.1</v>
      </c>
      <c r="L300" s="4">
        <v>0</v>
      </c>
      <c r="M300" s="4">
        <v>8.65</v>
      </c>
      <c r="N300" s="4">
        <v>8.65</v>
      </c>
      <c r="O300" s="4">
        <v>1.48</v>
      </c>
      <c r="P300" s="4">
        <v>30.57</v>
      </c>
      <c r="Q300" s="4">
        <v>30.57</v>
      </c>
      <c r="R300" s="4">
        <v>7.63</v>
      </c>
      <c r="S300" s="19">
        <v>8</v>
      </c>
      <c r="T300" s="19">
        <v>544</v>
      </c>
      <c r="U300" s="19">
        <v>0</v>
      </c>
      <c r="V300" s="19">
        <v>52</v>
      </c>
      <c r="W300" s="19">
        <v>12</v>
      </c>
      <c r="X300" s="19">
        <v>1024</v>
      </c>
      <c r="Y300" s="19">
        <v>4</v>
      </c>
      <c r="Z300" s="19">
        <v>4</v>
      </c>
      <c r="AA300" s="14">
        <v>0</v>
      </c>
    </row>
    <row r="301" spans="1:27">
      <c r="A301" s="16">
        <v>46196.114583333336</v>
      </c>
      <c r="B301" s="17">
        <v>46196</v>
      </c>
      <c r="C301" s="18">
        <v>0.11458333333333333</v>
      </c>
      <c r="D301" t="s">
        <v>76</v>
      </c>
      <c r="E301" t="s">
        <v>143</v>
      </c>
      <c r="F301">
        <v>1</v>
      </c>
      <c r="G301" s="4">
        <v>4.4000000000000004</v>
      </c>
      <c r="H301" s="4">
        <v>4.4000000000000004</v>
      </c>
      <c r="I301" s="4">
        <v>8.6</v>
      </c>
      <c r="J301" s="4">
        <v>0</v>
      </c>
      <c r="K301" s="4">
        <v>0</v>
      </c>
      <c r="L301" s="4">
        <v>11.7</v>
      </c>
      <c r="M301" s="4">
        <v>6.2</v>
      </c>
      <c r="N301" s="4">
        <v>6.2</v>
      </c>
      <c r="O301" s="4">
        <v>1.04</v>
      </c>
      <c r="P301" s="4">
        <v>0</v>
      </c>
      <c r="Q301" s="4">
        <v>0</v>
      </c>
      <c r="R301" s="4">
        <v>20.399999999999999</v>
      </c>
      <c r="S301" s="19">
        <v>8</v>
      </c>
      <c r="T301" s="19">
        <v>588</v>
      </c>
      <c r="U301" s="19">
        <v>12</v>
      </c>
      <c r="V301" s="19">
        <v>24</v>
      </c>
      <c r="W301" s="19">
        <v>12</v>
      </c>
      <c r="X301" s="19">
        <v>1036</v>
      </c>
      <c r="Y301" s="19">
        <v>8</v>
      </c>
      <c r="Z301" s="19">
        <v>8</v>
      </c>
      <c r="AA301" s="14">
        <v>0</v>
      </c>
    </row>
    <row r="302" spans="1:27">
      <c r="A302" s="16">
        <v>46196.125</v>
      </c>
      <c r="B302" s="17">
        <v>46196</v>
      </c>
      <c r="C302" s="18">
        <v>0.125</v>
      </c>
      <c r="D302" t="s">
        <v>76</v>
      </c>
      <c r="E302" t="s">
        <v>143</v>
      </c>
      <c r="F302">
        <v>1</v>
      </c>
      <c r="G302" s="4">
        <v>4.4000000000000004</v>
      </c>
      <c r="H302" s="4">
        <v>4.4000000000000004</v>
      </c>
      <c r="I302" s="4">
        <v>0</v>
      </c>
      <c r="J302" s="4">
        <v>7.3</v>
      </c>
      <c r="K302" s="4">
        <v>7.3</v>
      </c>
      <c r="L302" s="4">
        <v>4.8</v>
      </c>
      <c r="M302" s="4">
        <v>9.5</v>
      </c>
      <c r="N302" s="4">
        <v>9.5</v>
      </c>
      <c r="O302" s="4">
        <v>1.02</v>
      </c>
      <c r="P302" s="4">
        <v>0</v>
      </c>
      <c r="Q302" s="4">
        <v>0</v>
      </c>
      <c r="R302" s="4">
        <v>10.65</v>
      </c>
      <c r="S302" s="19">
        <v>0</v>
      </c>
      <c r="T302" s="19">
        <v>440</v>
      </c>
      <c r="U302" s="19">
        <v>0</v>
      </c>
      <c r="V302" s="19">
        <v>48</v>
      </c>
      <c r="W302" s="19">
        <v>8</v>
      </c>
      <c r="X302" s="19">
        <v>900</v>
      </c>
      <c r="Y302" s="19">
        <v>4</v>
      </c>
      <c r="Z302" s="19">
        <v>8</v>
      </c>
      <c r="AA302" s="14">
        <v>0</v>
      </c>
    </row>
    <row r="303" spans="1:27">
      <c r="A303" s="16">
        <v>46196.135416666664</v>
      </c>
      <c r="B303" s="17">
        <v>46196</v>
      </c>
      <c r="C303" s="18">
        <v>0.13541666666666666</v>
      </c>
      <c r="D303" t="s">
        <v>76</v>
      </c>
      <c r="E303" t="s">
        <v>143</v>
      </c>
      <c r="F303">
        <v>1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5.27</v>
      </c>
      <c r="M303" s="4">
        <v>10.9</v>
      </c>
      <c r="N303" s="4">
        <v>10.9</v>
      </c>
      <c r="O303" s="4">
        <v>0</v>
      </c>
      <c r="P303" s="4">
        <v>13.1</v>
      </c>
      <c r="Q303" s="4">
        <v>13.1</v>
      </c>
      <c r="R303" s="4">
        <v>7</v>
      </c>
      <c r="S303" s="19">
        <v>12</v>
      </c>
      <c r="T303" s="19">
        <v>588</v>
      </c>
      <c r="U303" s="19">
        <v>0</v>
      </c>
      <c r="V303" s="19">
        <v>0</v>
      </c>
      <c r="W303" s="19">
        <v>0</v>
      </c>
      <c r="X303" s="19">
        <v>1160</v>
      </c>
      <c r="Y303" s="19">
        <v>8</v>
      </c>
      <c r="Z303" s="19">
        <v>12</v>
      </c>
      <c r="AA303" s="14">
        <v>1</v>
      </c>
    </row>
    <row r="304" spans="1:27">
      <c r="A304" s="16">
        <v>46196.145833333336</v>
      </c>
      <c r="B304" s="17">
        <v>46196</v>
      </c>
      <c r="C304" s="18">
        <v>0.14583333333333334</v>
      </c>
      <c r="D304" t="s">
        <v>76</v>
      </c>
      <c r="E304" t="s">
        <v>143</v>
      </c>
      <c r="F304">
        <v>1</v>
      </c>
      <c r="G304" s="4">
        <v>14.4</v>
      </c>
      <c r="H304" s="4">
        <v>14.4</v>
      </c>
      <c r="I304" s="4">
        <v>6.07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1.83</v>
      </c>
      <c r="P304" s="4">
        <v>7.45</v>
      </c>
      <c r="Q304" s="4">
        <v>7.45</v>
      </c>
      <c r="R304" s="4">
        <v>8.4</v>
      </c>
      <c r="S304" s="19">
        <v>0</v>
      </c>
      <c r="T304" s="19">
        <v>264</v>
      </c>
      <c r="U304" s="19">
        <v>0</v>
      </c>
      <c r="V304" s="19">
        <v>8</v>
      </c>
      <c r="W304" s="19">
        <v>8</v>
      </c>
      <c r="X304" s="19">
        <v>936</v>
      </c>
      <c r="Y304" s="19">
        <v>4</v>
      </c>
      <c r="Z304" s="19">
        <v>20</v>
      </c>
      <c r="AA304" s="14">
        <v>0</v>
      </c>
    </row>
    <row r="305" spans="1:27">
      <c r="A305" s="16">
        <v>46196.15625</v>
      </c>
      <c r="B305" s="17">
        <v>46196</v>
      </c>
      <c r="C305" s="18">
        <v>0.15625</v>
      </c>
      <c r="D305" t="s">
        <v>76</v>
      </c>
      <c r="E305" t="s">
        <v>143</v>
      </c>
      <c r="F305">
        <v>1</v>
      </c>
      <c r="G305" s="4">
        <v>0</v>
      </c>
      <c r="H305" s="4">
        <v>0</v>
      </c>
      <c r="I305" s="4">
        <v>5.75</v>
      </c>
      <c r="J305" s="4">
        <v>0</v>
      </c>
      <c r="K305" s="4">
        <v>0</v>
      </c>
      <c r="L305" s="4">
        <v>6.3</v>
      </c>
      <c r="M305" s="4">
        <v>6.1</v>
      </c>
      <c r="N305" s="4">
        <v>6.1</v>
      </c>
      <c r="O305" s="4">
        <v>5.65</v>
      </c>
      <c r="P305" s="4">
        <v>6.1</v>
      </c>
      <c r="Q305" s="4">
        <v>6.1</v>
      </c>
      <c r="R305" s="4">
        <v>8.8000000000000007</v>
      </c>
      <c r="S305" s="19">
        <v>0</v>
      </c>
      <c r="T305" s="19">
        <v>420</v>
      </c>
      <c r="U305" s="19">
        <v>4</v>
      </c>
      <c r="V305" s="19">
        <v>20</v>
      </c>
      <c r="W305" s="19">
        <v>16</v>
      </c>
      <c r="X305" s="19">
        <v>980</v>
      </c>
      <c r="Y305" s="19">
        <v>12</v>
      </c>
      <c r="Z305" s="19">
        <v>24</v>
      </c>
      <c r="AA305" s="14">
        <v>0</v>
      </c>
    </row>
    <row r="306" spans="1:27">
      <c r="A306" s="16">
        <v>46196.166666666664</v>
      </c>
      <c r="B306" s="17">
        <v>46196</v>
      </c>
      <c r="C306" s="18">
        <v>0.16666666666666666</v>
      </c>
      <c r="D306" t="s">
        <v>76</v>
      </c>
      <c r="E306" t="s">
        <v>143</v>
      </c>
      <c r="F306">
        <v>1</v>
      </c>
      <c r="G306" s="4">
        <v>0</v>
      </c>
      <c r="H306" s="4">
        <v>0</v>
      </c>
      <c r="I306" s="4">
        <v>6.93</v>
      </c>
      <c r="J306" s="4">
        <v>0</v>
      </c>
      <c r="K306" s="4">
        <v>0</v>
      </c>
      <c r="L306" s="4">
        <v>6.1</v>
      </c>
      <c r="M306" s="4">
        <v>17.5</v>
      </c>
      <c r="N306" s="4">
        <v>17.5</v>
      </c>
      <c r="O306" s="4">
        <v>2.4700000000000002</v>
      </c>
      <c r="P306" s="4">
        <v>6.15</v>
      </c>
      <c r="Q306" s="4">
        <v>6.15</v>
      </c>
      <c r="R306" s="4">
        <v>16.5</v>
      </c>
      <c r="S306" s="19">
        <v>88</v>
      </c>
      <c r="T306" s="19">
        <v>548</v>
      </c>
      <c r="U306" s="19">
        <v>12</v>
      </c>
      <c r="V306" s="19">
        <v>52</v>
      </c>
      <c r="W306" s="19">
        <v>12</v>
      </c>
      <c r="X306" s="19">
        <v>1044</v>
      </c>
      <c r="Y306" s="19">
        <v>24</v>
      </c>
      <c r="Z306" s="19">
        <v>36</v>
      </c>
      <c r="AA306" s="14">
        <v>0</v>
      </c>
    </row>
    <row r="307" spans="1:27">
      <c r="A307" s="16">
        <v>46196.177083333336</v>
      </c>
      <c r="B307" s="17">
        <v>46196</v>
      </c>
      <c r="C307" s="18">
        <v>0.17708333333333334</v>
      </c>
      <c r="D307" t="s">
        <v>76</v>
      </c>
      <c r="E307" t="s">
        <v>143</v>
      </c>
      <c r="F307">
        <v>1</v>
      </c>
      <c r="G307" s="4">
        <v>5.7</v>
      </c>
      <c r="H307" s="4">
        <v>5.7</v>
      </c>
      <c r="I307" s="4">
        <v>2.65</v>
      </c>
      <c r="J307" s="4">
        <v>0</v>
      </c>
      <c r="K307" s="4">
        <v>0</v>
      </c>
      <c r="L307" s="4">
        <v>18.47</v>
      </c>
      <c r="M307" s="4">
        <v>6.47</v>
      </c>
      <c r="N307" s="4">
        <v>6.47</v>
      </c>
      <c r="O307" s="4">
        <v>3.1</v>
      </c>
      <c r="P307" s="4">
        <v>39.049999999999997</v>
      </c>
      <c r="Q307" s="4">
        <v>39.049999999999997</v>
      </c>
      <c r="R307" s="4">
        <v>19.72</v>
      </c>
      <c r="S307" s="19">
        <v>8</v>
      </c>
      <c r="T307" s="19">
        <v>496</v>
      </c>
      <c r="U307" s="19">
        <v>8</v>
      </c>
      <c r="V307" s="19">
        <v>0</v>
      </c>
      <c r="W307" s="19">
        <v>8</v>
      </c>
      <c r="X307" s="19">
        <v>1104</v>
      </c>
      <c r="Y307" s="19">
        <v>0</v>
      </c>
      <c r="Z307" s="19">
        <v>40</v>
      </c>
      <c r="AA307" s="14">
        <v>0</v>
      </c>
    </row>
    <row r="308" spans="1:27">
      <c r="A308" s="16">
        <v>46196.1875</v>
      </c>
      <c r="B308" s="17">
        <v>46196</v>
      </c>
      <c r="C308" s="18">
        <v>0.1875</v>
      </c>
      <c r="D308" t="s">
        <v>76</v>
      </c>
      <c r="E308" t="s">
        <v>143</v>
      </c>
      <c r="F308">
        <v>1</v>
      </c>
      <c r="G308" s="4">
        <v>0</v>
      </c>
      <c r="H308" s="4">
        <v>0</v>
      </c>
      <c r="I308" s="4">
        <v>1.6</v>
      </c>
      <c r="J308" s="4">
        <v>45.9</v>
      </c>
      <c r="K308" s="4">
        <v>45.9</v>
      </c>
      <c r="L308" s="4">
        <v>0</v>
      </c>
      <c r="M308" s="4">
        <v>19.600000000000001</v>
      </c>
      <c r="N308" s="4">
        <v>19.600000000000001</v>
      </c>
      <c r="O308" s="4">
        <v>4.9800000000000004</v>
      </c>
      <c r="P308" s="4">
        <v>0</v>
      </c>
      <c r="Q308" s="4">
        <v>0</v>
      </c>
      <c r="R308" s="4">
        <v>8.4600000000000009</v>
      </c>
      <c r="S308" s="19">
        <v>8</v>
      </c>
      <c r="T308" s="19">
        <v>532</v>
      </c>
      <c r="U308" s="19">
        <v>8</v>
      </c>
      <c r="V308" s="19">
        <v>24</v>
      </c>
      <c r="W308" s="19">
        <v>24</v>
      </c>
      <c r="X308" s="19">
        <v>1440</v>
      </c>
      <c r="Y308" s="19">
        <v>12</v>
      </c>
      <c r="Z308" s="19">
        <v>76</v>
      </c>
      <c r="AA308" s="14">
        <v>0</v>
      </c>
    </row>
    <row r="309" spans="1:27">
      <c r="A309" s="16">
        <v>46196.197916666664</v>
      </c>
      <c r="B309" s="17">
        <v>46196</v>
      </c>
      <c r="C309" s="18">
        <v>0.19791666666666666</v>
      </c>
      <c r="D309" t="s">
        <v>76</v>
      </c>
      <c r="E309" t="s">
        <v>143</v>
      </c>
      <c r="F309">
        <v>1</v>
      </c>
      <c r="G309" s="4">
        <v>18.5</v>
      </c>
      <c r="H309" s="4">
        <v>18.5</v>
      </c>
      <c r="I309" s="4">
        <v>5.67</v>
      </c>
      <c r="J309" s="4">
        <v>6.1</v>
      </c>
      <c r="K309" s="4">
        <v>6.1</v>
      </c>
      <c r="L309" s="4">
        <v>0</v>
      </c>
      <c r="M309" s="4">
        <v>21.02</v>
      </c>
      <c r="N309" s="4">
        <v>21.02</v>
      </c>
      <c r="O309" s="4">
        <v>5.75</v>
      </c>
      <c r="P309" s="4">
        <v>9.57</v>
      </c>
      <c r="Q309" s="4">
        <v>9.57</v>
      </c>
      <c r="R309" s="4">
        <v>12.96</v>
      </c>
      <c r="S309" s="19">
        <v>8</v>
      </c>
      <c r="T309" s="19">
        <v>688</v>
      </c>
      <c r="U309" s="19">
        <v>4</v>
      </c>
      <c r="V309" s="19">
        <v>64</v>
      </c>
      <c r="W309" s="19">
        <v>32</v>
      </c>
      <c r="X309" s="19">
        <v>1256</v>
      </c>
      <c r="Y309" s="19">
        <v>32</v>
      </c>
      <c r="Z309" s="19">
        <v>76</v>
      </c>
      <c r="AA309" s="14">
        <v>1</v>
      </c>
    </row>
    <row r="310" spans="1:27">
      <c r="A310" s="16">
        <v>46196.208333333336</v>
      </c>
      <c r="B310" s="17">
        <v>46196</v>
      </c>
      <c r="C310" s="18">
        <v>0.20833333333333334</v>
      </c>
      <c r="D310" t="s">
        <v>76</v>
      </c>
      <c r="E310" t="s">
        <v>143</v>
      </c>
      <c r="F310">
        <v>1</v>
      </c>
      <c r="G310" s="4">
        <v>0</v>
      </c>
      <c r="H310" s="4">
        <v>0</v>
      </c>
      <c r="I310" s="4">
        <v>9.25</v>
      </c>
      <c r="J310" s="4">
        <v>26.6</v>
      </c>
      <c r="K310" s="4">
        <v>26.6</v>
      </c>
      <c r="L310" s="4">
        <v>12.16</v>
      </c>
      <c r="M310" s="4">
        <v>17.77</v>
      </c>
      <c r="N310" s="4">
        <v>17.77</v>
      </c>
      <c r="O310" s="4">
        <v>9.4700000000000006</v>
      </c>
      <c r="P310" s="4">
        <v>22.55</v>
      </c>
      <c r="Q310" s="4">
        <v>22.55</v>
      </c>
      <c r="R310" s="4">
        <v>13.35</v>
      </c>
      <c r="S310" s="19">
        <v>28</v>
      </c>
      <c r="T310" s="19">
        <v>532</v>
      </c>
      <c r="U310" s="19">
        <v>16</v>
      </c>
      <c r="V310" s="19">
        <v>44</v>
      </c>
      <c r="W310" s="19">
        <v>56</v>
      </c>
      <c r="X310" s="19">
        <v>1392</v>
      </c>
      <c r="Y310" s="19">
        <v>28</v>
      </c>
      <c r="Z310" s="19">
        <v>84</v>
      </c>
      <c r="AA310" s="14">
        <v>0</v>
      </c>
    </row>
    <row r="311" spans="1:27">
      <c r="A311" s="16">
        <v>46196.21875</v>
      </c>
      <c r="B311" s="17">
        <v>46196</v>
      </c>
      <c r="C311" s="18">
        <v>0.21875</v>
      </c>
      <c r="D311" t="s">
        <v>76</v>
      </c>
      <c r="E311" t="s">
        <v>143</v>
      </c>
      <c r="F311">
        <v>1</v>
      </c>
      <c r="G311" s="4">
        <v>27</v>
      </c>
      <c r="H311" s="4">
        <v>27</v>
      </c>
      <c r="I311" s="4">
        <v>5.63</v>
      </c>
      <c r="J311" s="4">
        <v>9.6999999999999993</v>
      </c>
      <c r="K311" s="4">
        <v>9.6999999999999993</v>
      </c>
      <c r="L311" s="4">
        <v>16.600000000000001</v>
      </c>
      <c r="M311" s="4">
        <v>31.73</v>
      </c>
      <c r="N311" s="4">
        <v>31.73</v>
      </c>
      <c r="O311" s="4">
        <v>10.34</v>
      </c>
      <c r="P311" s="4">
        <v>38.17</v>
      </c>
      <c r="Q311" s="4">
        <v>38.17</v>
      </c>
      <c r="R311" s="4">
        <v>21.22</v>
      </c>
      <c r="S311" s="19">
        <v>16</v>
      </c>
      <c r="T311" s="19">
        <v>956</v>
      </c>
      <c r="U311" s="19">
        <v>12</v>
      </c>
      <c r="V311" s="19">
        <v>80</v>
      </c>
      <c r="W311" s="19">
        <v>32</v>
      </c>
      <c r="X311" s="19">
        <v>1256</v>
      </c>
      <c r="Y311" s="19">
        <v>32</v>
      </c>
      <c r="Z311" s="19">
        <v>100</v>
      </c>
      <c r="AA311" s="14">
        <v>0</v>
      </c>
    </row>
    <row r="312" spans="1:27">
      <c r="A312" s="16">
        <v>46196.229166666664</v>
      </c>
      <c r="B312" s="17">
        <v>46196</v>
      </c>
      <c r="C312" s="18">
        <v>0.22916666666666666</v>
      </c>
      <c r="D312" t="s">
        <v>76</v>
      </c>
      <c r="E312" t="s">
        <v>143</v>
      </c>
      <c r="F312">
        <v>1</v>
      </c>
      <c r="G312" s="4">
        <v>10.5</v>
      </c>
      <c r="H312" s="4">
        <v>10.5</v>
      </c>
      <c r="I312" s="4">
        <v>11.1</v>
      </c>
      <c r="J312" s="4">
        <v>0</v>
      </c>
      <c r="K312" s="4">
        <v>0</v>
      </c>
      <c r="L312" s="4">
        <v>27.67</v>
      </c>
      <c r="M312" s="4">
        <v>26.81</v>
      </c>
      <c r="N312" s="4">
        <v>26.81</v>
      </c>
      <c r="O312" s="4">
        <v>19.97</v>
      </c>
      <c r="P312" s="4">
        <v>26.28</v>
      </c>
      <c r="Q312" s="4">
        <v>26.28</v>
      </c>
      <c r="R312" s="4">
        <v>21.25</v>
      </c>
      <c r="S312" s="19">
        <v>64</v>
      </c>
      <c r="T312" s="19">
        <v>936</v>
      </c>
      <c r="U312" s="19">
        <v>24</v>
      </c>
      <c r="V312" s="19">
        <v>108</v>
      </c>
      <c r="W312" s="19">
        <v>68</v>
      </c>
      <c r="X312" s="19">
        <v>1456</v>
      </c>
      <c r="Y312" s="19">
        <v>48</v>
      </c>
      <c r="Z312" s="19">
        <v>116</v>
      </c>
      <c r="AA312" s="14">
        <v>1</v>
      </c>
    </row>
    <row r="313" spans="1:27">
      <c r="A313" s="16">
        <v>46196.239583333336</v>
      </c>
      <c r="B313" s="17">
        <v>46196</v>
      </c>
      <c r="C313" s="18">
        <v>0.23958333333333334</v>
      </c>
      <c r="D313" t="s">
        <v>76</v>
      </c>
      <c r="E313" t="s">
        <v>143</v>
      </c>
      <c r="F313">
        <v>1</v>
      </c>
      <c r="G313" s="4">
        <v>36.979999999999997</v>
      </c>
      <c r="H313" s="4">
        <v>36.979999999999997</v>
      </c>
      <c r="I313" s="4">
        <v>11.29</v>
      </c>
      <c r="J313" s="4">
        <v>24.85</v>
      </c>
      <c r="K313" s="4">
        <v>24.85</v>
      </c>
      <c r="L313" s="4">
        <v>23.36</v>
      </c>
      <c r="M313" s="4">
        <v>22.74</v>
      </c>
      <c r="N313" s="4">
        <v>22.74</v>
      </c>
      <c r="O313" s="4">
        <v>15.97</v>
      </c>
      <c r="P313" s="4">
        <v>25.57</v>
      </c>
      <c r="Q313" s="4">
        <v>25.57</v>
      </c>
      <c r="R313" s="4">
        <v>32.44</v>
      </c>
      <c r="S313" s="19">
        <v>60</v>
      </c>
      <c r="T313" s="19">
        <v>1236</v>
      </c>
      <c r="U313" s="19">
        <v>36</v>
      </c>
      <c r="V313" s="19">
        <v>180</v>
      </c>
      <c r="W313" s="19">
        <v>52</v>
      </c>
      <c r="X313" s="19">
        <v>1596</v>
      </c>
      <c r="Y313" s="19">
        <v>52</v>
      </c>
      <c r="Z313" s="19">
        <v>140</v>
      </c>
      <c r="AA313" s="14">
        <v>1</v>
      </c>
    </row>
    <row r="314" spans="1:27">
      <c r="A314" s="16">
        <v>46196.25</v>
      </c>
      <c r="B314" s="17">
        <v>46196</v>
      </c>
      <c r="C314" s="18">
        <v>0.25</v>
      </c>
      <c r="D314" t="s">
        <v>76</v>
      </c>
      <c r="E314" t="s">
        <v>143</v>
      </c>
      <c r="F314">
        <v>1</v>
      </c>
      <c r="G314" s="4">
        <v>33.64</v>
      </c>
      <c r="H314" s="4">
        <v>33.64</v>
      </c>
      <c r="I314" s="4">
        <v>21.27</v>
      </c>
      <c r="J314" s="4">
        <v>41.2</v>
      </c>
      <c r="K314" s="4">
        <v>41.2</v>
      </c>
      <c r="L314" s="4">
        <v>33.96</v>
      </c>
      <c r="M314" s="4">
        <v>39.619999999999997</v>
      </c>
      <c r="N314" s="4">
        <v>39.619999999999997</v>
      </c>
      <c r="O314" s="4">
        <v>28.37</v>
      </c>
      <c r="P314" s="4">
        <v>36.44</v>
      </c>
      <c r="Q314" s="4">
        <v>36.44</v>
      </c>
      <c r="R314" s="4">
        <v>28.52</v>
      </c>
      <c r="S314" s="19">
        <v>36</v>
      </c>
      <c r="T314" s="19">
        <v>916</v>
      </c>
      <c r="U314" s="19">
        <v>16</v>
      </c>
      <c r="V314" s="19">
        <v>240</v>
      </c>
      <c r="W314" s="19">
        <v>48</v>
      </c>
      <c r="X314" s="19">
        <v>1532</v>
      </c>
      <c r="Y314" s="19">
        <v>92</v>
      </c>
      <c r="Z314" s="19">
        <v>100</v>
      </c>
      <c r="AA314" s="14">
        <v>1</v>
      </c>
    </row>
    <row r="315" spans="1:27">
      <c r="A315" s="16">
        <v>46196.260416666664</v>
      </c>
      <c r="B315" s="17">
        <v>46196</v>
      </c>
      <c r="C315" s="18">
        <v>0.26041666666666669</v>
      </c>
      <c r="D315" t="s">
        <v>76</v>
      </c>
      <c r="E315" t="s">
        <v>143</v>
      </c>
      <c r="F315">
        <v>1</v>
      </c>
      <c r="G315" s="4">
        <v>40.5</v>
      </c>
      <c r="H315" s="4">
        <v>40.5</v>
      </c>
      <c r="I315" s="4">
        <v>18.23</v>
      </c>
      <c r="J315" s="4">
        <v>42.85</v>
      </c>
      <c r="K315" s="4">
        <v>42.85</v>
      </c>
      <c r="L315" s="4">
        <v>16.02</v>
      </c>
      <c r="M315" s="4">
        <v>43.68</v>
      </c>
      <c r="N315" s="4">
        <v>43.68</v>
      </c>
      <c r="O315" s="4">
        <v>18.04</v>
      </c>
      <c r="P315" s="4">
        <v>22.53</v>
      </c>
      <c r="Q315" s="4">
        <v>22.53</v>
      </c>
      <c r="R315" s="4">
        <v>29.31</v>
      </c>
      <c r="S315" s="19">
        <v>104</v>
      </c>
      <c r="T315" s="19">
        <v>1240</v>
      </c>
      <c r="U315" s="19">
        <v>56</v>
      </c>
      <c r="V315" s="19">
        <v>300</v>
      </c>
      <c r="W315" s="19">
        <v>112</v>
      </c>
      <c r="X315" s="19">
        <v>1752</v>
      </c>
      <c r="Y315" s="19">
        <v>112</v>
      </c>
      <c r="Z315" s="19">
        <v>156</v>
      </c>
      <c r="AA315" s="14">
        <v>1</v>
      </c>
    </row>
    <row r="316" spans="1:27">
      <c r="A316" s="16">
        <v>46196.270833333336</v>
      </c>
      <c r="B316" s="17">
        <v>46196</v>
      </c>
      <c r="C316" s="18">
        <v>0.27083333333333331</v>
      </c>
      <c r="D316" t="s">
        <v>76</v>
      </c>
      <c r="E316" t="s">
        <v>143</v>
      </c>
      <c r="F316">
        <v>1</v>
      </c>
      <c r="G316" s="4">
        <v>69.069999999999993</v>
      </c>
      <c r="H316" s="4">
        <v>69.069999999999993</v>
      </c>
      <c r="I316" s="4">
        <v>31.19</v>
      </c>
      <c r="J316" s="4">
        <v>33.270000000000003</v>
      </c>
      <c r="K316" s="4">
        <v>33.270000000000003</v>
      </c>
      <c r="L316" s="4">
        <v>31.03</v>
      </c>
      <c r="M316" s="4">
        <v>49.79</v>
      </c>
      <c r="N316" s="4">
        <v>49.79</v>
      </c>
      <c r="O316" s="4">
        <v>34.270000000000003</v>
      </c>
      <c r="P316" s="4">
        <v>38.840000000000003</v>
      </c>
      <c r="Q316" s="4">
        <v>38.840000000000003</v>
      </c>
      <c r="R316" s="4">
        <v>32.72</v>
      </c>
      <c r="S316" s="19">
        <v>116</v>
      </c>
      <c r="T316" s="19">
        <v>1424</v>
      </c>
      <c r="U316" s="19">
        <v>52</v>
      </c>
      <c r="V316" s="19">
        <v>252</v>
      </c>
      <c r="W316" s="19">
        <v>64</v>
      </c>
      <c r="X316" s="19">
        <v>1908</v>
      </c>
      <c r="Y316" s="19">
        <v>132</v>
      </c>
      <c r="Z316" s="19">
        <v>104</v>
      </c>
      <c r="AA316" s="14">
        <v>1</v>
      </c>
    </row>
    <row r="317" spans="1:27">
      <c r="A317" s="16">
        <v>46196.28125</v>
      </c>
      <c r="B317" s="17">
        <v>46196</v>
      </c>
      <c r="C317" s="18">
        <v>0.28125</v>
      </c>
      <c r="D317" t="s">
        <v>76</v>
      </c>
      <c r="E317" t="s">
        <v>143</v>
      </c>
      <c r="F317">
        <v>1</v>
      </c>
      <c r="G317" s="4">
        <v>45.5</v>
      </c>
      <c r="H317" s="4">
        <v>45.5</v>
      </c>
      <c r="I317" s="4">
        <v>29.82</v>
      </c>
      <c r="J317" s="4">
        <v>75.930000000000007</v>
      </c>
      <c r="K317" s="4">
        <v>75.930000000000007</v>
      </c>
      <c r="L317" s="4">
        <v>65.87</v>
      </c>
      <c r="M317" s="4">
        <v>82.12</v>
      </c>
      <c r="N317" s="4">
        <v>82.12</v>
      </c>
      <c r="O317" s="4">
        <v>39.28</v>
      </c>
      <c r="P317" s="4">
        <v>73.599999999999994</v>
      </c>
      <c r="Q317" s="4">
        <v>73.599999999999994</v>
      </c>
      <c r="R317" s="4">
        <v>77.89</v>
      </c>
      <c r="S317" s="19">
        <v>300</v>
      </c>
      <c r="T317" s="19">
        <v>1336</v>
      </c>
      <c r="U317" s="19">
        <v>92</v>
      </c>
      <c r="V317" s="19">
        <v>272</v>
      </c>
      <c r="W317" s="19">
        <v>64</v>
      </c>
      <c r="X317" s="19">
        <v>2012</v>
      </c>
      <c r="Y317" s="19">
        <v>76</v>
      </c>
      <c r="Z317" s="19">
        <v>124</v>
      </c>
      <c r="AA317" s="14">
        <v>1</v>
      </c>
    </row>
    <row r="318" spans="1:27">
      <c r="A318" s="16">
        <v>46196.291666666664</v>
      </c>
      <c r="B318" s="17">
        <v>46196</v>
      </c>
      <c r="C318" s="18">
        <v>0.29166666666666669</v>
      </c>
      <c r="D318" t="s">
        <v>76</v>
      </c>
      <c r="E318" t="s">
        <v>143</v>
      </c>
      <c r="F318">
        <v>1</v>
      </c>
      <c r="G318" s="4">
        <v>70.14</v>
      </c>
      <c r="H318" s="4">
        <v>70.14</v>
      </c>
      <c r="I318" s="4">
        <v>44.92</v>
      </c>
      <c r="J318" s="4">
        <v>28.7</v>
      </c>
      <c r="K318" s="4">
        <v>28.7</v>
      </c>
      <c r="L318" s="4">
        <v>55.39</v>
      </c>
      <c r="M318" s="4">
        <v>76.97</v>
      </c>
      <c r="N318" s="4">
        <v>76.97</v>
      </c>
      <c r="O318" s="4">
        <v>58.98</v>
      </c>
      <c r="P318" s="4">
        <v>81.25</v>
      </c>
      <c r="Q318" s="4">
        <v>81.25</v>
      </c>
      <c r="R318" s="4">
        <v>90.8</v>
      </c>
      <c r="S318" s="19">
        <v>84</v>
      </c>
      <c r="T318" s="19">
        <v>1112</v>
      </c>
      <c r="U318" s="19">
        <v>40</v>
      </c>
      <c r="V318" s="19">
        <v>280</v>
      </c>
      <c r="W318" s="19">
        <v>48</v>
      </c>
      <c r="X318" s="19">
        <v>1708</v>
      </c>
      <c r="Y318" s="19">
        <v>60</v>
      </c>
      <c r="Z318" s="19">
        <v>144</v>
      </c>
      <c r="AA318" s="14">
        <v>1</v>
      </c>
    </row>
    <row r="319" spans="1:27">
      <c r="A319" s="16">
        <v>46196.302083333336</v>
      </c>
      <c r="B319" s="17">
        <v>46196</v>
      </c>
      <c r="C319" s="18">
        <v>0.30208333333333331</v>
      </c>
      <c r="D319" t="s">
        <v>76</v>
      </c>
      <c r="E319" t="s">
        <v>143</v>
      </c>
      <c r="F319">
        <v>1</v>
      </c>
      <c r="G319" s="4">
        <v>69.52</v>
      </c>
      <c r="H319" s="4">
        <v>69.52</v>
      </c>
      <c r="I319" s="4">
        <v>45.55</v>
      </c>
      <c r="J319" s="4">
        <v>71.55</v>
      </c>
      <c r="K319" s="4">
        <v>71.55</v>
      </c>
      <c r="L319" s="4">
        <v>32.17</v>
      </c>
      <c r="M319" s="4">
        <v>86.8</v>
      </c>
      <c r="N319" s="4">
        <v>86.8</v>
      </c>
      <c r="O319" s="4">
        <v>52.82</v>
      </c>
      <c r="P319" s="4">
        <v>52.1</v>
      </c>
      <c r="Q319" s="4">
        <v>52.1</v>
      </c>
      <c r="R319" s="4">
        <v>83.17</v>
      </c>
      <c r="S319" s="19">
        <v>188</v>
      </c>
      <c r="T319" s="19">
        <v>1156</v>
      </c>
      <c r="U319" s="19">
        <v>56</v>
      </c>
      <c r="V319" s="19">
        <v>268</v>
      </c>
      <c r="W319" s="19">
        <v>48</v>
      </c>
      <c r="X319" s="19">
        <v>1652</v>
      </c>
      <c r="Y319" s="19">
        <v>100</v>
      </c>
      <c r="Z319" s="19">
        <v>104</v>
      </c>
      <c r="AA319" s="14">
        <v>1</v>
      </c>
    </row>
    <row r="320" spans="1:27">
      <c r="A320" s="16">
        <v>46196.3125</v>
      </c>
      <c r="B320" s="17">
        <v>46196</v>
      </c>
      <c r="C320" s="18">
        <v>0.3125</v>
      </c>
      <c r="D320" t="s">
        <v>76</v>
      </c>
      <c r="E320" t="s">
        <v>143</v>
      </c>
      <c r="F320">
        <v>1</v>
      </c>
      <c r="G320" s="4">
        <v>41.24</v>
      </c>
      <c r="H320" s="4">
        <v>41.24</v>
      </c>
      <c r="I320" s="4">
        <v>34.700000000000003</v>
      </c>
      <c r="J320" s="4">
        <v>69.099999999999994</v>
      </c>
      <c r="K320" s="4">
        <v>69.099999999999994</v>
      </c>
      <c r="L320" s="4">
        <v>54.04</v>
      </c>
      <c r="M320" s="4">
        <v>93.6</v>
      </c>
      <c r="N320" s="4">
        <v>93.6</v>
      </c>
      <c r="O320" s="4">
        <v>55.35</v>
      </c>
      <c r="P320" s="4">
        <v>107.6</v>
      </c>
      <c r="Q320" s="4">
        <v>107.6</v>
      </c>
      <c r="R320" s="4">
        <v>90.72</v>
      </c>
      <c r="S320" s="19">
        <v>180</v>
      </c>
      <c r="T320" s="19">
        <v>1384</v>
      </c>
      <c r="U320" s="19">
        <v>68</v>
      </c>
      <c r="V320" s="19">
        <v>268</v>
      </c>
      <c r="W320" s="19">
        <v>40</v>
      </c>
      <c r="X320" s="19">
        <v>1780</v>
      </c>
      <c r="Y320" s="19">
        <v>80</v>
      </c>
      <c r="Z320" s="19">
        <v>152</v>
      </c>
      <c r="AA320" s="14">
        <v>1</v>
      </c>
    </row>
    <row r="321" spans="1:27">
      <c r="A321" s="16">
        <v>46196.322916666664</v>
      </c>
      <c r="B321" s="17">
        <v>46196</v>
      </c>
      <c r="C321" s="18">
        <v>0.32291666666666669</v>
      </c>
      <c r="D321" t="s">
        <v>76</v>
      </c>
      <c r="E321" t="s">
        <v>143</v>
      </c>
      <c r="F321">
        <v>1</v>
      </c>
      <c r="G321" s="4">
        <v>116.77</v>
      </c>
      <c r="H321" s="4">
        <v>116.77</v>
      </c>
      <c r="I321" s="4">
        <v>60.9</v>
      </c>
      <c r="J321" s="4">
        <v>59.45</v>
      </c>
      <c r="K321" s="4">
        <v>59.45</v>
      </c>
      <c r="L321" s="4">
        <v>61.68</v>
      </c>
      <c r="M321" s="4">
        <v>92.88</v>
      </c>
      <c r="N321" s="4">
        <v>92.88</v>
      </c>
      <c r="O321" s="4">
        <v>60.1</v>
      </c>
      <c r="P321" s="4">
        <v>28.4</v>
      </c>
      <c r="Q321" s="4">
        <v>28.4</v>
      </c>
      <c r="R321" s="4">
        <v>75.44</v>
      </c>
      <c r="S321" s="19">
        <v>248</v>
      </c>
      <c r="T321" s="19">
        <v>1608</v>
      </c>
      <c r="U321" s="19">
        <v>72</v>
      </c>
      <c r="V321" s="19">
        <v>428</v>
      </c>
      <c r="W321" s="19">
        <v>56</v>
      </c>
      <c r="X321" s="19">
        <v>2160</v>
      </c>
      <c r="Y321" s="19">
        <v>128</v>
      </c>
      <c r="Z321" s="19">
        <v>156</v>
      </c>
      <c r="AA321" s="14">
        <v>1</v>
      </c>
    </row>
    <row r="322" spans="1:27">
      <c r="A322" s="16">
        <v>46196.333333333336</v>
      </c>
      <c r="B322" s="17">
        <v>46196</v>
      </c>
      <c r="C322" s="18">
        <v>0.33333333333333331</v>
      </c>
      <c r="D322" t="s">
        <v>76</v>
      </c>
      <c r="E322" t="s">
        <v>143</v>
      </c>
      <c r="F322">
        <v>1</v>
      </c>
      <c r="G322" s="4">
        <v>75.290000000000006</v>
      </c>
      <c r="H322" s="4">
        <v>75.290000000000006</v>
      </c>
      <c r="I322" s="4">
        <v>77.5</v>
      </c>
      <c r="J322" s="4">
        <v>60.76</v>
      </c>
      <c r="K322" s="4">
        <v>60.76</v>
      </c>
      <c r="L322" s="4">
        <v>46.82</v>
      </c>
      <c r="M322" s="4">
        <v>86.95</v>
      </c>
      <c r="N322" s="4">
        <v>86.95</v>
      </c>
      <c r="O322" s="4">
        <v>71.59</v>
      </c>
      <c r="P322" s="4">
        <v>70.06</v>
      </c>
      <c r="Q322" s="4">
        <v>70.06</v>
      </c>
      <c r="R322" s="4">
        <v>91.77</v>
      </c>
      <c r="S322" s="19">
        <v>272</v>
      </c>
      <c r="T322" s="19">
        <v>1516</v>
      </c>
      <c r="U322" s="19">
        <v>96</v>
      </c>
      <c r="V322" s="19">
        <v>344</v>
      </c>
      <c r="W322" s="19">
        <v>48</v>
      </c>
      <c r="X322" s="19">
        <v>2104</v>
      </c>
      <c r="Y322" s="19">
        <v>180</v>
      </c>
      <c r="Z322" s="19">
        <v>124</v>
      </c>
      <c r="AA322" s="14">
        <v>1</v>
      </c>
    </row>
    <row r="323" spans="1:27">
      <c r="A323" s="16">
        <v>46196.34375</v>
      </c>
      <c r="B323" s="17">
        <v>46196</v>
      </c>
      <c r="C323" s="18">
        <v>0.34375</v>
      </c>
      <c r="D323" t="s">
        <v>76</v>
      </c>
      <c r="E323" t="s">
        <v>143</v>
      </c>
      <c r="F323">
        <v>1</v>
      </c>
      <c r="G323" s="4">
        <v>66.489999999999995</v>
      </c>
      <c r="H323" s="4">
        <v>66.489999999999995</v>
      </c>
      <c r="I323" s="4">
        <v>71.38</v>
      </c>
      <c r="J323" s="4">
        <v>73.06</v>
      </c>
      <c r="K323" s="4">
        <v>73.06</v>
      </c>
      <c r="L323" s="4">
        <v>58.13</v>
      </c>
      <c r="M323" s="4">
        <v>93.6</v>
      </c>
      <c r="N323" s="4">
        <v>93.6</v>
      </c>
      <c r="O323" s="4">
        <v>67.099999999999994</v>
      </c>
      <c r="P323" s="4">
        <v>62.8</v>
      </c>
      <c r="Q323" s="4">
        <v>62.8</v>
      </c>
      <c r="R323" s="4">
        <v>87.9</v>
      </c>
      <c r="S323" s="19">
        <v>308</v>
      </c>
      <c r="T323" s="19">
        <v>1772</v>
      </c>
      <c r="U323" s="19">
        <v>128</v>
      </c>
      <c r="V323" s="19">
        <v>368</v>
      </c>
      <c r="W323" s="19">
        <v>68</v>
      </c>
      <c r="X323" s="19">
        <v>2232</v>
      </c>
      <c r="Y323" s="19">
        <v>104</v>
      </c>
      <c r="Z323" s="19">
        <v>168</v>
      </c>
      <c r="AA323" s="14">
        <v>1</v>
      </c>
    </row>
    <row r="324" spans="1:27">
      <c r="A324" s="16">
        <v>46196.354166666664</v>
      </c>
      <c r="B324" s="17">
        <v>46196</v>
      </c>
      <c r="C324" s="18">
        <v>0.35416666666666669</v>
      </c>
      <c r="D324" t="s">
        <v>76</v>
      </c>
      <c r="E324" t="s">
        <v>143</v>
      </c>
      <c r="F324">
        <v>1</v>
      </c>
      <c r="G324" s="4">
        <v>68.83</v>
      </c>
      <c r="H324" s="4">
        <v>68.83</v>
      </c>
      <c r="I324" s="4">
        <v>54.05</v>
      </c>
      <c r="J324" s="4">
        <v>88.8</v>
      </c>
      <c r="K324" s="4">
        <v>88.8</v>
      </c>
      <c r="L324" s="4">
        <v>72.48</v>
      </c>
      <c r="M324" s="4">
        <v>93.33</v>
      </c>
      <c r="N324" s="4">
        <v>93.33</v>
      </c>
      <c r="O324" s="4">
        <v>68.3</v>
      </c>
      <c r="P324" s="4">
        <v>64.86</v>
      </c>
      <c r="Q324" s="4">
        <v>64.86</v>
      </c>
      <c r="R324" s="4">
        <v>79.819999999999993</v>
      </c>
      <c r="S324" s="19">
        <v>176</v>
      </c>
      <c r="T324" s="19">
        <v>1580</v>
      </c>
      <c r="U324" s="19">
        <v>100</v>
      </c>
      <c r="V324" s="19">
        <v>424</v>
      </c>
      <c r="W324" s="19">
        <v>60</v>
      </c>
      <c r="X324" s="19">
        <v>1692</v>
      </c>
      <c r="Y324" s="19">
        <v>108</v>
      </c>
      <c r="Z324" s="19">
        <v>172</v>
      </c>
      <c r="AA324" s="14">
        <v>1</v>
      </c>
    </row>
    <row r="325" spans="1:27">
      <c r="A325" s="16">
        <v>46196.364583333336</v>
      </c>
      <c r="B325" s="17">
        <v>46196</v>
      </c>
      <c r="C325" s="18">
        <v>0.36458333333333331</v>
      </c>
      <c r="D325" t="s">
        <v>76</v>
      </c>
      <c r="E325" t="s">
        <v>143</v>
      </c>
      <c r="F325">
        <v>1</v>
      </c>
      <c r="G325" s="4">
        <v>74.099999999999994</v>
      </c>
      <c r="H325" s="4">
        <v>74.099999999999994</v>
      </c>
      <c r="I325" s="4">
        <v>63.24</v>
      </c>
      <c r="J325" s="4">
        <v>92.87</v>
      </c>
      <c r="K325" s="4">
        <v>92.87</v>
      </c>
      <c r="L325" s="4">
        <v>58.56</v>
      </c>
      <c r="M325" s="4">
        <v>91.22</v>
      </c>
      <c r="N325" s="4">
        <v>91.22</v>
      </c>
      <c r="O325" s="4">
        <v>64.02</v>
      </c>
      <c r="P325" s="4">
        <v>52.06</v>
      </c>
      <c r="Q325" s="4">
        <v>52.06</v>
      </c>
      <c r="R325" s="4">
        <v>91.2</v>
      </c>
      <c r="S325" s="19">
        <v>268</v>
      </c>
      <c r="T325" s="19">
        <v>1664</v>
      </c>
      <c r="U325" s="19">
        <v>92</v>
      </c>
      <c r="V325" s="19">
        <v>456</v>
      </c>
      <c r="W325" s="19">
        <v>76</v>
      </c>
      <c r="X325" s="19">
        <v>2324</v>
      </c>
      <c r="Y325" s="19">
        <v>92</v>
      </c>
      <c r="Z325" s="19">
        <v>184</v>
      </c>
      <c r="AA325" s="14">
        <v>1</v>
      </c>
    </row>
    <row r="326" spans="1:27">
      <c r="A326" s="16">
        <v>46196.375</v>
      </c>
      <c r="B326" s="17">
        <v>46196</v>
      </c>
      <c r="C326" s="18">
        <v>0.375</v>
      </c>
      <c r="D326" t="s">
        <v>76</v>
      </c>
      <c r="E326" t="s">
        <v>143</v>
      </c>
      <c r="F326">
        <v>1</v>
      </c>
      <c r="G326" s="4">
        <v>76.22</v>
      </c>
      <c r="H326" s="4">
        <v>76.22</v>
      </c>
      <c r="I326" s="4">
        <v>54.45</v>
      </c>
      <c r="J326" s="4">
        <v>68.349999999999994</v>
      </c>
      <c r="K326" s="4">
        <v>68.349999999999994</v>
      </c>
      <c r="L326" s="4">
        <v>66.17</v>
      </c>
      <c r="M326" s="4">
        <v>99.33</v>
      </c>
      <c r="N326" s="4">
        <v>99.33</v>
      </c>
      <c r="O326" s="4">
        <v>73.7</v>
      </c>
      <c r="P326" s="4">
        <v>97.26</v>
      </c>
      <c r="Q326" s="4">
        <v>97.26</v>
      </c>
      <c r="R326" s="4">
        <v>90.83</v>
      </c>
      <c r="S326" s="19">
        <v>160</v>
      </c>
      <c r="T326" s="19">
        <v>1724</v>
      </c>
      <c r="U326" s="19">
        <v>64</v>
      </c>
      <c r="V326" s="19">
        <v>520</v>
      </c>
      <c r="W326" s="19">
        <v>76</v>
      </c>
      <c r="X326" s="19">
        <v>1912</v>
      </c>
      <c r="Y326" s="19">
        <v>124</v>
      </c>
      <c r="Z326" s="19">
        <v>176</v>
      </c>
      <c r="AA326" s="14">
        <v>1</v>
      </c>
    </row>
    <row r="327" spans="1:27">
      <c r="A327" s="16">
        <v>46196.385416666664</v>
      </c>
      <c r="B327" s="17">
        <v>46196</v>
      </c>
      <c r="C327" s="18">
        <v>0.38541666666666669</v>
      </c>
      <c r="D327" t="s">
        <v>76</v>
      </c>
      <c r="E327" t="s">
        <v>143</v>
      </c>
      <c r="F327">
        <v>1</v>
      </c>
      <c r="G327" s="4">
        <v>84.73</v>
      </c>
      <c r="H327" s="4">
        <v>84.73</v>
      </c>
      <c r="I327" s="4">
        <v>13.65</v>
      </c>
      <c r="J327" s="4">
        <v>77.47</v>
      </c>
      <c r="K327" s="4">
        <v>77.47</v>
      </c>
      <c r="L327" s="4">
        <v>62.94</v>
      </c>
      <c r="M327" s="4">
        <v>89.97</v>
      </c>
      <c r="N327" s="4">
        <v>89.97</v>
      </c>
      <c r="O327" s="4">
        <v>73.349999999999994</v>
      </c>
      <c r="P327" s="4">
        <v>78.7</v>
      </c>
      <c r="Q327" s="4">
        <v>78.7</v>
      </c>
      <c r="R327" s="4">
        <v>79.989999999999995</v>
      </c>
      <c r="S327" s="19">
        <v>220</v>
      </c>
      <c r="T327" s="19">
        <v>1544</v>
      </c>
      <c r="U327" s="19">
        <v>100</v>
      </c>
      <c r="V327" s="19">
        <v>284</v>
      </c>
      <c r="W327" s="19">
        <v>72</v>
      </c>
      <c r="X327" s="19">
        <v>1888</v>
      </c>
      <c r="Y327" s="19">
        <v>152</v>
      </c>
      <c r="Z327" s="19">
        <v>160</v>
      </c>
      <c r="AA327" s="14">
        <v>1</v>
      </c>
    </row>
    <row r="328" spans="1:27">
      <c r="A328" s="16">
        <v>46196.395833333336</v>
      </c>
      <c r="B328" s="17">
        <v>46196</v>
      </c>
      <c r="C328" s="18">
        <v>0.39583333333333331</v>
      </c>
      <c r="D328" t="s">
        <v>76</v>
      </c>
      <c r="E328" t="s">
        <v>143</v>
      </c>
      <c r="F328">
        <v>1</v>
      </c>
      <c r="G328" s="4">
        <v>71.28</v>
      </c>
      <c r="H328" s="4">
        <v>71.28</v>
      </c>
      <c r="I328" s="4">
        <v>69.73</v>
      </c>
      <c r="J328" s="4">
        <v>83.28</v>
      </c>
      <c r="K328" s="4">
        <v>83.28</v>
      </c>
      <c r="L328" s="4">
        <v>55.23</v>
      </c>
      <c r="M328" s="4">
        <v>104.3</v>
      </c>
      <c r="N328" s="4">
        <v>104.3</v>
      </c>
      <c r="O328" s="4">
        <v>66.37</v>
      </c>
      <c r="P328" s="4">
        <v>79.239999999999995</v>
      </c>
      <c r="Q328" s="4">
        <v>79.239999999999995</v>
      </c>
      <c r="R328" s="4">
        <v>89.68</v>
      </c>
      <c r="S328" s="19">
        <v>176</v>
      </c>
      <c r="T328" s="19">
        <v>1568</v>
      </c>
      <c r="U328" s="19">
        <v>92</v>
      </c>
      <c r="V328" s="19">
        <v>456</v>
      </c>
      <c r="W328" s="19">
        <v>72</v>
      </c>
      <c r="X328" s="19">
        <v>1904</v>
      </c>
      <c r="Y328" s="19">
        <v>168</v>
      </c>
      <c r="Z328" s="19">
        <v>168</v>
      </c>
      <c r="AA328" s="14">
        <v>1</v>
      </c>
    </row>
    <row r="329" spans="1:27">
      <c r="A329" s="16">
        <v>46196.40625</v>
      </c>
      <c r="B329" s="17">
        <v>46196</v>
      </c>
      <c r="C329" s="18">
        <v>0.40625</v>
      </c>
      <c r="D329" t="s">
        <v>76</v>
      </c>
      <c r="E329" t="s">
        <v>143</v>
      </c>
      <c r="F329">
        <v>1</v>
      </c>
      <c r="G329" s="4">
        <v>78.63</v>
      </c>
      <c r="H329" s="4">
        <v>78.63</v>
      </c>
      <c r="I329" s="4">
        <v>64.17</v>
      </c>
      <c r="J329" s="4">
        <v>82.85</v>
      </c>
      <c r="K329" s="4">
        <v>82.85</v>
      </c>
      <c r="L329" s="4">
        <v>70.599999999999994</v>
      </c>
      <c r="M329" s="4">
        <v>82.15</v>
      </c>
      <c r="N329" s="4">
        <v>82.15</v>
      </c>
      <c r="O329" s="4">
        <v>78.75</v>
      </c>
      <c r="P329" s="4">
        <v>86.94</v>
      </c>
      <c r="Q329" s="4">
        <v>86.94</v>
      </c>
      <c r="R329" s="4">
        <v>83.72</v>
      </c>
      <c r="S329" s="19">
        <v>192</v>
      </c>
      <c r="T329" s="19">
        <v>1476</v>
      </c>
      <c r="U329" s="19">
        <v>128</v>
      </c>
      <c r="V329" s="19">
        <v>392</v>
      </c>
      <c r="W329" s="19">
        <v>84</v>
      </c>
      <c r="X329" s="19">
        <v>1944</v>
      </c>
      <c r="Y329" s="19">
        <v>140</v>
      </c>
      <c r="Z329" s="19">
        <v>216</v>
      </c>
      <c r="AA329" s="14">
        <v>1</v>
      </c>
    </row>
    <row r="330" spans="1:27">
      <c r="A330" s="16">
        <v>46196.416666666664</v>
      </c>
      <c r="B330" s="17">
        <v>46196</v>
      </c>
      <c r="C330" s="18">
        <v>0.41666666666666669</v>
      </c>
      <c r="D330" t="s">
        <v>76</v>
      </c>
      <c r="E330" t="s">
        <v>143</v>
      </c>
      <c r="F330">
        <v>1</v>
      </c>
      <c r="G330" s="4">
        <v>96.72</v>
      </c>
      <c r="H330" s="4">
        <v>96.72</v>
      </c>
      <c r="I330" s="4">
        <v>55</v>
      </c>
      <c r="J330" s="4">
        <v>73.67</v>
      </c>
      <c r="K330" s="4">
        <v>73.67</v>
      </c>
      <c r="L330" s="4">
        <v>71.099999999999994</v>
      </c>
      <c r="M330" s="4">
        <v>96.44</v>
      </c>
      <c r="N330" s="4">
        <v>96.44</v>
      </c>
      <c r="O330" s="4">
        <v>77.42</v>
      </c>
      <c r="P330" s="4">
        <v>65.680000000000007</v>
      </c>
      <c r="Q330" s="4">
        <v>65.680000000000007</v>
      </c>
      <c r="R330" s="4">
        <v>85.57</v>
      </c>
      <c r="S330" s="19">
        <v>372</v>
      </c>
      <c r="T330" s="19">
        <v>1556</v>
      </c>
      <c r="U330" s="19">
        <v>52</v>
      </c>
      <c r="V330" s="19">
        <v>348</v>
      </c>
      <c r="W330" s="19">
        <v>92</v>
      </c>
      <c r="X330" s="19">
        <v>2040</v>
      </c>
      <c r="Y330" s="19">
        <v>172</v>
      </c>
      <c r="Z330" s="19">
        <v>236</v>
      </c>
      <c r="AA330" s="14">
        <v>1</v>
      </c>
    </row>
    <row r="331" spans="1:27">
      <c r="A331" s="16">
        <v>46196.427083333336</v>
      </c>
      <c r="B331" s="17">
        <v>46196</v>
      </c>
      <c r="C331" s="18">
        <v>0.42708333333333331</v>
      </c>
      <c r="D331" t="s">
        <v>76</v>
      </c>
      <c r="E331" t="s">
        <v>143</v>
      </c>
      <c r="F331">
        <v>1</v>
      </c>
      <c r="G331" s="4">
        <v>76.84</v>
      </c>
      <c r="H331" s="4">
        <v>76.84</v>
      </c>
      <c r="I331" s="4">
        <v>56.62</v>
      </c>
      <c r="J331" s="4">
        <v>69.12</v>
      </c>
      <c r="K331" s="4">
        <v>69.12</v>
      </c>
      <c r="L331" s="4">
        <v>69.53</v>
      </c>
      <c r="M331" s="4">
        <v>81.99</v>
      </c>
      <c r="N331" s="4">
        <v>81.99</v>
      </c>
      <c r="O331" s="4">
        <v>82.97</v>
      </c>
      <c r="P331" s="4">
        <v>81.94</v>
      </c>
      <c r="Q331" s="4">
        <v>81.94</v>
      </c>
      <c r="R331" s="4">
        <v>86.17</v>
      </c>
      <c r="S331" s="19">
        <v>232</v>
      </c>
      <c r="T331" s="19">
        <v>1540</v>
      </c>
      <c r="U331" s="19">
        <v>112</v>
      </c>
      <c r="V331" s="19">
        <v>472</v>
      </c>
      <c r="W331" s="19">
        <v>76</v>
      </c>
      <c r="X331" s="19">
        <v>1956</v>
      </c>
      <c r="Y331" s="19">
        <v>124</v>
      </c>
      <c r="Z331" s="19">
        <v>168</v>
      </c>
      <c r="AA331" s="14">
        <v>1</v>
      </c>
    </row>
    <row r="332" spans="1:27">
      <c r="A332" s="16">
        <v>46196.4375</v>
      </c>
      <c r="B332" s="17">
        <v>46196</v>
      </c>
      <c r="C332" s="18">
        <v>0.4375</v>
      </c>
      <c r="D332" t="s">
        <v>76</v>
      </c>
      <c r="E332" t="s">
        <v>143</v>
      </c>
      <c r="F332">
        <v>1</v>
      </c>
      <c r="G332" s="4">
        <v>90.37</v>
      </c>
      <c r="H332" s="4">
        <v>90.37</v>
      </c>
      <c r="I332" s="4">
        <v>62.4</v>
      </c>
      <c r="J332" s="4">
        <v>57.77</v>
      </c>
      <c r="K332" s="4">
        <v>57.77</v>
      </c>
      <c r="L332" s="4">
        <v>85.37</v>
      </c>
      <c r="M332" s="4">
        <v>96.22</v>
      </c>
      <c r="N332" s="4">
        <v>96.22</v>
      </c>
      <c r="O332" s="4">
        <v>79.08</v>
      </c>
      <c r="P332" s="4">
        <v>72.34</v>
      </c>
      <c r="Q332" s="4">
        <v>72.34</v>
      </c>
      <c r="R332" s="4">
        <v>77.36</v>
      </c>
      <c r="S332" s="19">
        <v>104</v>
      </c>
      <c r="T332" s="19">
        <v>1376</v>
      </c>
      <c r="U332" s="19">
        <v>104</v>
      </c>
      <c r="V332" s="19">
        <v>312</v>
      </c>
      <c r="W332" s="19">
        <v>76</v>
      </c>
      <c r="X332" s="19">
        <v>1868</v>
      </c>
      <c r="Y332" s="19">
        <v>124</v>
      </c>
      <c r="Z332" s="19">
        <v>168</v>
      </c>
      <c r="AA332" s="14">
        <v>1</v>
      </c>
    </row>
    <row r="333" spans="1:27">
      <c r="A333" s="16">
        <v>46196.447916666664</v>
      </c>
      <c r="B333" s="17">
        <v>46196</v>
      </c>
      <c r="C333" s="18">
        <v>0.44791666666666669</v>
      </c>
      <c r="D333" t="s">
        <v>76</v>
      </c>
      <c r="E333" t="s">
        <v>143</v>
      </c>
      <c r="F333">
        <v>1</v>
      </c>
      <c r="G333" s="4">
        <v>78.38</v>
      </c>
      <c r="H333" s="4">
        <v>78.38</v>
      </c>
      <c r="I333" s="4">
        <v>66.36</v>
      </c>
      <c r="J333" s="4">
        <v>65.98</v>
      </c>
      <c r="K333" s="4">
        <v>65.98</v>
      </c>
      <c r="L333" s="4">
        <v>80.900000000000006</v>
      </c>
      <c r="M333" s="4">
        <v>82.95</v>
      </c>
      <c r="N333" s="4">
        <v>82.95</v>
      </c>
      <c r="O333" s="4">
        <v>78.02</v>
      </c>
      <c r="P333" s="4">
        <v>89.55</v>
      </c>
      <c r="Q333" s="4">
        <v>89.55</v>
      </c>
      <c r="R333" s="4">
        <v>74.7</v>
      </c>
      <c r="S333" s="19">
        <v>84</v>
      </c>
      <c r="T333" s="19">
        <v>1508</v>
      </c>
      <c r="U333" s="19">
        <v>100</v>
      </c>
      <c r="V333" s="19">
        <v>452</v>
      </c>
      <c r="W333" s="19">
        <v>84</v>
      </c>
      <c r="X333" s="19">
        <v>1704</v>
      </c>
      <c r="Y333" s="19">
        <v>164</v>
      </c>
      <c r="Z333" s="19">
        <v>208</v>
      </c>
      <c r="AA333" s="14">
        <v>1</v>
      </c>
    </row>
    <row r="334" spans="1:27">
      <c r="A334" s="16">
        <v>46196.458333333336</v>
      </c>
      <c r="B334" s="17">
        <v>46196</v>
      </c>
      <c r="C334" s="18">
        <v>0.45833333333333331</v>
      </c>
      <c r="D334" t="s">
        <v>76</v>
      </c>
      <c r="E334" t="s">
        <v>143</v>
      </c>
      <c r="F334">
        <v>1</v>
      </c>
      <c r="G334" s="4">
        <v>86.88</v>
      </c>
      <c r="H334" s="4">
        <v>86.88</v>
      </c>
      <c r="I334" s="4">
        <v>54.6</v>
      </c>
      <c r="J334" s="4">
        <v>88.77</v>
      </c>
      <c r="K334" s="4">
        <v>88.77</v>
      </c>
      <c r="L334" s="4">
        <v>77.7</v>
      </c>
      <c r="M334" s="4">
        <v>107.88</v>
      </c>
      <c r="N334" s="4">
        <v>107.88</v>
      </c>
      <c r="O334" s="4">
        <v>86.52</v>
      </c>
      <c r="P334" s="4">
        <v>80.69</v>
      </c>
      <c r="Q334" s="4">
        <v>80.69</v>
      </c>
      <c r="R334" s="4">
        <v>71.22</v>
      </c>
      <c r="S334" s="19">
        <v>100</v>
      </c>
      <c r="T334" s="19">
        <v>1532</v>
      </c>
      <c r="U334" s="19">
        <v>84</v>
      </c>
      <c r="V334" s="19">
        <v>448</v>
      </c>
      <c r="W334" s="19">
        <v>184</v>
      </c>
      <c r="X334" s="19">
        <v>1712</v>
      </c>
      <c r="Y334" s="19">
        <v>140</v>
      </c>
      <c r="Z334" s="19">
        <v>140</v>
      </c>
      <c r="AA334" s="14">
        <v>0</v>
      </c>
    </row>
    <row r="335" spans="1:27">
      <c r="A335" s="16">
        <v>46196.46875</v>
      </c>
      <c r="B335" s="17">
        <v>46196</v>
      </c>
      <c r="C335" s="18">
        <v>0.46875</v>
      </c>
      <c r="D335" t="s">
        <v>76</v>
      </c>
      <c r="E335" t="s">
        <v>143</v>
      </c>
      <c r="F335">
        <v>1</v>
      </c>
      <c r="G335" s="4">
        <v>87.04</v>
      </c>
      <c r="H335" s="4">
        <v>87.04</v>
      </c>
      <c r="I335" s="4">
        <v>61.05</v>
      </c>
      <c r="J335" s="4">
        <v>49.22</v>
      </c>
      <c r="K335" s="4">
        <v>49.22</v>
      </c>
      <c r="L335" s="4">
        <v>35.92</v>
      </c>
      <c r="M335" s="4">
        <v>96.83</v>
      </c>
      <c r="N335" s="4">
        <v>96.83</v>
      </c>
      <c r="O335" s="4">
        <v>73.400000000000006</v>
      </c>
      <c r="P335" s="4">
        <v>80.58</v>
      </c>
      <c r="Q335" s="4">
        <v>80.58</v>
      </c>
      <c r="R335" s="4">
        <v>85.66</v>
      </c>
      <c r="S335" s="19">
        <v>140</v>
      </c>
      <c r="T335" s="19">
        <v>1784</v>
      </c>
      <c r="U335" s="19">
        <v>148</v>
      </c>
      <c r="V335" s="19">
        <v>280</v>
      </c>
      <c r="W335" s="19">
        <v>76</v>
      </c>
      <c r="X335" s="19">
        <v>1764</v>
      </c>
      <c r="Y335" s="19">
        <v>152</v>
      </c>
      <c r="Z335" s="19">
        <v>220</v>
      </c>
      <c r="AA335" s="14">
        <v>1</v>
      </c>
    </row>
    <row r="336" spans="1:27">
      <c r="A336" s="16">
        <v>46196.479166666664</v>
      </c>
      <c r="B336" s="17">
        <v>46196</v>
      </c>
      <c r="C336" s="18">
        <v>0.47916666666666669</v>
      </c>
      <c r="D336" t="s">
        <v>76</v>
      </c>
      <c r="E336" t="s">
        <v>143</v>
      </c>
      <c r="F336">
        <v>1</v>
      </c>
      <c r="G336" s="4">
        <v>86.04</v>
      </c>
      <c r="H336" s="4">
        <v>86.04</v>
      </c>
      <c r="I336" s="4">
        <v>64.67</v>
      </c>
      <c r="J336" s="4">
        <v>68.38</v>
      </c>
      <c r="K336" s="4">
        <v>68.38</v>
      </c>
      <c r="L336" s="4">
        <v>52.97</v>
      </c>
      <c r="M336" s="4">
        <v>94.13</v>
      </c>
      <c r="N336" s="4">
        <v>94.13</v>
      </c>
      <c r="O336" s="4">
        <v>77.17</v>
      </c>
      <c r="P336" s="4">
        <v>58.75</v>
      </c>
      <c r="Q336" s="4">
        <v>58.75</v>
      </c>
      <c r="R336" s="4">
        <v>91.2</v>
      </c>
      <c r="S336" s="19">
        <v>140</v>
      </c>
      <c r="T336" s="19">
        <v>1820</v>
      </c>
      <c r="U336" s="19">
        <v>128</v>
      </c>
      <c r="V336" s="19">
        <v>420</v>
      </c>
      <c r="W336" s="19">
        <v>76</v>
      </c>
      <c r="X336" s="19">
        <v>1960</v>
      </c>
      <c r="Y336" s="19">
        <v>168</v>
      </c>
      <c r="Z336" s="19">
        <v>204</v>
      </c>
      <c r="AA336" s="14">
        <v>1</v>
      </c>
    </row>
    <row r="337" spans="1:27">
      <c r="A337" s="16">
        <v>46196.489583333336</v>
      </c>
      <c r="B337" s="17">
        <v>46196</v>
      </c>
      <c r="C337" s="18">
        <v>0.48958333333333331</v>
      </c>
      <c r="D337" t="s">
        <v>76</v>
      </c>
      <c r="E337" t="s">
        <v>143</v>
      </c>
      <c r="F337">
        <v>1</v>
      </c>
      <c r="G337" s="4">
        <v>89.44</v>
      </c>
      <c r="H337" s="4">
        <v>89.44</v>
      </c>
      <c r="I337" s="4">
        <v>67.98</v>
      </c>
      <c r="J337" s="4">
        <v>77.400000000000006</v>
      </c>
      <c r="K337" s="4">
        <v>77.400000000000006</v>
      </c>
      <c r="L337" s="4">
        <v>63.26</v>
      </c>
      <c r="M337" s="4">
        <v>92.75</v>
      </c>
      <c r="N337" s="4">
        <v>92.75</v>
      </c>
      <c r="O337" s="4">
        <v>85.1</v>
      </c>
      <c r="P337" s="4">
        <v>93.03</v>
      </c>
      <c r="Q337" s="4">
        <v>93.03</v>
      </c>
      <c r="R337" s="4">
        <v>83.23</v>
      </c>
      <c r="S337" s="19">
        <v>140</v>
      </c>
      <c r="T337" s="19">
        <v>1692</v>
      </c>
      <c r="U337" s="19">
        <v>104</v>
      </c>
      <c r="V337" s="19">
        <v>372</v>
      </c>
      <c r="W337" s="19">
        <v>88</v>
      </c>
      <c r="X337" s="19">
        <v>1732</v>
      </c>
      <c r="Y337" s="19">
        <v>152</v>
      </c>
      <c r="Z337" s="19">
        <v>204</v>
      </c>
      <c r="AA337" s="14">
        <v>1</v>
      </c>
    </row>
    <row r="338" spans="1:27">
      <c r="A338" s="16">
        <v>46196.5</v>
      </c>
      <c r="B338" s="17">
        <v>46196</v>
      </c>
      <c r="C338" s="18">
        <v>0.5</v>
      </c>
      <c r="D338" t="s">
        <v>76</v>
      </c>
      <c r="E338" t="s">
        <v>143</v>
      </c>
      <c r="F338">
        <v>1</v>
      </c>
      <c r="G338" s="4">
        <v>94.78</v>
      </c>
      <c r="H338" s="4">
        <v>94.78</v>
      </c>
      <c r="I338" s="4">
        <v>58.77</v>
      </c>
      <c r="J338" s="4">
        <v>100.96</v>
      </c>
      <c r="K338" s="4">
        <v>100.96</v>
      </c>
      <c r="L338" s="4">
        <v>65.58</v>
      </c>
      <c r="M338" s="4">
        <v>83.3</v>
      </c>
      <c r="N338" s="4">
        <v>83.3</v>
      </c>
      <c r="O338" s="4">
        <v>85.56</v>
      </c>
      <c r="P338" s="4">
        <v>91.16</v>
      </c>
      <c r="Q338" s="4">
        <v>91.16</v>
      </c>
      <c r="R338" s="4">
        <v>104.72</v>
      </c>
      <c r="S338" s="19">
        <v>144</v>
      </c>
      <c r="T338" s="19">
        <v>1636</v>
      </c>
      <c r="U338" s="19">
        <v>152</v>
      </c>
      <c r="V338" s="19">
        <v>268</v>
      </c>
      <c r="W338" s="19">
        <v>92</v>
      </c>
      <c r="X338" s="19">
        <v>1860</v>
      </c>
      <c r="Y338" s="19">
        <v>160</v>
      </c>
      <c r="Z338" s="19">
        <v>188</v>
      </c>
      <c r="AA338" s="14">
        <v>1</v>
      </c>
    </row>
    <row r="339" spans="1:27">
      <c r="A339" s="16">
        <v>46196.510416666664</v>
      </c>
      <c r="B339" s="17">
        <v>46196</v>
      </c>
      <c r="C339" s="18">
        <v>0.51041666666666663</v>
      </c>
      <c r="D339" t="s">
        <v>76</v>
      </c>
      <c r="E339" t="s">
        <v>143</v>
      </c>
      <c r="F339">
        <v>1</v>
      </c>
      <c r="G339" s="4">
        <v>94.3</v>
      </c>
      <c r="H339" s="4">
        <v>94.3</v>
      </c>
      <c r="I339" s="4">
        <v>76.849999999999994</v>
      </c>
      <c r="J339" s="4">
        <v>76.930000000000007</v>
      </c>
      <c r="K339" s="4">
        <v>76.930000000000007</v>
      </c>
      <c r="L339" s="4">
        <v>87.63</v>
      </c>
      <c r="M339" s="4">
        <v>104.23</v>
      </c>
      <c r="N339" s="4">
        <v>104.23</v>
      </c>
      <c r="O339" s="4">
        <v>87.9</v>
      </c>
      <c r="P339" s="4">
        <v>41.4</v>
      </c>
      <c r="Q339" s="4">
        <v>41.4</v>
      </c>
      <c r="R339" s="4">
        <v>77.84</v>
      </c>
      <c r="S339" s="19">
        <v>316</v>
      </c>
      <c r="T339" s="19">
        <v>2076</v>
      </c>
      <c r="U339" s="19">
        <v>140</v>
      </c>
      <c r="V339" s="19">
        <v>448</v>
      </c>
      <c r="W339" s="19">
        <v>76</v>
      </c>
      <c r="X339" s="19">
        <v>1948</v>
      </c>
      <c r="Y339" s="19">
        <v>224</v>
      </c>
      <c r="Z339" s="19">
        <v>224</v>
      </c>
      <c r="AA339" s="14">
        <v>1</v>
      </c>
    </row>
    <row r="340" spans="1:27">
      <c r="A340" s="16">
        <v>46196.520833333336</v>
      </c>
      <c r="B340" s="17">
        <v>46196</v>
      </c>
      <c r="C340" s="18">
        <v>0.52083333333333337</v>
      </c>
      <c r="D340" t="s">
        <v>76</v>
      </c>
      <c r="E340" t="s">
        <v>143</v>
      </c>
      <c r="F340">
        <v>1</v>
      </c>
      <c r="G340" s="4">
        <v>94.9</v>
      </c>
      <c r="H340" s="4">
        <v>94.9</v>
      </c>
      <c r="I340" s="4">
        <v>72</v>
      </c>
      <c r="J340" s="4">
        <v>62.93</v>
      </c>
      <c r="K340" s="4">
        <v>62.93</v>
      </c>
      <c r="L340" s="4">
        <v>82.14</v>
      </c>
      <c r="M340" s="4">
        <v>98.82</v>
      </c>
      <c r="N340" s="4">
        <v>98.82</v>
      </c>
      <c r="O340" s="4">
        <v>84.36</v>
      </c>
      <c r="P340" s="4">
        <v>74.680000000000007</v>
      </c>
      <c r="Q340" s="4">
        <v>74.680000000000007</v>
      </c>
      <c r="R340" s="4">
        <v>67.17</v>
      </c>
      <c r="S340" s="19">
        <v>204</v>
      </c>
      <c r="T340" s="19">
        <v>1916</v>
      </c>
      <c r="U340" s="19">
        <v>188</v>
      </c>
      <c r="V340" s="19">
        <v>432</v>
      </c>
      <c r="W340" s="19">
        <v>76</v>
      </c>
      <c r="X340" s="19">
        <v>1912</v>
      </c>
      <c r="Y340" s="19">
        <v>140</v>
      </c>
      <c r="Z340" s="19">
        <v>244</v>
      </c>
      <c r="AA340" s="14">
        <v>1</v>
      </c>
    </row>
    <row r="341" spans="1:27">
      <c r="A341" s="16">
        <v>46196.53125</v>
      </c>
      <c r="B341" s="17">
        <v>46196</v>
      </c>
      <c r="C341" s="18">
        <v>0.53125</v>
      </c>
      <c r="D341" t="s">
        <v>76</v>
      </c>
      <c r="E341" t="s">
        <v>143</v>
      </c>
      <c r="F341">
        <v>1</v>
      </c>
      <c r="G341" s="4">
        <v>105.25</v>
      </c>
      <c r="H341" s="4">
        <v>105.25</v>
      </c>
      <c r="I341" s="4">
        <v>58.9</v>
      </c>
      <c r="J341" s="4">
        <v>75.930000000000007</v>
      </c>
      <c r="K341" s="4">
        <v>75.930000000000007</v>
      </c>
      <c r="L341" s="4">
        <v>61.47</v>
      </c>
      <c r="M341" s="4">
        <v>94.33</v>
      </c>
      <c r="N341" s="4">
        <v>94.33</v>
      </c>
      <c r="O341" s="4">
        <v>90.4</v>
      </c>
      <c r="P341" s="4">
        <v>94.4</v>
      </c>
      <c r="Q341" s="4">
        <v>94.4</v>
      </c>
      <c r="R341" s="4">
        <v>87.47</v>
      </c>
      <c r="S341" s="19">
        <v>204</v>
      </c>
      <c r="T341" s="19">
        <v>1956</v>
      </c>
      <c r="U341" s="19">
        <v>152</v>
      </c>
      <c r="V341" s="19">
        <v>532</v>
      </c>
      <c r="W341" s="19">
        <v>108</v>
      </c>
      <c r="X341" s="19">
        <v>1952</v>
      </c>
      <c r="Y341" s="19">
        <v>216</v>
      </c>
      <c r="Z341" s="19">
        <v>240</v>
      </c>
      <c r="AA341" s="14">
        <v>1</v>
      </c>
    </row>
    <row r="342" spans="1:27">
      <c r="A342" s="16">
        <v>46196.541666666664</v>
      </c>
      <c r="B342" s="17">
        <v>46196</v>
      </c>
      <c r="C342" s="18">
        <v>0.54166666666666663</v>
      </c>
      <c r="D342" t="s">
        <v>76</v>
      </c>
      <c r="E342" t="s">
        <v>143</v>
      </c>
      <c r="F342">
        <v>1</v>
      </c>
      <c r="G342" s="4">
        <v>90.45</v>
      </c>
      <c r="H342" s="4">
        <v>90.45</v>
      </c>
      <c r="I342" s="4">
        <v>78.23</v>
      </c>
      <c r="J342" s="4">
        <v>67</v>
      </c>
      <c r="K342" s="4">
        <v>67</v>
      </c>
      <c r="L342" s="4">
        <v>68.38</v>
      </c>
      <c r="M342" s="4">
        <v>99.45</v>
      </c>
      <c r="N342" s="4">
        <v>99.45</v>
      </c>
      <c r="O342" s="4">
        <v>86</v>
      </c>
      <c r="P342" s="4">
        <v>65.62</v>
      </c>
      <c r="Q342" s="4">
        <v>65.62</v>
      </c>
      <c r="R342" s="4">
        <v>85.24</v>
      </c>
      <c r="S342" s="19">
        <v>156</v>
      </c>
      <c r="T342" s="19">
        <v>2028</v>
      </c>
      <c r="U342" s="19">
        <v>152</v>
      </c>
      <c r="V342" s="19">
        <v>332</v>
      </c>
      <c r="W342" s="19">
        <v>88</v>
      </c>
      <c r="X342" s="19">
        <v>1868</v>
      </c>
      <c r="Y342" s="19">
        <v>156</v>
      </c>
      <c r="Z342" s="19">
        <v>240</v>
      </c>
      <c r="AA342" s="14">
        <v>1</v>
      </c>
    </row>
    <row r="343" spans="1:27">
      <c r="A343" s="16">
        <v>46196.552083333336</v>
      </c>
      <c r="B343" s="17">
        <v>46196</v>
      </c>
      <c r="C343" s="18">
        <v>0.55208333333333337</v>
      </c>
      <c r="D343" t="s">
        <v>76</v>
      </c>
      <c r="E343" t="s">
        <v>143</v>
      </c>
      <c r="F343">
        <v>1</v>
      </c>
      <c r="G343" s="4">
        <v>92.27</v>
      </c>
      <c r="H343" s="4">
        <v>92.27</v>
      </c>
      <c r="I343" s="4">
        <v>75.599999999999994</v>
      </c>
      <c r="J343" s="4">
        <v>80.75</v>
      </c>
      <c r="K343" s="4">
        <v>80.75</v>
      </c>
      <c r="L343" s="4">
        <v>70.52</v>
      </c>
      <c r="M343" s="4">
        <v>95.77</v>
      </c>
      <c r="N343" s="4">
        <v>95.77</v>
      </c>
      <c r="O343" s="4">
        <v>90.75</v>
      </c>
      <c r="P343" s="4">
        <v>97.92</v>
      </c>
      <c r="Q343" s="4">
        <v>97.92</v>
      </c>
      <c r="R343" s="4">
        <v>67.88</v>
      </c>
      <c r="S343" s="19">
        <v>316</v>
      </c>
      <c r="T343" s="19">
        <v>1956</v>
      </c>
      <c r="U343" s="19">
        <v>104</v>
      </c>
      <c r="V343" s="19">
        <v>364</v>
      </c>
      <c r="W343" s="19">
        <v>88</v>
      </c>
      <c r="X343" s="19">
        <v>1792</v>
      </c>
      <c r="Y343" s="19">
        <v>160</v>
      </c>
      <c r="Z343" s="19">
        <v>256</v>
      </c>
      <c r="AA343" s="14">
        <v>1</v>
      </c>
    </row>
    <row r="344" spans="1:27">
      <c r="A344" s="16">
        <v>46196.5625</v>
      </c>
      <c r="B344" s="17">
        <v>46196</v>
      </c>
      <c r="C344" s="18">
        <v>0.5625</v>
      </c>
      <c r="D344" t="s">
        <v>76</v>
      </c>
      <c r="E344" t="s">
        <v>143</v>
      </c>
      <c r="F344">
        <v>1</v>
      </c>
      <c r="G344" s="4">
        <v>92.24</v>
      </c>
      <c r="H344" s="4">
        <v>92.24</v>
      </c>
      <c r="I344" s="4">
        <v>70.23</v>
      </c>
      <c r="J344" s="4">
        <v>57.98</v>
      </c>
      <c r="K344" s="4">
        <v>57.98</v>
      </c>
      <c r="L344" s="4">
        <v>58.44</v>
      </c>
      <c r="M344" s="4">
        <v>90.7</v>
      </c>
      <c r="N344" s="4">
        <v>90.7</v>
      </c>
      <c r="O344" s="4">
        <v>88.17</v>
      </c>
      <c r="P344" s="4">
        <v>102.72</v>
      </c>
      <c r="Q344" s="4">
        <v>102.72</v>
      </c>
      <c r="R344" s="4">
        <v>80.349999999999994</v>
      </c>
      <c r="S344" s="19">
        <v>140</v>
      </c>
      <c r="T344" s="19">
        <v>1780</v>
      </c>
      <c r="U344" s="19">
        <v>220</v>
      </c>
      <c r="V344" s="19">
        <v>292</v>
      </c>
      <c r="W344" s="19">
        <v>60</v>
      </c>
      <c r="X344" s="19">
        <v>1588</v>
      </c>
      <c r="Y344" s="19">
        <v>180</v>
      </c>
      <c r="Z344" s="19">
        <v>196</v>
      </c>
      <c r="AA344" s="14">
        <v>1</v>
      </c>
    </row>
    <row r="345" spans="1:27">
      <c r="A345" s="16">
        <v>46196.572916666664</v>
      </c>
      <c r="B345" s="17">
        <v>46196</v>
      </c>
      <c r="C345" s="18">
        <v>0.57291666666666663</v>
      </c>
      <c r="D345" t="s">
        <v>76</v>
      </c>
      <c r="E345" t="s">
        <v>143</v>
      </c>
      <c r="F345">
        <v>1</v>
      </c>
      <c r="G345" s="4">
        <v>98.54</v>
      </c>
      <c r="H345" s="4">
        <v>98.54</v>
      </c>
      <c r="I345" s="4">
        <v>74.2</v>
      </c>
      <c r="J345" s="4">
        <v>98.22</v>
      </c>
      <c r="K345" s="4">
        <v>98.22</v>
      </c>
      <c r="L345" s="4">
        <v>50.15</v>
      </c>
      <c r="M345" s="4">
        <v>84.35</v>
      </c>
      <c r="N345" s="4">
        <v>84.35</v>
      </c>
      <c r="O345" s="4">
        <v>85.6</v>
      </c>
      <c r="P345" s="4">
        <v>94.72</v>
      </c>
      <c r="Q345" s="4">
        <v>94.72</v>
      </c>
      <c r="R345" s="4">
        <v>111.66</v>
      </c>
      <c r="S345" s="19">
        <v>168</v>
      </c>
      <c r="T345" s="19">
        <v>1972</v>
      </c>
      <c r="U345" s="19">
        <v>140</v>
      </c>
      <c r="V345" s="19">
        <v>412</v>
      </c>
      <c r="W345" s="19">
        <v>96</v>
      </c>
      <c r="X345" s="19">
        <v>1920</v>
      </c>
      <c r="Y345" s="19">
        <v>280</v>
      </c>
      <c r="Z345" s="19">
        <v>256</v>
      </c>
      <c r="AA345" s="14">
        <v>1</v>
      </c>
    </row>
    <row r="346" spans="1:27">
      <c r="A346" s="16">
        <v>46196.583333333336</v>
      </c>
      <c r="B346" s="17">
        <v>46196</v>
      </c>
      <c r="C346" s="18">
        <v>0.58333333333333337</v>
      </c>
      <c r="D346" t="s">
        <v>76</v>
      </c>
      <c r="E346" t="s">
        <v>143</v>
      </c>
      <c r="F346">
        <v>1</v>
      </c>
      <c r="G346" s="4">
        <v>89.3</v>
      </c>
      <c r="H346" s="4">
        <v>89.3</v>
      </c>
      <c r="I346" s="4">
        <v>71.52</v>
      </c>
      <c r="J346" s="4">
        <v>104.08</v>
      </c>
      <c r="K346" s="4">
        <v>104.08</v>
      </c>
      <c r="L346" s="4">
        <v>74.430000000000007</v>
      </c>
      <c r="M346" s="4">
        <v>89.47</v>
      </c>
      <c r="N346" s="4">
        <v>89.47</v>
      </c>
      <c r="O346" s="4">
        <v>88.22</v>
      </c>
      <c r="P346" s="4">
        <v>55.03</v>
      </c>
      <c r="Q346" s="4">
        <v>55.03</v>
      </c>
      <c r="R346" s="4">
        <v>72.12</v>
      </c>
      <c r="S346" s="19">
        <v>328</v>
      </c>
      <c r="T346" s="19">
        <v>1940</v>
      </c>
      <c r="U346" s="19">
        <v>108</v>
      </c>
      <c r="V346" s="19">
        <v>376</v>
      </c>
      <c r="W346" s="19">
        <v>68</v>
      </c>
      <c r="X346" s="19">
        <v>1928</v>
      </c>
      <c r="Y346" s="19">
        <v>176</v>
      </c>
      <c r="Z346" s="19">
        <v>240</v>
      </c>
      <c r="AA346" s="14">
        <v>1</v>
      </c>
    </row>
    <row r="347" spans="1:27">
      <c r="A347" s="16">
        <v>46196.59375</v>
      </c>
      <c r="B347" s="17">
        <v>46196</v>
      </c>
      <c r="C347" s="18">
        <v>0.59375</v>
      </c>
      <c r="D347" t="s">
        <v>76</v>
      </c>
      <c r="E347" t="s">
        <v>143</v>
      </c>
      <c r="F347">
        <v>1</v>
      </c>
      <c r="G347" s="4">
        <v>89.48</v>
      </c>
      <c r="H347" s="4">
        <v>89.48</v>
      </c>
      <c r="I347" s="4">
        <v>77.28</v>
      </c>
      <c r="J347" s="4">
        <v>50.6</v>
      </c>
      <c r="K347" s="4">
        <v>50.6</v>
      </c>
      <c r="L347" s="4">
        <v>79.599999999999994</v>
      </c>
      <c r="M347" s="4">
        <v>92.1</v>
      </c>
      <c r="N347" s="4">
        <v>92.1</v>
      </c>
      <c r="O347" s="4">
        <v>85.73</v>
      </c>
      <c r="P347" s="4">
        <v>63.07</v>
      </c>
      <c r="Q347" s="4">
        <v>63.07</v>
      </c>
      <c r="R347" s="4">
        <v>87.78</v>
      </c>
      <c r="S347" s="19">
        <v>160</v>
      </c>
      <c r="T347" s="19">
        <v>1844</v>
      </c>
      <c r="U347" s="19">
        <v>88</v>
      </c>
      <c r="V347" s="19">
        <v>384</v>
      </c>
      <c r="W347" s="19">
        <v>84</v>
      </c>
      <c r="X347" s="19">
        <v>1940</v>
      </c>
      <c r="Y347" s="19">
        <v>144</v>
      </c>
      <c r="Z347" s="19">
        <v>340</v>
      </c>
      <c r="AA347" s="14">
        <v>1</v>
      </c>
    </row>
    <row r="348" spans="1:27">
      <c r="A348" s="16">
        <v>46196.604166666664</v>
      </c>
      <c r="B348" s="17">
        <v>46196</v>
      </c>
      <c r="C348" s="18">
        <v>0.60416666666666663</v>
      </c>
      <c r="D348" t="s">
        <v>76</v>
      </c>
      <c r="E348" t="s">
        <v>143</v>
      </c>
      <c r="F348">
        <v>1</v>
      </c>
      <c r="G348" s="4">
        <v>89.25</v>
      </c>
      <c r="H348" s="4">
        <v>89.25</v>
      </c>
      <c r="I348" s="4">
        <v>50.05</v>
      </c>
      <c r="J348" s="4">
        <v>71.52</v>
      </c>
      <c r="K348" s="4">
        <v>71.52</v>
      </c>
      <c r="L348" s="4">
        <v>29.93</v>
      </c>
      <c r="M348" s="4">
        <v>99.03</v>
      </c>
      <c r="N348" s="4">
        <v>99.03</v>
      </c>
      <c r="O348" s="4">
        <v>87.05</v>
      </c>
      <c r="P348" s="4">
        <v>71.2</v>
      </c>
      <c r="Q348" s="4">
        <v>71.2</v>
      </c>
      <c r="R348" s="4">
        <v>65</v>
      </c>
      <c r="S348" s="19">
        <v>148</v>
      </c>
      <c r="T348" s="19">
        <v>2128</v>
      </c>
      <c r="U348" s="19">
        <v>132</v>
      </c>
      <c r="V348" s="19">
        <v>408</v>
      </c>
      <c r="W348" s="19">
        <v>88</v>
      </c>
      <c r="X348" s="19">
        <v>1892</v>
      </c>
      <c r="Y348" s="19">
        <v>184</v>
      </c>
      <c r="Z348" s="19">
        <v>220</v>
      </c>
      <c r="AA348" s="14">
        <v>1</v>
      </c>
    </row>
    <row r="349" spans="1:27">
      <c r="A349" s="16">
        <v>46196.614583333336</v>
      </c>
      <c r="B349" s="17">
        <v>46196</v>
      </c>
      <c r="C349" s="18">
        <v>0.61458333333333337</v>
      </c>
      <c r="D349" t="s">
        <v>76</v>
      </c>
      <c r="E349" t="s">
        <v>143</v>
      </c>
      <c r="F349">
        <v>1</v>
      </c>
      <c r="G349" s="4">
        <v>95.38</v>
      </c>
      <c r="H349" s="4">
        <v>95.38</v>
      </c>
      <c r="I349" s="4">
        <v>79.5</v>
      </c>
      <c r="J349" s="4">
        <v>39.799999999999997</v>
      </c>
      <c r="K349" s="4">
        <v>39.799999999999997</v>
      </c>
      <c r="L349" s="4">
        <v>68.08</v>
      </c>
      <c r="M349" s="4">
        <v>92.53</v>
      </c>
      <c r="N349" s="4">
        <v>92.53</v>
      </c>
      <c r="O349" s="4">
        <v>76.099999999999994</v>
      </c>
      <c r="P349" s="4">
        <v>90.72</v>
      </c>
      <c r="Q349" s="4">
        <v>90.72</v>
      </c>
      <c r="R349" s="4">
        <v>88.5</v>
      </c>
      <c r="S349" s="19">
        <v>208</v>
      </c>
      <c r="T349" s="19">
        <v>1676</v>
      </c>
      <c r="U349" s="19">
        <v>112</v>
      </c>
      <c r="V349" s="19">
        <v>404</v>
      </c>
      <c r="W349" s="19">
        <v>76</v>
      </c>
      <c r="X349" s="19">
        <v>1648</v>
      </c>
      <c r="Y349" s="19">
        <v>164</v>
      </c>
      <c r="Z349" s="19">
        <v>248</v>
      </c>
      <c r="AA349" s="14">
        <v>0</v>
      </c>
    </row>
    <row r="350" spans="1:27">
      <c r="A350" s="16">
        <v>46196.625</v>
      </c>
      <c r="B350" s="17">
        <v>46196</v>
      </c>
      <c r="C350" s="18">
        <v>0.625</v>
      </c>
      <c r="D350" t="s">
        <v>76</v>
      </c>
      <c r="E350" t="s">
        <v>143</v>
      </c>
      <c r="F350">
        <v>1</v>
      </c>
      <c r="G350" s="4">
        <v>92.08</v>
      </c>
      <c r="H350" s="4">
        <v>92.08</v>
      </c>
      <c r="I350" s="4">
        <v>81</v>
      </c>
      <c r="J350" s="4">
        <v>70.400000000000006</v>
      </c>
      <c r="K350" s="4">
        <v>70.400000000000006</v>
      </c>
      <c r="L350" s="4">
        <v>97.08</v>
      </c>
      <c r="M350" s="4">
        <v>97.2</v>
      </c>
      <c r="N350" s="4">
        <v>97.2</v>
      </c>
      <c r="O350" s="4">
        <v>89.05</v>
      </c>
      <c r="P350" s="4">
        <v>123.8</v>
      </c>
      <c r="Q350" s="4">
        <v>123.8</v>
      </c>
      <c r="R350" s="4">
        <v>85.75</v>
      </c>
      <c r="S350" s="19">
        <v>280</v>
      </c>
      <c r="T350" s="19">
        <v>1744</v>
      </c>
      <c r="U350" s="19">
        <v>148</v>
      </c>
      <c r="V350" s="19">
        <v>412</v>
      </c>
      <c r="W350" s="19">
        <v>36</v>
      </c>
      <c r="X350" s="19">
        <v>2136</v>
      </c>
      <c r="Y350" s="19">
        <v>152</v>
      </c>
      <c r="Z350" s="19">
        <v>316</v>
      </c>
      <c r="AA350" s="14">
        <v>1</v>
      </c>
    </row>
    <row r="351" spans="1:27">
      <c r="A351" s="16">
        <v>46196.635416666664</v>
      </c>
      <c r="B351" s="17">
        <v>46196</v>
      </c>
      <c r="C351" s="18">
        <v>0.63541666666666663</v>
      </c>
      <c r="D351" t="s">
        <v>76</v>
      </c>
      <c r="E351" t="s">
        <v>143</v>
      </c>
      <c r="F351">
        <v>1</v>
      </c>
      <c r="G351" s="4">
        <v>71.599999999999994</v>
      </c>
      <c r="H351" s="4">
        <v>71.599999999999994</v>
      </c>
      <c r="I351" s="4">
        <v>92.1</v>
      </c>
      <c r="J351" s="4">
        <v>78.73</v>
      </c>
      <c r="K351" s="4">
        <v>78.73</v>
      </c>
      <c r="L351" s="4">
        <v>65.17</v>
      </c>
      <c r="M351" s="4">
        <v>0</v>
      </c>
      <c r="N351" s="4">
        <v>0</v>
      </c>
      <c r="O351" s="4">
        <v>65.94</v>
      </c>
      <c r="P351" s="4">
        <v>70.22</v>
      </c>
      <c r="Q351" s="4">
        <v>70.22</v>
      </c>
      <c r="R351" s="4">
        <v>71</v>
      </c>
      <c r="S351" s="19">
        <v>196</v>
      </c>
      <c r="T351" s="19">
        <v>1780</v>
      </c>
      <c r="U351" s="19">
        <v>104</v>
      </c>
      <c r="V351" s="19">
        <v>480</v>
      </c>
      <c r="W351" s="19">
        <v>88</v>
      </c>
      <c r="X351" s="19">
        <v>1904</v>
      </c>
      <c r="Y351" s="19">
        <v>204</v>
      </c>
      <c r="Z351" s="19">
        <v>244</v>
      </c>
      <c r="AA351" s="14">
        <v>1</v>
      </c>
    </row>
    <row r="352" spans="1:27">
      <c r="A352" s="16">
        <v>46196.645833333336</v>
      </c>
      <c r="B352" s="17">
        <v>46196</v>
      </c>
      <c r="C352" s="18">
        <v>0.64583333333333337</v>
      </c>
      <c r="D352" t="s">
        <v>76</v>
      </c>
      <c r="E352" t="s">
        <v>143</v>
      </c>
      <c r="F352">
        <v>1</v>
      </c>
      <c r="G352" s="4">
        <v>103.2</v>
      </c>
      <c r="H352" s="4">
        <v>103.2</v>
      </c>
      <c r="I352" s="4">
        <v>87.97</v>
      </c>
      <c r="J352" s="4">
        <v>111.47</v>
      </c>
      <c r="K352" s="4">
        <v>111.47</v>
      </c>
      <c r="L352" s="4">
        <v>63.1</v>
      </c>
      <c r="M352" s="4">
        <v>110.7</v>
      </c>
      <c r="N352" s="4">
        <v>110.7</v>
      </c>
      <c r="O352" s="4">
        <v>85.95</v>
      </c>
      <c r="P352" s="4">
        <v>109.35</v>
      </c>
      <c r="Q352" s="4">
        <v>109.35</v>
      </c>
      <c r="R352" s="4">
        <v>95.27</v>
      </c>
      <c r="S352" s="19">
        <v>168</v>
      </c>
      <c r="T352" s="19">
        <v>1664</v>
      </c>
      <c r="U352" s="19">
        <v>212</v>
      </c>
      <c r="V352" s="19">
        <v>280</v>
      </c>
      <c r="W352" s="19">
        <v>80</v>
      </c>
      <c r="X352" s="19">
        <v>1908</v>
      </c>
      <c r="Y352" s="19">
        <v>144</v>
      </c>
      <c r="Z352" s="19">
        <v>260</v>
      </c>
      <c r="AA352" s="14">
        <v>1</v>
      </c>
    </row>
    <row r="353" spans="1:27">
      <c r="A353" s="16">
        <v>46196.65625</v>
      </c>
      <c r="B353" s="17">
        <v>46196</v>
      </c>
      <c r="C353" s="18">
        <v>0.65625</v>
      </c>
      <c r="D353" t="s">
        <v>76</v>
      </c>
      <c r="E353" t="s">
        <v>143</v>
      </c>
      <c r="F353">
        <v>1</v>
      </c>
      <c r="G353" s="4">
        <v>83</v>
      </c>
      <c r="H353" s="4">
        <v>83</v>
      </c>
      <c r="I353" s="4">
        <v>92.35</v>
      </c>
      <c r="J353" s="4">
        <v>36.58</v>
      </c>
      <c r="K353" s="4">
        <v>36.58</v>
      </c>
      <c r="L353" s="4">
        <v>80.430000000000007</v>
      </c>
      <c r="M353" s="4">
        <v>151.19999999999999</v>
      </c>
      <c r="N353" s="4">
        <v>151.19999999999999</v>
      </c>
      <c r="O353" s="4">
        <v>93.57</v>
      </c>
      <c r="P353" s="4">
        <v>100.02</v>
      </c>
      <c r="Q353" s="4">
        <v>100.02</v>
      </c>
      <c r="R353" s="4">
        <v>0</v>
      </c>
      <c r="S353" s="19">
        <v>128</v>
      </c>
      <c r="T353" s="19">
        <v>1932</v>
      </c>
      <c r="U353" s="19">
        <v>132</v>
      </c>
      <c r="V353" s="19">
        <v>332</v>
      </c>
      <c r="W353" s="19">
        <v>92</v>
      </c>
      <c r="X353" s="19">
        <v>2120</v>
      </c>
      <c r="Y353" s="19">
        <v>168</v>
      </c>
      <c r="Z353" s="19">
        <v>288</v>
      </c>
      <c r="AA353" s="14">
        <v>1</v>
      </c>
    </row>
    <row r="354" spans="1:27">
      <c r="A354" s="16">
        <v>46196.666666666664</v>
      </c>
      <c r="B354" s="17">
        <v>46196</v>
      </c>
      <c r="C354" s="18">
        <v>0.66666666666666663</v>
      </c>
      <c r="D354" t="s">
        <v>76</v>
      </c>
      <c r="E354" t="s">
        <v>143</v>
      </c>
      <c r="F354">
        <v>1</v>
      </c>
      <c r="G354" s="4">
        <v>86.15</v>
      </c>
      <c r="H354" s="4">
        <v>86.15</v>
      </c>
      <c r="I354" s="4">
        <v>91.05</v>
      </c>
      <c r="J354" s="4">
        <v>52.95</v>
      </c>
      <c r="K354" s="4">
        <v>52.95</v>
      </c>
      <c r="L354" s="4">
        <v>84.17</v>
      </c>
      <c r="M354" s="4">
        <v>113.07</v>
      </c>
      <c r="N354" s="4">
        <v>113.07</v>
      </c>
      <c r="O354" s="4">
        <v>95.23</v>
      </c>
      <c r="P354" s="4">
        <v>98.78</v>
      </c>
      <c r="Q354" s="4">
        <v>98.78</v>
      </c>
      <c r="R354" s="4">
        <v>95.25</v>
      </c>
      <c r="S354" s="19">
        <v>128</v>
      </c>
      <c r="T354" s="19">
        <v>1724</v>
      </c>
      <c r="U354" s="19">
        <v>128</v>
      </c>
      <c r="V354" s="19">
        <v>472</v>
      </c>
      <c r="W354" s="19">
        <v>64</v>
      </c>
      <c r="X354" s="19">
        <v>2000</v>
      </c>
      <c r="Y354" s="19">
        <v>100</v>
      </c>
      <c r="Z354" s="19">
        <v>260</v>
      </c>
      <c r="AA354" s="14">
        <v>1</v>
      </c>
    </row>
    <row r="355" spans="1:27">
      <c r="A355" s="16">
        <v>46196.677083333336</v>
      </c>
      <c r="B355" s="17">
        <v>46196</v>
      </c>
      <c r="C355" s="18">
        <v>0.67708333333333337</v>
      </c>
      <c r="D355" t="s">
        <v>76</v>
      </c>
      <c r="E355" t="s">
        <v>143</v>
      </c>
      <c r="F355">
        <v>1</v>
      </c>
      <c r="G355" s="4">
        <v>90.48</v>
      </c>
      <c r="H355" s="4">
        <v>90.48</v>
      </c>
      <c r="I355" s="4">
        <v>90.33</v>
      </c>
      <c r="J355" s="4">
        <v>0</v>
      </c>
      <c r="K355" s="4">
        <v>0</v>
      </c>
      <c r="L355" s="4">
        <v>89.12</v>
      </c>
      <c r="M355" s="4">
        <v>117.25</v>
      </c>
      <c r="N355" s="4">
        <v>117.25</v>
      </c>
      <c r="O355" s="4">
        <v>96.18</v>
      </c>
      <c r="P355" s="4">
        <v>114.47</v>
      </c>
      <c r="Q355" s="4">
        <v>114.47</v>
      </c>
      <c r="R355" s="4">
        <v>87.97</v>
      </c>
      <c r="S355" s="19">
        <v>128</v>
      </c>
      <c r="T355" s="19">
        <v>1832</v>
      </c>
      <c r="U355" s="19">
        <v>196</v>
      </c>
      <c r="V355" s="19">
        <v>424</v>
      </c>
      <c r="W355" s="19">
        <v>72</v>
      </c>
      <c r="X355" s="19">
        <v>2152</v>
      </c>
      <c r="Y355" s="19">
        <v>164</v>
      </c>
      <c r="Z355" s="19">
        <v>380</v>
      </c>
      <c r="AA355" s="14">
        <v>1</v>
      </c>
    </row>
    <row r="356" spans="1:27">
      <c r="A356" s="16">
        <v>46196.6875</v>
      </c>
      <c r="B356" s="17">
        <v>46196</v>
      </c>
      <c r="C356" s="18">
        <v>0.6875</v>
      </c>
      <c r="D356" t="s">
        <v>76</v>
      </c>
      <c r="E356" t="s">
        <v>143</v>
      </c>
      <c r="F356">
        <v>1</v>
      </c>
      <c r="G356" s="4">
        <v>100.08</v>
      </c>
      <c r="H356" s="4">
        <v>100.08</v>
      </c>
      <c r="I356" s="4">
        <v>97.8</v>
      </c>
      <c r="J356" s="4">
        <v>60.2</v>
      </c>
      <c r="K356" s="4">
        <v>60.2</v>
      </c>
      <c r="L356" s="4">
        <v>83.6</v>
      </c>
      <c r="M356" s="4">
        <v>117.4</v>
      </c>
      <c r="N356" s="4">
        <v>117.4</v>
      </c>
      <c r="O356" s="4">
        <v>97.53</v>
      </c>
      <c r="P356" s="4">
        <v>127.5</v>
      </c>
      <c r="Q356" s="4">
        <v>127.5</v>
      </c>
      <c r="R356" s="4">
        <v>99.17</v>
      </c>
      <c r="S356" s="19">
        <v>208</v>
      </c>
      <c r="T356" s="19">
        <v>1676</v>
      </c>
      <c r="U356" s="19">
        <v>124</v>
      </c>
      <c r="V356" s="19">
        <v>356</v>
      </c>
      <c r="W356" s="19">
        <v>100</v>
      </c>
      <c r="X356" s="19">
        <v>1996</v>
      </c>
      <c r="Y356" s="19">
        <v>136</v>
      </c>
      <c r="Z356" s="19">
        <v>252</v>
      </c>
      <c r="AA356" s="14">
        <v>1</v>
      </c>
    </row>
    <row r="357" spans="1:27">
      <c r="A357" s="16">
        <v>46196.697916666664</v>
      </c>
      <c r="B357" s="17">
        <v>46196</v>
      </c>
      <c r="C357" s="18">
        <v>0.69791666666666663</v>
      </c>
      <c r="D357" t="s">
        <v>76</v>
      </c>
      <c r="E357" t="s">
        <v>143</v>
      </c>
      <c r="F357">
        <v>1</v>
      </c>
      <c r="G357" s="4">
        <v>112.6</v>
      </c>
      <c r="H357" s="4">
        <v>112.6</v>
      </c>
      <c r="I357" s="4">
        <v>96.4</v>
      </c>
      <c r="J357" s="4">
        <v>50.9</v>
      </c>
      <c r="K357" s="4">
        <v>50.9</v>
      </c>
      <c r="L357" s="4">
        <v>64.83</v>
      </c>
      <c r="M357" s="4">
        <v>109.63</v>
      </c>
      <c r="N357" s="4">
        <v>109.63</v>
      </c>
      <c r="O357" s="4">
        <v>96.3</v>
      </c>
      <c r="P357" s="4">
        <v>78.900000000000006</v>
      </c>
      <c r="Q357" s="4">
        <v>78.900000000000006</v>
      </c>
      <c r="R357" s="4">
        <v>89.8</v>
      </c>
      <c r="S357" s="19">
        <v>188</v>
      </c>
      <c r="T357" s="19">
        <v>1988</v>
      </c>
      <c r="U357" s="19">
        <v>100</v>
      </c>
      <c r="V357" s="19">
        <v>412</v>
      </c>
      <c r="W357" s="19">
        <v>76</v>
      </c>
      <c r="X357" s="19">
        <v>1892</v>
      </c>
      <c r="Y357" s="19">
        <v>188</v>
      </c>
      <c r="Z357" s="19">
        <v>268</v>
      </c>
      <c r="AA357" s="14">
        <v>1</v>
      </c>
    </row>
    <row r="358" spans="1:27">
      <c r="A358" s="16">
        <v>46196.708333333336</v>
      </c>
      <c r="B358" s="17">
        <v>46196</v>
      </c>
      <c r="C358" s="18">
        <v>0.70833333333333337</v>
      </c>
      <c r="D358" t="s">
        <v>76</v>
      </c>
      <c r="E358" t="s">
        <v>143</v>
      </c>
      <c r="F358">
        <v>1</v>
      </c>
      <c r="G358" s="4">
        <v>94.2</v>
      </c>
      <c r="H358" s="4">
        <v>94.2</v>
      </c>
      <c r="I358" s="4">
        <v>91.28</v>
      </c>
      <c r="J358" s="4">
        <v>106.92</v>
      </c>
      <c r="K358" s="4">
        <v>106.92</v>
      </c>
      <c r="L358" s="4">
        <v>89.15</v>
      </c>
      <c r="M358" s="4">
        <v>111.8</v>
      </c>
      <c r="N358" s="4">
        <v>111.8</v>
      </c>
      <c r="O358" s="4">
        <v>97.8</v>
      </c>
      <c r="P358" s="4">
        <v>52.8</v>
      </c>
      <c r="Q358" s="4">
        <v>52.8</v>
      </c>
      <c r="R358" s="4">
        <v>94.3</v>
      </c>
      <c r="S358" s="19">
        <v>164</v>
      </c>
      <c r="T358" s="19">
        <v>2084</v>
      </c>
      <c r="U358" s="19">
        <v>112</v>
      </c>
      <c r="V358" s="19">
        <v>420</v>
      </c>
      <c r="W358" s="19">
        <v>60</v>
      </c>
      <c r="X358" s="19">
        <v>2056</v>
      </c>
      <c r="Y358" s="19">
        <v>224</v>
      </c>
      <c r="Z358" s="19">
        <v>276</v>
      </c>
      <c r="AA358" s="14">
        <v>1</v>
      </c>
    </row>
    <row r="359" spans="1:27">
      <c r="A359" s="16">
        <v>46196.71875</v>
      </c>
      <c r="B359" s="17">
        <v>46196</v>
      </c>
      <c r="C359" s="18">
        <v>0.71875</v>
      </c>
      <c r="D359" t="s">
        <v>76</v>
      </c>
      <c r="E359" t="s">
        <v>143</v>
      </c>
      <c r="F359">
        <v>1</v>
      </c>
      <c r="G359" s="4">
        <v>99.75</v>
      </c>
      <c r="H359" s="4">
        <v>99.75</v>
      </c>
      <c r="I359" s="4">
        <v>92.27</v>
      </c>
      <c r="J359" s="4">
        <v>106.42</v>
      </c>
      <c r="K359" s="4">
        <v>106.42</v>
      </c>
      <c r="L359" s="4">
        <v>67.52</v>
      </c>
      <c r="M359" s="4">
        <v>112.18</v>
      </c>
      <c r="N359" s="4">
        <v>112.18</v>
      </c>
      <c r="O359" s="4">
        <v>95.2</v>
      </c>
      <c r="P359" s="4">
        <v>104.68</v>
      </c>
      <c r="Q359" s="4">
        <v>104.68</v>
      </c>
      <c r="R359" s="4">
        <v>58.7</v>
      </c>
      <c r="S359" s="19">
        <v>148</v>
      </c>
      <c r="T359" s="19">
        <v>1920</v>
      </c>
      <c r="U359" s="19">
        <v>104</v>
      </c>
      <c r="V359" s="19">
        <v>392</v>
      </c>
      <c r="W359" s="19">
        <v>84</v>
      </c>
      <c r="X359" s="19">
        <v>1880</v>
      </c>
      <c r="Y359" s="19">
        <v>156</v>
      </c>
      <c r="Z359" s="19">
        <v>244</v>
      </c>
      <c r="AA359" s="14">
        <v>1</v>
      </c>
    </row>
    <row r="360" spans="1:27">
      <c r="A360" s="16">
        <v>46196.729166666664</v>
      </c>
      <c r="B360" s="17">
        <v>46196</v>
      </c>
      <c r="C360" s="18">
        <v>0.72916666666666663</v>
      </c>
      <c r="D360" t="s">
        <v>76</v>
      </c>
      <c r="E360" t="s">
        <v>143</v>
      </c>
      <c r="F360">
        <v>1</v>
      </c>
      <c r="G360" s="4">
        <v>92.22</v>
      </c>
      <c r="H360" s="4">
        <v>92.22</v>
      </c>
      <c r="I360" s="4">
        <v>0</v>
      </c>
      <c r="J360" s="4">
        <v>99.02</v>
      </c>
      <c r="K360" s="4">
        <v>99.02</v>
      </c>
      <c r="L360" s="4">
        <v>77.930000000000007</v>
      </c>
      <c r="M360" s="4">
        <v>114.68</v>
      </c>
      <c r="N360" s="4">
        <v>114.68</v>
      </c>
      <c r="O360" s="4">
        <v>96.55</v>
      </c>
      <c r="P360" s="4">
        <v>102.62</v>
      </c>
      <c r="Q360" s="4">
        <v>102.62</v>
      </c>
      <c r="R360" s="4">
        <v>0</v>
      </c>
      <c r="S360" s="19">
        <v>152</v>
      </c>
      <c r="T360" s="19">
        <v>2108</v>
      </c>
      <c r="U360" s="19">
        <v>124</v>
      </c>
      <c r="V360" s="19">
        <v>376</v>
      </c>
      <c r="W360" s="19">
        <v>108</v>
      </c>
      <c r="X360" s="19">
        <v>1976</v>
      </c>
      <c r="Y360" s="19">
        <v>216</v>
      </c>
      <c r="Z360" s="19">
        <v>288</v>
      </c>
      <c r="AA360" s="14">
        <v>1</v>
      </c>
    </row>
    <row r="361" spans="1:27">
      <c r="A361" s="16">
        <v>46196.739583333336</v>
      </c>
      <c r="B361" s="17">
        <v>46196</v>
      </c>
      <c r="C361" s="18">
        <v>0.73958333333333337</v>
      </c>
      <c r="D361" t="s">
        <v>76</v>
      </c>
      <c r="E361" t="s">
        <v>143</v>
      </c>
      <c r="F361">
        <v>1</v>
      </c>
      <c r="G361" s="4">
        <v>96.22</v>
      </c>
      <c r="H361" s="4">
        <v>96.22</v>
      </c>
      <c r="I361" s="4">
        <v>74.099999999999994</v>
      </c>
      <c r="J361" s="4">
        <v>95.78</v>
      </c>
      <c r="K361" s="4">
        <v>95.78</v>
      </c>
      <c r="L361" s="4">
        <v>62.62</v>
      </c>
      <c r="M361" s="4">
        <v>111.2</v>
      </c>
      <c r="N361" s="4">
        <v>111.2</v>
      </c>
      <c r="O361" s="4">
        <v>97.33</v>
      </c>
      <c r="P361" s="4">
        <v>94.25</v>
      </c>
      <c r="Q361" s="4">
        <v>94.25</v>
      </c>
      <c r="R361" s="4">
        <v>0</v>
      </c>
      <c r="S361" s="19">
        <v>184</v>
      </c>
      <c r="T361" s="19">
        <v>1960</v>
      </c>
      <c r="U361" s="19">
        <v>88</v>
      </c>
      <c r="V361" s="19">
        <v>324</v>
      </c>
      <c r="W361" s="19">
        <v>80</v>
      </c>
      <c r="X361" s="19">
        <v>1984</v>
      </c>
      <c r="Y361" s="19">
        <v>248</v>
      </c>
      <c r="Z361" s="19">
        <v>220</v>
      </c>
      <c r="AA361" s="14">
        <v>1</v>
      </c>
    </row>
    <row r="362" spans="1:27">
      <c r="A362" s="16">
        <v>46196.75</v>
      </c>
      <c r="B362" s="17">
        <v>46196</v>
      </c>
      <c r="C362" s="18">
        <v>0.75</v>
      </c>
      <c r="D362" t="s">
        <v>76</v>
      </c>
      <c r="E362" t="s">
        <v>143</v>
      </c>
      <c r="F362">
        <v>1</v>
      </c>
      <c r="G362" s="4">
        <v>107.3</v>
      </c>
      <c r="H362" s="4">
        <v>107.3</v>
      </c>
      <c r="I362" s="4">
        <v>93.2</v>
      </c>
      <c r="J362" s="4">
        <v>114.83</v>
      </c>
      <c r="K362" s="4">
        <v>114.83</v>
      </c>
      <c r="L362" s="4">
        <v>90.28</v>
      </c>
      <c r="M362" s="4">
        <v>109.23</v>
      </c>
      <c r="N362" s="4">
        <v>109.23</v>
      </c>
      <c r="O362" s="4">
        <v>93.07</v>
      </c>
      <c r="P362" s="4">
        <v>100.45</v>
      </c>
      <c r="Q362" s="4">
        <v>100.45</v>
      </c>
      <c r="R362" s="4">
        <v>100.23</v>
      </c>
      <c r="S362" s="19">
        <v>168</v>
      </c>
      <c r="T362" s="19">
        <v>1632</v>
      </c>
      <c r="U362" s="19">
        <v>92</v>
      </c>
      <c r="V362" s="19">
        <v>388</v>
      </c>
      <c r="W362" s="19">
        <v>80</v>
      </c>
      <c r="X362" s="19">
        <v>2012</v>
      </c>
      <c r="Y362" s="19">
        <v>136</v>
      </c>
      <c r="Z362" s="19">
        <v>236</v>
      </c>
      <c r="AA362" s="14">
        <v>1</v>
      </c>
    </row>
    <row r="363" spans="1:27">
      <c r="A363" s="16">
        <v>46196.760416666664</v>
      </c>
      <c r="B363" s="17">
        <v>46196</v>
      </c>
      <c r="C363" s="18">
        <v>0.76041666666666663</v>
      </c>
      <c r="D363" t="s">
        <v>76</v>
      </c>
      <c r="E363" t="s">
        <v>143</v>
      </c>
      <c r="F363">
        <v>1</v>
      </c>
      <c r="G363" s="4">
        <v>101.23</v>
      </c>
      <c r="H363" s="4">
        <v>101.23</v>
      </c>
      <c r="I363" s="4">
        <v>92.9</v>
      </c>
      <c r="J363" s="4">
        <v>70.569999999999993</v>
      </c>
      <c r="K363" s="4">
        <v>70.569999999999993</v>
      </c>
      <c r="L363" s="4">
        <v>75.2</v>
      </c>
      <c r="M363" s="4">
        <v>140.02000000000001</v>
      </c>
      <c r="N363" s="4">
        <v>140.02000000000001</v>
      </c>
      <c r="O363" s="4">
        <v>95.1</v>
      </c>
      <c r="P363" s="4">
        <v>128.13</v>
      </c>
      <c r="Q363" s="4">
        <v>128.13</v>
      </c>
      <c r="R363" s="4">
        <v>96</v>
      </c>
      <c r="S363" s="19">
        <v>160</v>
      </c>
      <c r="T363" s="19">
        <v>1808</v>
      </c>
      <c r="U363" s="19">
        <v>68</v>
      </c>
      <c r="V363" s="19">
        <v>448</v>
      </c>
      <c r="W363" s="19">
        <v>56</v>
      </c>
      <c r="X363" s="19">
        <v>1972</v>
      </c>
      <c r="Y363" s="19">
        <v>136</v>
      </c>
      <c r="Z363" s="19">
        <v>292</v>
      </c>
      <c r="AA363" s="14">
        <v>0</v>
      </c>
    </row>
    <row r="364" spans="1:27">
      <c r="A364" s="16">
        <v>46196.770833333336</v>
      </c>
      <c r="B364" s="17">
        <v>46196</v>
      </c>
      <c r="C364" s="18">
        <v>0.77083333333333337</v>
      </c>
      <c r="D364" t="s">
        <v>76</v>
      </c>
      <c r="E364" t="s">
        <v>143</v>
      </c>
      <c r="F364">
        <v>1</v>
      </c>
      <c r="G364" s="4">
        <v>102.66</v>
      </c>
      <c r="H364" s="4">
        <v>102.66</v>
      </c>
      <c r="I364" s="4">
        <v>87.06</v>
      </c>
      <c r="J364" s="4">
        <v>92.06</v>
      </c>
      <c r="K364" s="4">
        <v>92.06</v>
      </c>
      <c r="L364" s="4">
        <v>69.92</v>
      </c>
      <c r="M364" s="4">
        <v>111.9</v>
      </c>
      <c r="N364" s="4">
        <v>111.9</v>
      </c>
      <c r="O364" s="4">
        <v>93.43</v>
      </c>
      <c r="P364" s="4">
        <v>61.13</v>
      </c>
      <c r="Q364" s="4">
        <v>61.13</v>
      </c>
      <c r="R364" s="4">
        <v>101.2</v>
      </c>
      <c r="S364" s="19">
        <v>248</v>
      </c>
      <c r="T364" s="19">
        <v>1784</v>
      </c>
      <c r="U364" s="19">
        <v>156</v>
      </c>
      <c r="V364" s="19">
        <v>400</v>
      </c>
      <c r="W364" s="19">
        <v>132</v>
      </c>
      <c r="X364" s="19">
        <v>2024</v>
      </c>
      <c r="Y364" s="19">
        <v>152</v>
      </c>
      <c r="Z364" s="19">
        <v>180</v>
      </c>
      <c r="AA364" s="14">
        <v>1</v>
      </c>
    </row>
    <row r="365" spans="1:27">
      <c r="A365" s="16">
        <v>46196.78125</v>
      </c>
      <c r="B365" s="17">
        <v>46196</v>
      </c>
      <c r="C365" s="18">
        <v>0.78125</v>
      </c>
      <c r="D365" t="s">
        <v>76</v>
      </c>
      <c r="E365" t="s">
        <v>143</v>
      </c>
      <c r="F365">
        <v>1</v>
      </c>
      <c r="G365" s="4">
        <v>95.71</v>
      </c>
      <c r="H365" s="4">
        <v>95.71</v>
      </c>
      <c r="I365" s="4">
        <v>86.95</v>
      </c>
      <c r="J365" s="4">
        <v>61.3</v>
      </c>
      <c r="K365" s="4">
        <v>61.3</v>
      </c>
      <c r="L365" s="4">
        <v>81.48</v>
      </c>
      <c r="M365" s="4">
        <v>108.5</v>
      </c>
      <c r="N365" s="4">
        <v>108.5</v>
      </c>
      <c r="O365" s="4">
        <v>88.03</v>
      </c>
      <c r="P365" s="4">
        <v>87.92</v>
      </c>
      <c r="Q365" s="4">
        <v>87.92</v>
      </c>
      <c r="R365" s="4">
        <v>112.1</v>
      </c>
      <c r="S365" s="19">
        <v>248</v>
      </c>
      <c r="T365" s="19">
        <v>1728</v>
      </c>
      <c r="U365" s="19">
        <v>64</v>
      </c>
      <c r="V365" s="19">
        <v>432</v>
      </c>
      <c r="W365" s="19">
        <v>84</v>
      </c>
      <c r="X365" s="19">
        <v>1748</v>
      </c>
      <c r="Y365" s="19">
        <v>140</v>
      </c>
      <c r="Z365" s="19">
        <v>196</v>
      </c>
      <c r="AA365" s="14">
        <v>1</v>
      </c>
    </row>
    <row r="366" spans="1:27">
      <c r="A366" s="16">
        <v>46196.791666666664</v>
      </c>
      <c r="B366" s="17">
        <v>46196</v>
      </c>
      <c r="C366" s="18">
        <v>0.79166666666666663</v>
      </c>
      <c r="D366" t="s">
        <v>76</v>
      </c>
      <c r="E366" t="s">
        <v>143</v>
      </c>
      <c r="F366">
        <v>1</v>
      </c>
      <c r="G366" s="4">
        <v>119.25</v>
      </c>
      <c r="H366" s="4">
        <v>119.25</v>
      </c>
      <c r="I366" s="4">
        <v>83.3</v>
      </c>
      <c r="J366" s="4">
        <v>100.3</v>
      </c>
      <c r="K366" s="4">
        <v>100.3</v>
      </c>
      <c r="L366" s="4">
        <v>91.73</v>
      </c>
      <c r="M366" s="4">
        <v>106.95</v>
      </c>
      <c r="N366" s="4">
        <v>106.95</v>
      </c>
      <c r="O366" s="4">
        <v>29.3</v>
      </c>
      <c r="P366" s="4">
        <v>110.33</v>
      </c>
      <c r="Q366" s="4">
        <v>110.33</v>
      </c>
      <c r="R366" s="4">
        <v>106.62</v>
      </c>
      <c r="S366" s="19">
        <v>172</v>
      </c>
      <c r="T366" s="19">
        <v>2012</v>
      </c>
      <c r="U366" s="19">
        <v>88</v>
      </c>
      <c r="V366" s="19">
        <v>456</v>
      </c>
      <c r="W366" s="19">
        <v>84</v>
      </c>
      <c r="X366" s="19">
        <v>1664</v>
      </c>
      <c r="Y366" s="19">
        <v>160</v>
      </c>
      <c r="Z366" s="19">
        <v>228</v>
      </c>
      <c r="AA366" s="14">
        <v>1</v>
      </c>
    </row>
    <row r="367" spans="1:27">
      <c r="A367" s="16">
        <v>46196.802083333336</v>
      </c>
      <c r="B367" s="17">
        <v>46196</v>
      </c>
      <c r="C367" s="18">
        <v>0.80208333333333337</v>
      </c>
      <c r="D367" t="s">
        <v>76</v>
      </c>
      <c r="E367" t="s">
        <v>143</v>
      </c>
      <c r="F367">
        <v>1</v>
      </c>
      <c r="G367" s="4">
        <v>155</v>
      </c>
      <c r="H367" s="4">
        <v>155</v>
      </c>
      <c r="I367" s="4">
        <v>73.12</v>
      </c>
      <c r="J367" s="4">
        <v>108.1</v>
      </c>
      <c r="K367" s="4">
        <v>108.1</v>
      </c>
      <c r="L367" s="4">
        <v>60.04</v>
      </c>
      <c r="M367" s="4">
        <v>71.92</v>
      </c>
      <c r="N367" s="4">
        <v>71.92</v>
      </c>
      <c r="O367" s="4">
        <v>115.8</v>
      </c>
      <c r="P367" s="4">
        <v>69.28</v>
      </c>
      <c r="Q367" s="4">
        <v>69.28</v>
      </c>
      <c r="R367" s="4">
        <v>70</v>
      </c>
      <c r="S367" s="19">
        <v>220</v>
      </c>
      <c r="T367" s="19">
        <v>2028</v>
      </c>
      <c r="U367" s="19">
        <v>212</v>
      </c>
      <c r="V367" s="19">
        <v>312</v>
      </c>
      <c r="W367" s="19">
        <v>112</v>
      </c>
      <c r="X367" s="19">
        <v>1608</v>
      </c>
      <c r="Y367" s="19">
        <v>120</v>
      </c>
      <c r="Z367" s="19">
        <v>260</v>
      </c>
      <c r="AA367" s="14">
        <v>1</v>
      </c>
    </row>
    <row r="368" spans="1:27">
      <c r="A368" s="16">
        <v>46196.8125</v>
      </c>
      <c r="B368" s="17">
        <v>46196</v>
      </c>
      <c r="C368" s="18">
        <v>0.8125</v>
      </c>
      <c r="D368" t="s">
        <v>76</v>
      </c>
      <c r="E368" t="s">
        <v>143</v>
      </c>
      <c r="F368">
        <v>1</v>
      </c>
      <c r="G368" s="4">
        <v>90.8</v>
      </c>
      <c r="H368" s="4">
        <v>90.8</v>
      </c>
      <c r="I368" s="4">
        <v>77.83</v>
      </c>
      <c r="J368" s="4">
        <v>72.47</v>
      </c>
      <c r="K368" s="4">
        <v>72.47</v>
      </c>
      <c r="L368" s="4">
        <v>55.28</v>
      </c>
      <c r="M368" s="4">
        <v>88.42</v>
      </c>
      <c r="N368" s="4">
        <v>88.42</v>
      </c>
      <c r="O368" s="4">
        <v>82.34</v>
      </c>
      <c r="P368" s="4">
        <v>86.66</v>
      </c>
      <c r="Q368" s="4">
        <v>86.66</v>
      </c>
      <c r="R368" s="4">
        <v>87.5</v>
      </c>
      <c r="S368" s="19">
        <v>116</v>
      </c>
      <c r="T368" s="19">
        <v>1644</v>
      </c>
      <c r="U368" s="19">
        <v>120</v>
      </c>
      <c r="V368" s="19">
        <v>376</v>
      </c>
      <c r="W368" s="19">
        <v>84</v>
      </c>
      <c r="X368" s="19">
        <v>1500</v>
      </c>
      <c r="Y368" s="19">
        <v>148</v>
      </c>
      <c r="Z368" s="19">
        <v>224</v>
      </c>
      <c r="AA368" s="14">
        <v>1</v>
      </c>
    </row>
    <row r="369" spans="1:27">
      <c r="A369" s="16">
        <v>46196.822916666664</v>
      </c>
      <c r="B369" s="17">
        <v>46196</v>
      </c>
      <c r="C369" s="18">
        <v>0.82291666666666663</v>
      </c>
      <c r="D369" t="s">
        <v>76</v>
      </c>
      <c r="E369" t="s">
        <v>143</v>
      </c>
      <c r="F369">
        <v>1</v>
      </c>
      <c r="G369" s="4">
        <v>97.23</v>
      </c>
      <c r="H369" s="4">
        <v>97.23</v>
      </c>
      <c r="I369" s="4">
        <v>71.22</v>
      </c>
      <c r="J369" s="4">
        <v>61.65</v>
      </c>
      <c r="K369" s="4">
        <v>61.65</v>
      </c>
      <c r="L369" s="4">
        <v>66.67</v>
      </c>
      <c r="M369" s="4">
        <v>93.57</v>
      </c>
      <c r="N369" s="4">
        <v>93.57</v>
      </c>
      <c r="O369" s="4">
        <v>80.38</v>
      </c>
      <c r="P369" s="4">
        <v>92.67</v>
      </c>
      <c r="Q369" s="4">
        <v>92.67</v>
      </c>
      <c r="R369" s="4">
        <v>85.77</v>
      </c>
      <c r="S369" s="19">
        <v>280</v>
      </c>
      <c r="T369" s="19">
        <v>1656</v>
      </c>
      <c r="U369" s="19">
        <v>124</v>
      </c>
      <c r="V369" s="19">
        <v>384</v>
      </c>
      <c r="W369" s="19">
        <v>72</v>
      </c>
      <c r="X369" s="19">
        <v>1336</v>
      </c>
      <c r="Y369" s="19">
        <v>172</v>
      </c>
      <c r="Z369" s="19">
        <v>224</v>
      </c>
      <c r="AA369" s="14">
        <v>1</v>
      </c>
    </row>
    <row r="370" spans="1:27">
      <c r="A370" s="16">
        <v>46196.833333333336</v>
      </c>
      <c r="B370" s="17">
        <v>46196</v>
      </c>
      <c r="C370" s="18">
        <v>0.83333333333333337</v>
      </c>
      <c r="D370" t="s">
        <v>76</v>
      </c>
      <c r="E370" t="s">
        <v>143</v>
      </c>
      <c r="F370">
        <v>1</v>
      </c>
      <c r="G370" s="4">
        <v>73.05</v>
      </c>
      <c r="H370" s="4">
        <v>73.05</v>
      </c>
      <c r="I370" s="4">
        <v>53.62</v>
      </c>
      <c r="J370" s="4">
        <v>62.43</v>
      </c>
      <c r="K370" s="4">
        <v>62.43</v>
      </c>
      <c r="L370" s="4">
        <v>51.72</v>
      </c>
      <c r="M370" s="4">
        <v>92.05</v>
      </c>
      <c r="N370" s="4">
        <v>92.05</v>
      </c>
      <c r="O370" s="4">
        <v>85.35</v>
      </c>
      <c r="P370" s="4">
        <v>80.84</v>
      </c>
      <c r="Q370" s="4">
        <v>80.84</v>
      </c>
      <c r="R370" s="4">
        <v>81.73</v>
      </c>
      <c r="S370" s="19">
        <v>308</v>
      </c>
      <c r="T370" s="19">
        <v>1644</v>
      </c>
      <c r="U370" s="19">
        <v>136</v>
      </c>
      <c r="V370" s="19">
        <v>284</v>
      </c>
      <c r="W370" s="19">
        <v>36</v>
      </c>
      <c r="X370" s="19">
        <v>1528</v>
      </c>
      <c r="Y370" s="19">
        <v>108</v>
      </c>
      <c r="Z370" s="19">
        <v>180</v>
      </c>
      <c r="AA370" s="14">
        <v>1</v>
      </c>
    </row>
    <row r="371" spans="1:27">
      <c r="A371" s="16">
        <v>46196.84375</v>
      </c>
      <c r="B371" s="17">
        <v>46196</v>
      </c>
      <c r="C371" s="18">
        <v>0.84375</v>
      </c>
      <c r="D371" t="s">
        <v>76</v>
      </c>
      <c r="E371" t="s">
        <v>143</v>
      </c>
      <c r="F371">
        <v>1</v>
      </c>
      <c r="G371" s="4">
        <v>69.5</v>
      </c>
      <c r="H371" s="4">
        <v>69.5</v>
      </c>
      <c r="I371" s="4">
        <v>61.4</v>
      </c>
      <c r="J371" s="4">
        <v>28.5</v>
      </c>
      <c r="K371" s="4">
        <v>28.5</v>
      </c>
      <c r="L371" s="4">
        <v>61.75</v>
      </c>
      <c r="M371" s="4">
        <v>91.2</v>
      </c>
      <c r="N371" s="4">
        <v>91.2</v>
      </c>
      <c r="O371" s="4">
        <v>73.86</v>
      </c>
      <c r="P371" s="4">
        <v>86.7</v>
      </c>
      <c r="Q371" s="4">
        <v>86.7</v>
      </c>
      <c r="R371" s="4">
        <v>88.25</v>
      </c>
      <c r="S371" s="19">
        <v>304</v>
      </c>
      <c r="T371" s="19">
        <v>1700</v>
      </c>
      <c r="U371" s="19">
        <v>128</v>
      </c>
      <c r="V371" s="19">
        <v>344</v>
      </c>
      <c r="W371" s="19">
        <v>84</v>
      </c>
      <c r="X371" s="19">
        <v>1256</v>
      </c>
      <c r="Y371" s="19">
        <v>80</v>
      </c>
      <c r="Z371" s="19">
        <v>172</v>
      </c>
      <c r="AA371" s="14">
        <v>1</v>
      </c>
    </row>
    <row r="372" spans="1:27">
      <c r="A372" s="16">
        <v>46196.854166666664</v>
      </c>
      <c r="B372" s="17">
        <v>46196</v>
      </c>
      <c r="C372" s="18">
        <v>0.85416666666666663</v>
      </c>
      <c r="D372" t="s">
        <v>76</v>
      </c>
      <c r="E372" t="s">
        <v>143</v>
      </c>
      <c r="F372">
        <v>1</v>
      </c>
      <c r="G372" s="4">
        <v>89.08</v>
      </c>
      <c r="H372" s="4">
        <v>89.08</v>
      </c>
      <c r="I372" s="4">
        <v>55.63</v>
      </c>
      <c r="J372" s="4">
        <v>53.12</v>
      </c>
      <c r="K372" s="4">
        <v>53.12</v>
      </c>
      <c r="L372" s="4">
        <v>60.19</v>
      </c>
      <c r="M372" s="4">
        <v>87.32</v>
      </c>
      <c r="N372" s="4">
        <v>87.32</v>
      </c>
      <c r="O372" s="4">
        <v>72.2</v>
      </c>
      <c r="P372" s="4">
        <v>89.97</v>
      </c>
      <c r="Q372" s="4">
        <v>89.97</v>
      </c>
      <c r="R372" s="4">
        <v>89.45</v>
      </c>
      <c r="S372" s="19">
        <v>100</v>
      </c>
      <c r="T372" s="19">
        <v>1792</v>
      </c>
      <c r="U372" s="19">
        <v>108</v>
      </c>
      <c r="V372" s="19">
        <v>276</v>
      </c>
      <c r="W372" s="19">
        <v>80</v>
      </c>
      <c r="X372" s="19">
        <v>1308</v>
      </c>
      <c r="Y372" s="19">
        <v>128</v>
      </c>
      <c r="Z372" s="19">
        <v>228</v>
      </c>
      <c r="AA372" s="14">
        <v>1</v>
      </c>
    </row>
    <row r="373" spans="1:27">
      <c r="A373" s="16">
        <v>46196.864583333336</v>
      </c>
      <c r="B373" s="17">
        <v>46196</v>
      </c>
      <c r="C373" s="18">
        <v>0.86458333333333337</v>
      </c>
      <c r="D373" t="s">
        <v>76</v>
      </c>
      <c r="E373" t="s">
        <v>143</v>
      </c>
      <c r="F373">
        <v>1</v>
      </c>
      <c r="G373" s="4">
        <v>83.82</v>
      </c>
      <c r="H373" s="4">
        <v>83.82</v>
      </c>
      <c r="I373" s="4">
        <v>56.98</v>
      </c>
      <c r="J373" s="4">
        <v>70.17</v>
      </c>
      <c r="K373" s="4">
        <v>70.17</v>
      </c>
      <c r="L373" s="4">
        <v>60.6</v>
      </c>
      <c r="M373" s="4">
        <v>93.34</v>
      </c>
      <c r="N373" s="4">
        <v>93.34</v>
      </c>
      <c r="O373" s="4">
        <v>69.05</v>
      </c>
      <c r="P373" s="4">
        <v>67.36</v>
      </c>
      <c r="Q373" s="4">
        <v>67.36</v>
      </c>
      <c r="R373" s="4">
        <v>74.95</v>
      </c>
      <c r="S373" s="19">
        <v>168</v>
      </c>
      <c r="T373" s="19">
        <v>1756</v>
      </c>
      <c r="U373" s="19">
        <v>116</v>
      </c>
      <c r="V373" s="19">
        <v>328</v>
      </c>
      <c r="W373" s="19">
        <v>96</v>
      </c>
      <c r="X373" s="19">
        <v>1380</v>
      </c>
      <c r="Y373" s="19">
        <v>168</v>
      </c>
      <c r="Z373" s="19">
        <v>232</v>
      </c>
      <c r="AA373" s="14">
        <v>1</v>
      </c>
    </row>
    <row r="374" spans="1:27">
      <c r="A374" s="16">
        <v>46196.875</v>
      </c>
      <c r="B374" s="17">
        <v>46196</v>
      </c>
      <c r="C374" s="18">
        <v>0.875</v>
      </c>
      <c r="D374" t="s">
        <v>76</v>
      </c>
      <c r="E374" t="s">
        <v>143</v>
      </c>
      <c r="F374">
        <v>1</v>
      </c>
      <c r="G374" s="4">
        <v>98.36</v>
      </c>
      <c r="H374" s="4">
        <v>98.36</v>
      </c>
      <c r="I374" s="4">
        <v>48.83</v>
      </c>
      <c r="J374" s="4">
        <v>45.67</v>
      </c>
      <c r="K374" s="4">
        <v>45.67</v>
      </c>
      <c r="L374" s="4">
        <v>49.54</v>
      </c>
      <c r="M374" s="4">
        <v>91.78</v>
      </c>
      <c r="N374" s="4">
        <v>91.78</v>
      </c>
      <c r="O374" s="4">
        <v>84.6</v>
      </c>
      <c r="P374" s="4">
        <v>105.82</v>
      </c>
      <c r="Q374" s="4">
        <v>105.82</v>
      </c>
      <c r="R374" s="4">
        <v>82.33</v>
      </c>
      <c r="S374" s="19">
        <v>128</v>
      </c>
      <c r="T374" s="19">
        <v>1696</v>
      </c>
      <c r="U374" s="19">
        <v>60</v>
      </c>
      <c r="V374" s="19">
        <v>272</v>
      </c>
      <c r="W374" s="19">
        <v>112</v>
      </c>
      <c r="X374" s="19">
        <v>1852</v>
      </c>
      <c r="Y374" s="19">
        <v>84</v>
      </c>
      <c r="Z374" s="19">
        <v>228</v>
      </c>
      <c r="AA374" s="14">
        <v>1</v>
      </c>
    </row>
    <row r="375" spans="1:27">
      <c r="A375" s="16">
        <v>46196.885416666664</v>
      </c>
      <c r="B375" s="17">
        <v>46196</v>
      </c>
      <c r="C375" s="18">
        <v>0.88541666666666663</v>
      </c>
      <c r="D375" t="s">
        <v>76</v>
      </c>
      <c r="E375" t="s">
        <v>143</v>
      </c>
      <c r="F375">
        <v>1</v>
      </c>
      <c r="G375" s="4">
        <v>73.3</v>
      </c>
      <c r="H375" s="4">
        <v>73.3</v>
      </c>
      <c r="I375" s="4">
        <v>0</v>
      </c>
      <c r="J375" s="4">
        <v>60.98</v>
      </c>
      <c r="K375" s="4">
        <v>60.98</v>
      </c>
      <c r="L375" s="4">
        <v>51.64</v>
      </c>
      <c r="M375" s="4">
        <v>96.14</v>
      </c>
      <c r="N375" s="4">
        <v>96.14</v>
      </c>
      <c r="O375" s="4">
        <v>66.67</v>
      </c>
      <c r="P375" s="4">
        <v>86.87</v>
      </c>
      <c r="Q375" s="4">
        <v>86.87</v>
      </c>
      <c r="R375" s="4">
        <v>82.57</v>
      </c>
      <c r="S375" s="19">
        <v>180</v>
      </c>
      <c r="T375" s="19">
        <v>1576</v>
      </c>
      <c r="U375" s="19">
        <v>104</v>
      </c>
      <c r="V375" s="19">
        <v>304</v>
      </c>
      <c r="W375" s="19">
        <v>96</v>
      </c>
      <c r="X375" s="19">
        <v>1772</v>
      </c>
      <c r="Y375" s="19">
        <v>228</v>
      </c>
      <c r="Z375" s="19">
        <v>128</v>
      </c>
      <c r="AA375" s="14">
        <v>1</v>
      </c>
    </row>
    <row r="376" spans="1:27">
      <c r="A376" s="16">
        <v>46196.895833333336</v>
      </c>
      <c r="B376" s="17">
        <v>46196</v>
      </c>
      <c r="C376" s="18">
        <v>0.89583333333333337</v>
      </c>
      <c r="D376" t="s">
        <v>76</v>
      </c>
      <c r="E376" t="s">
        <v>143</v>
      </c>
      <c r="F376">
        <v>1</v>
      </c>
      <c r="G376" s="4">
        <v>94.89</v>
      </c>
      <c r="H376" s="4">
        <v>94.89</v>
      </c>
      <c r="I376" s="4">
        <v>54.45</v>
      </c>
      <c r="J376" s="4">
        <v>46.7</v>
      </c>
      <c r="K376" s="4">
        <v>46.7</v>
      </c>
      <c r="L376" s="4">
        <v>51.08</v>
      </c>
      <c r="M376" s="4">
        <v>100.32</v>
      </c>
      <c r="N376" s="4">
        <v>100.32</v>
      </c>
      <c r="O376" s="4">
        <v>73.760000000000005</v>
      </c>
      <c r="P376" s="4">
        <v>89.03</v>
      </c>
      <c r="Q376" s="4">
        <v>89.03</v>
      </c>
      <c r="R376" s="4">
        <v>84.16</v>
      </c>
      <c r="S376" s="19">
        <v>152</v>
      </c>
      <c r="T376" s="19">
        <v>1572</v>
      </c>
      <c r="U376" s="19">
        <v>60</v>
      </c>
      <c r="V376" s="19">
        <v>364</v>
      </c>
      <c r="W376" s="19">
        <v>56</v>
      </c>
      <c r="X376" s="19">
        <v>1656</v>
      </c>
      <c r="Y376" s="19">
        <v>156</v>
      </c>
      <c r="Z376" s="19">
        <v>136</v>
      </c>
      <c r="AA376" s="14">
        <v>1</v>
      </c>
    </row>
    <row r="377" spans="1:27">
      <c r="A377" s="16">
        <v>46196.90625</v>
      </c>
      <c r="B377" s="17">
        <v>46196</v>
      </c>
      <c r="C377" s="18">
        <v>0.90625</v>
      </c>
      <c r="D377" t="s">
        <v>76</v>
      </c>
      <c r="E377" t="s">
        <v>143</v>
      </c>
      <c r="F377">
        <v>1</v>
      </c>
      <c r="G377" s="4">
        <v>77.489999999999995</v>
      </c>
      <c r="H377" s="4">
        <v>77.489999999999995</v>
      </c>
      <c r="I377" s="4">
        <v>57.08</v>
      </c>
      <c r="J377" s="4">
        <v>62.5</v>
      </c>
      <c r="K377" s="4">
        <v>62.5</v>
      </c>
      <c r="L377" s="4">
        <v>55.15</v>
      </c>
      <c r="M377" s="4">
        <v>100.32</v>
      </c>
      <c r="N377" s="4">
        <v>100.32</v>
      </c>
      <c r="O377" s="4">
        <v>73.16</v>
      </c>
      <c r="P377" s="4">
        <v>62.4</v>
      </c>
      <c r="Q377" s="4">
        <v>62.4</v>
      </c>
      <c r="R377" s="4">
        <v>75.5</v>
      </c>
      <c r="S377" s="19">
        <v>224</v>
      </c>
      <c r="T377" s="19">
        <v>1436</v>
      </c>
      <c r="U377" s="19">
        <v>116</v>
      </c>
      <c r="V377" s="19">
        <v>312</v>
      </c>
      <c r="W377" s="19">
        <v>56</v>
      </c>
      <c r="X377" s="19">
        <v>1852</v>
      </c>
      <c r="Y377" s="19">
        <v>104</v>
      </c>
      <c r="Z377" s="19">
        <v>160</v>
      </c>
      <c r="AA377" s="14">
        <v>1</v>
      </c>
    </row>
    <row r="378" spans="1:27">
      <c r="A378" s="16">
        <v>46196.916666666664</v>
      </c>
      <c r="B378" s="17">
        <v>46196</v>
      </c>
      <c r="C378" s="18">
        <v>0.91666666666666663</v>
      </c>
      <c r="D378" t="s">
        <v>76</v>
      </c>
      <c r="E378" t="s">
        <v>143</v>
      </c>
      <c r="F378">
        <v>1</v>
      </c>
      <c r="G378" s="4">
        <v>88.06</v>
      </c>
      <c r="H378" s="4">
        <v>88.06</v>
      </c>
      <c r="I378" s="4">
        <v>59.5</v>
      </c>
      <c r="J378" s="4">
        <v>77.150000000000006</v>
      </c>
      <c r="K378" s="4">
        <v>77.150000000000006</v>
      </c>
      <c r="L378" s="4">
        <v>60.5</v>
      </c>
      <c r="M378" s="4">
        <v>94.08</v>
      </c>
      <c r="N378" s="4">
        <v>94.08</v>
      </c>
      <c r="O378" s="4">
        <v>75.2</v>
      </c>
      <c r="P378" s="4">
        <v>94.91</v>
      </c>
      <c r="Q378" s="4">
        <v>94.91</v>
      </c>
      <c r="R378" s="4">
        <v>81.72</v>
      </c>
      <c r="S378" s="19">
        <v>160</v>
      </c>
      <c r="T378" s="19">
        <v>1396</v>
      </c>
      <c r="U378" s="19">
        <v>72</v>
      </c>
      <c r="V378" s="19">
        <v>288</v>
      </c>
      <c r="W378" s="19">
        <v>84</v>
      </c>
      <c r="X378" s="19">
        <v>1784</v>
      </c>
      <c r="Y378" s="19">
        <v>80</v>
      </c>
      <c r="Z378" s="19">
        <v>232</v>
      </c>
      <c r="AA378" s="14">
        <v>1</v>
      </c>
    </row>
    <row r="379" spans="1:27">
      <c r="A379" s="16">
        <v>46196.927083333336</v>
      </c>
      <c r="B379" s="17">
        <v>46196</v>
      </c>
      <c r="C379" s="18">
        <v>0.92708333333333337</v>
      </c>
      <c r="D379" t="s">
        <v>76</v>
      </c>
      <c r="E379" t="s">
        <v>143</v>
      </c>
      <c r="F379">
        <v>1</v>
      </c>
      <c r="G379" s="4">
        <v>60.17</v>
      </c>
      <c r="H379" s="4">
        <v>60.17</v>
      </c>
      <c r="I379" s="4">
        <v>45.15</v>
      </c>
      <c r="J379" s="4">
        <v>54.78</v>
      </c>
      <c r="K379" s="4">
        <v>54.78</v>
      </c>
      <c r="L379" s="4">
        <v>35.54</v>
      </c>
      <c r="M379" s="4">
        <v>43.9</v>
      </c>
      <c r="N379" s="4">
        <v>43.9</v>
      </c>
      <c r="O379" s="4">
        <v>57.32</v>
      </c>
      <c r="P379" s="4">
        <v>56.97</v>
      </c>
      <c r="Q379" s="4">
        <v>56.97</v>
      </c>
      <c r="R379" s="4">
        <v>45.09</v>
      </c>
      <c r="S379" s="19">
        <v>92</v>
      </c>
      <c r="T379" s="19">
        <v>1304</v>
      </c>
      <c r="U379" s="19">
        <v>52</v>
      </c>
      <c r="V379" s="19">
        <v>252</v>
      </c>
      <c r="W379" s="19">
        <v>104</v>
      </c>
      <c r="X379" s="19">
        <v>1552</v>
      </c>
      <c r="Y379" s="19">
        <v>68</v>
      </c>
      <c r="Z379" s="19">
        <v>160</v>
      </c>
      <c r="AA379" s="14">
        <v>1</v>
      </c>
    </row>
    <row r="380" spans="1:27">
      <c r="A380" s="16">
        <v>46196.9375</v>
      </c>
      <c r="B380" s="17">
        <v>46196</v>
      </c>
      <c r="C380" s="18">
        <v>0.9375</v>
      </c>
      <c r="D380" t="s">
        <v>76</v>
      </c>
      <c r="E380" t="s">
        <v>143</v>
      </c>
      <c r="F380">
        <v>1</v>
      </c>
      <c r="G380" s="4">
        <v>38.58</v>
      </c>
      <c r="H380" s="4">
        <v>38.58</v>
      </c>
      <c r="I380" s="4">
        <v>39.6</v>
      </c>
      <c r="J380" s="4">
        <v>56.83</v>
      </c>
      <c r="K380" s="4">
        <v>56.83</v>
      </c>
      <c r="L380" s="4">
        <v>28.27</v>
      </c>
      <c r="M380" s="4">
        <v>29.54</v>
      </c>
      <c r="N380" s="4">
        <v>29.54</v>
      </c>
      <c r="O380" s="4">
        <v>46.23</v>
      </c>
      <c r="P380" s="4">
        <v>59.43</v>
      </c>
      <c r="Q380" s="4">
        <v>59.43</v>
      </c>
      <c r="R380" s="4">
        <v>54.23</v>
      </c>
      <c r="S380" s="19">
        <v>236</v>
      </c>
      <c r="T380" s="19">
        <v>1100</v>
      </c>
      <c r="U380" s="19">
        <v>64</v>
      </c>
      <c r="V380" s="19">
        <v>280</v>
      </c>
      <c r="W380" s="19">
        <v>92</v>
      </c>
      <c r="X380" s="19">
        <v>1604</v>
      </c>
      <c r="Y380" s="19">
        <v>112</v>
      </c>
      <c r="Z380" s="19">
        <v>160</v>
      </c>
      <c r="AA380" s="14">
        <v>1</v>
      </c>
    </row>
    <row r="381" spans="1:27">
      <c r="A381" s="16">
        <v>46196.947916666664</v>
      </c>
      <c r="B381" s="17">
        <v>46196</v>
      </c>
      <c r="C381" s="18">
        <v>0.94791666666666663</v>
      </c>
      <c r="D381" t="s">
        <v>76</v>
      </c>
      <c r="E381" t="s">
        <v>143</v>
      </c>
      <c r="F381">
        <v>1</v>
      </c>
      <c r="G381" s="4">
        <v>46.29</v>
      </c>
      <c r="H381" s="4">
        <v>46.29</v>
      </c>
      <c r="I381" s="4">
        <v>31.48</v>
      </c>
      <c r="J381" s="4">
        <v>46.3</v>
      </c>
      <c r="K381" s="4">
        <v>46.3</v>
      </c>
      <c r="L381" s="4">
        <v>29.85</v>
      </c>
      <c r="M381" s="4">
        <v>34.36</v>
      </c>
      <c r="N381" s="4">
        <v>34.36</v>
      </c>
      <c r="O381" s="4">
        <v>46.59</v>
      </c>
      <c r="P381" s="4">
        <v>50.41</v>
      </c>
      <c r="Q381" s="4">
        <v>50.41</v>
      </c>
      <c r="R381" s="4">
        <v>37.770000000000003</v>
      </c>
      <c r="S381" s="19">
        <v>44</v>
      </c>
      <c r="T381" s="19">
        <v>1008</v>
      </c>
      <c r="U381" s="19">
        <v>68</v>
      </c>
      <c r="V381" s="19">
        <v>156</v>
      </c>
      <c r="W381" s="19">
        <v>60</v>
      </c>
      <c r="X381" s="19">
        <v>1412</v>
      </c>
      <c r="Y381" s="19">
        <v>32</v>
      </c>
      <c r="Z381" s="19">
        <v>132</v>
      </c>
      <c r="AA381" s="14">
        <v>0</v>
      </c>
    </row>
    <row r="382" spans="1:27">
      <c r="A382" s="16">
        <v>46196.958333333336</v>
      </c>
      <c r="B382" s="17">
        <v>46196</v>
      </c>
      <c r="C382" s="18">
        <v>0.95833333333333337</v>
      </c>
      <c r="D382" t="s">
        <v>76</v>
      </c>
      <c r="E382" t="s">
        <v>143</v>
      </c>
      <c r="F382">
        <v>1</v>
      </c>
      <c r="G382" s="4">
        <v>44.38</v>
      </c>
      <c r="H382" s="4">
        <v>44.38</v>
      </c>
      <c r="I382" s="4">
        <v>19.41</v>
      </c>
      <c r="J382" s="4">
        <v>23.4</v>
      </c>
      <c r="K382" s="4">
        <v>23.4</v>
      </c>
      <c r="L382" s="4">
        <v>32.299999999999997</v>
      </c>
      <c r="M382" s="4">
        <v>34.56</v>
      </c>
      <c r="N382" s="4">
        <v>34.56</v>
      </c>
      <c r="O382" s="4">
        <v>30.94</v>
      </c>
      <c r="P382" s="4">
        <v>49.08</v>
      </c>
      <c r="Q382" s="4">
        <v>49.08</v>
      </c>
      <c r="R382" s="4">
        <v>23.97</v>
      </c>
      <c r="S382" s="19">
        <v>128</v>
      </c>
      <c r="T382" s="19">
        <v>1060</v>
      </c>
      <c r="U382" s="19">
        <v>148</v>
      </c>
      <c r="V382" s="19">
        <v>268</v>
      </c>
      <c r="W382" s="19">
        <v>64</v>
      </c>
      <c r="X382" s="19">
        <v>1380</v>
      </c>
      <c r="Y382" s="19">
        <v>76</v>
      </c>
      <c r="Z382" s="19">
        <v>124</v>
      </c>
      <c r="AA382" s="14">
        <v>0</v>
      </c>
    </row>
    <row r="383" spans="1:27">
      <c r="A383" s="16">
        <v>46196.96875</v>
      </c>
      <c r="B383" s="17">
        <v>46196</v>
      </c>
      <c r="C383" s="18">
        <v>0.96875</v>
      </c>
      <c r="D383" t="s">
        <v>76</v>
      </c>
      <c r="E383" t="s">
        <v>143</v>
      </c>
      <c r="F383">
        <v>1</v>
      </c>
      <c r="G383" s="4">
        <v>14.2</v>
      </c>
      <c r="H383" s="4">
        <v>14.2</v>
      </c>
      <c r="I383" s="4">
        <v>29.88</v>
      </c>
      <c r="J383" s="4">
        <v>40.630000000000003</v>
      </c>
      <c r="K383" s="4">
        <v>40.630000000000003</v>
      </c>
      <c r="L383" s="4">
        <v>28.52</v>
      </c>
      <c r="M383" s="4">
        <v>29.71</v>
      </c>
      <c r="N383" s="4">
        <v>29.71</v>
      </c>
      <c r="O383" s="4">
        <v>27.18</v>
      </c>
      <c r="P383" s="4">
        <v>37.26</v>
      </c>
      <c r="Q383" s="4">
        <v>37.26</v>
      </c>
      <c r="R383" s="4">
        <v>33.520000000000003</v>
      </c>
      <c r="S383" s="19">
        <v>292</v>
      </c>
      <c r="T383" s="19">
        <v>904</v>
      </c>
      <c r="U383" s="19">
        <v>36</v>
      </c>
      <c r="V383" s="19">
        <v>304</v>
      </c>
      <c r="W383" s="19">
        <v>72</v>
      </c>
      <c r="X383" s="19">
        <v>1324</v>
      </c>
      <c r="Y383" s="19">
        <v>48</v>
      </c>
      <c r="Z383" s="19">
        <v>132</v>
      </c>
      <c r="AA383" s="14">
        <v>1</v>
      </c>
    </row>
    <row r="384" spans="1:27">
      <c r="A384" s="16">
        <v>46196.979166666664</v>
      </c>
      <c r="B384" s="17">
        <v>46196</v>
      </c>
      <c r="C384" s="18">
        <v>0.97916666666666663</v>
      </c>
      <c r="D384" t="s">
        <v>76</v>
      </c>
      <c r="E384" t="s">
        <v>143</v>
      </c>
      <c r="F384">
        <v>1</v>
      </c>
      <c r="G384" s="4">
        <v>24</v>
      </c>
      <c r="H384" s="4">
        <v>24</v>
      </c>
      <c r="I384" s="4">
        <v>26.11</v>
      </c>
      <c r="J384" s="4">
        <v>55.5</v>
      </c>
      <c r="K384" s="4">
        <v>55.5</v>
      </c>
      <c r="L384" s="4">
        <v>20.62</v>
      </c>
      <c r="M384" s="4">
        <v>27.71</v>
      </c>
      <c r="N384" s="4">
        <v>27.71</v>
      </c>
      <c r="O384" s="4">
        <v>27.67</v>
      </c>
      <c r="P384" s="4">
        <v>49.3</v>
      </c>
      <c r="Q384" s="4">
        <v>49.3</v>
      </c>
      <c r="R384" s="4">
        <v>24.44</v>
      </c>
      <c r="S384" s="19">
        <v>80</v>
      </c>
      <c r="T384" s="19">
        <v>756</v>
      </c>
      <c r="U384" s="19">
        <v>88</v>
      </c>
      <c r="V384" s="19">
        <v>180</v>
      </c>
      <c r="W384" s="19">
        <v>44</v>
      </c>
      <c r="X384" s="19">
        <v>1428</v>
      </c>
      <c r="Y384" s="19">
        <v>108</v>
      </c>
      <c r="Z384" s="19">
        <v>136</v>
      </c>
      <c r="AA384" s="14">
        <v>1</v>
      </c>
    </row>
    <row r="385" spans="1:27">
      <c r="A385" s="16">
        <v>46196.989583333336</v>
      </c>
      <c r="B385" s="17">
        <v>46196</v>
      </c>
      <c r="C385" s="18">
        <v>0.98958333333333337</v>
      </c>
      <c r="D385" t="s">
        <v>76</v>
      </c>
      <c r="E385" t="s">
        <v>143</v>
      </c>
      <c r="F385">
        <v>1</v>
      </c>
      <c r="G385" s="4">
        <v>43.3</v>
      </c>
      <c r="H385" s="4">
        <v>43.3</v>
      </c>
      <c r="I385" s="4">
        <v>26.33</v>
      </c>
      <c r="J385" s="4">
        <v>17.899999999999999</v>
      </c>
      <c r="K385" s="4">
        <v>17.899999999999999</v>
      </c>
      <c r="L385" s="4">
        <v>32.24</v>
      </c>
      <c r="M385" s="4">
        <v>28.47</v>
      </c>
      <c r="N385" s="4">
        <v>28.47</v>
      </c>
      <c r="O385" s="4">
        <v>29.81</v>
      </c>
      <c r="P385" s="4">
        <v>24.52</v>
      </c>
      <c r="Q385" s="4">
        <v>24.52</v>
      </c>
      <c r="R385" s="4">
        <v>24.95</v>
      </c>
      <c r="S385" s="19">
        <v>24</v>
      </c>
      <c r="T385" s="19">
        <v>680</v>
      </c>
      <c r="U385" s="19">
        <v>8</v>
      </c>
      <c r="V385" s="19">
        <v>200</v>
      </c>
      <c r="W385" s="19">
        <v>48</v>
      </c>
      <c r="X385" s="19">
        <v>1324</v>
      </c>
      <c r="Y385" s="19">
        <v>100</v>
      </c>
      <c r="Z385" s="19">
        <v>68</v>
      </c>
      <c r="AA385" s="14">
        <v>0</v>
      </c>
    </row>
    <row r="386" spans="1:27">
      <c r="A386" s="16">
        <v>46217</v>
      </c>
      <c r="B386" s="17">
        <v>46217</v>
      </c>
      <c r="C386" s="18">
        <v>0</v>
      </c>
      <c r="D386" t="s">
        <v>77</v>
      </c>
      <c r="E386" t="s">
        <v>143</v>
      </c>
      <c r="F386">
        <v>2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19">
        <v>32</v>
      </c>
      <c r="T386" s="19">
        <v>592</v>
      </c>
      <c r="U386" s="19">
        <v>20</v>
      </c>
      <c r="V386" s="19">
        <v>96</v>
      </c>
      <c r="W386" s="19">
        <v>68</v>
      </c>
      <c r="X386" s="19">
        <v>780</v>
      </c>
      <c r="Y386" s="19">
        <v>36</v>
      </c>
      <c r="Z386" s="19">
        <v>24</v>
      </c>
      <c r="AA386" s="14">
        <v>0</v>
      </c>
    </row>
    <row r="387" spans="1:27">
      <c r="A387" s="16">
        <v>46217.010416666664</v>
      </c>
      <c r="B387" s="17">
        <v>46217</v>
      </c>
      <c r="C387" s="18">
        <v>1.0416666666666666E-2</v>
      </c>
      <c r="D387" t="s">
        <v>77</v>
      </c>
      <c r="E387" t="s">
        <v>143</v>
      </c>
      <c r="F387">
        <v>2</v>
      </c>
      <c r="G387" s="4">
        <v>16.5</v>
      </c>
      <c r="H387" s="4">
        <v>16.5</v>
      </c>
      <c r="I387" s="4">
        <v>22.19</v>
      </c>
      <c r="J387" s="4">
        <v>20.399999999999999</v>
      </c>
      <c r="K387" s="4">
        <v>20.399999999999999</v>
      </c>
      <c r="L387" s="4">
        <v>18.57</v>
      </c>
      <c r="M387" s="4">
        <v>25.79</v>
      </c>
      <c r="N387" s="4">
        <v>25.79</v>
      </c>
      <c r="O387" s="4">
        <v>12.74</v>
      </c>
      <c r="P387" s="4">
        <v>18.68</v>
      </c>
      <c r="Q387" s="4">
        <v>18.68</v>
      </c>
      <c r="R387" s="4">
        <v>29.27</v>
      </c>
      <c r="S387" s="19">
        <v>32</v>
      </c>
      <c r="T387" s="19">
        <v>492</v>
      </c>
      <c r="U387" s="19">
        <v>84</v>
      </c>
      <c r="V387" s="19">
        <v>64</v>
      </c>
      <c r="W387" s="19">
        <v>68</v>
      </c>
      <c r="X387" s="19">
        <v>700</v>
      </c>
      <c r="Y387" s="19">
        <v>40</v>
      </c>
      <c r="Z387" s="19">
        <v>56</v>
      </c>
      <c r="AA387" s="14">
        <v>0</v>
      </c>
    </row>
    <row r="388" spans="1:27">
      <c r="A388" s="16">
        <v>46217.020833333336</v>
      </c>
      <c r="B388" s="17">
        <v>46217</v>
      </c>
      <c r="C388" s="18">
        <v>2.0833333333333332E-2</v>
      </c>
      <c r="D388" t="s">
        <v>77</v>
      </c>
      <c r="E388" t="s">
        <v>143</v>
      </c>
      <c r="F388">
        <v>2</v>
      </c>
      <c r="G388" s="4">
        <v>8.4</v>
      </c>
      <c r="H388" s="4">
        <v>8.4</v>
      </c>
      <c r="I388" s="4">
        <v>10.210000000000001</v>
      </c>
      <c r="J388" s="4">
        <v>51.2</v>
      </c>
      <c r="K388" s="4">
        <v>51.2</v>
      </c>
      <c r="L388" s="4">
        <v>18.2</v>
      </c>
      <c r="M388" s="4">
        <v>19.87</v>
      </c>
      <c r="N388" s="4">
        <v>19.87</v>
      </c>
      <c r="O388" s="4">
        <v>9.27</v>
      </c>
      <c r="P388" s="4">
        <v>35.08</v>
      </c>
      <c r="Q388" s="4">
        <v>35.08</v>
      </c>
      <c r="R388" s="4">
        <v>21.4</v>
      </c>
      <c r="S388" s="19">
        <v>12</v>
      </c>
      <c r="T388" s="19">
        <v>408</v>
      </c>
      <c r="U388" s="19">
        <v>8</v>
      </c>
      <c r="V388" s="19">
        <v>148</v>
      </c>
      <c r="W388" s="19">
        <v>32</v>
      </c>
      <c r="X388" s="19">
        <v>728</v>
      </c>
      <c r="Y388" s="19">
        <v>36</v>
      </c>
      <c r="Z388" s="19">
        <v>32</v>
      </c>
      <c r="AA388" s="14">
        <v>0</v>
      </c>
    </row>
    <row r="389" spans="1:27">
      <c r="A389" s="16">
        <v>46217.03125</v>
      </c>
      <c r="B389" s="17">
        <v>46217</v>
      </c>
      <c r="C389" s="18">
        <v>3.125E-2</v>
      </c>
      <c r="D389" t="s">
        <v>77</v>
      </c>
      <c r="E389" t="s">
        <v>143</v>
      </c>
      <c r="F389">
        <v>2</v>
      </c>
      <c r="G389" s="4">
        <v>9.4499999999999993</v>
      </c>
      <c r="H389" s="4">
        <v>9.4499999999999993</v>
      </c>
      <c r="I389" s="4">
        <v>3.32</v>
      </c>
      <c r="J389" s="4">
        <v>11.4</v>
      </c>
      <c r="K389" s="4">
        <v>11.4</v>
      </c>
      <c r="L389" s="4">
        <v>15.94</v>
      </c>
      <c r="M389" s="4">
        <v>13.74</v>
      </c>
      <c r="N389" s="4">
        <v>13.74</v>
      </c>
      <c r="O389" s="4">
        <v>8.14</v>
      </c>
      <c r="P389" s="4">
        <v>15.15</v>
      </c>
      <c r="Q389" s="4">
        <v>15.15</v>
      </c>
      <c r="R389" s="4">
        <v>15.72</v>
      </c>
      <c r="S389" s="19">
        <v>0</v>
      </c>
      <c r="T389" s="19">
        <v>340</v>
      </c>
      <c r="U389" s="19">
        <v>20</v>
      </c>
      <c r="V389" s="19">
        <v>120</v>
      </c>
      <c r="W389" s="19">
        <v>48</v>
      </c>
      <c r="X389" s="19">
        <v>616</v>
      </c>
      <c r="Y389" s="19">
        <v>88</v>
      </c>
      <c r="Z389" s="19">
        <v>28</v>
      </c>
      <c r="AA389" s="14">
        <v>0</v>
      </c>
    </row>
    <row r="390" spans="1:27">
      <c r="A390" s="16">
        <v>46217.041666666664</v>
      </c>
      <c r="B390" s="17">
        <v>46217</v>
      </c>
      <c r="C390" s="18">
        <v>4.1666666666666664E-2</v>
      </c>
      <c r="D390" t="s">
        <v>77</v>
      </c>
      <c r="E390" t="s">
        <v>143</v>
      </c>
      <c r="F390">
        <v>2</v>
      </c>
      <c r="G390" s="4">
        <v>0</v>
      </c>
      <c r="H390" s="4">
        <v>0</v>
      </c>
      <c r="I390" s="4">
        <v>4.87</v>
      </c>
      <c r="J390" s="4">
        <v>2</v>
      </c>
      <c r="K390" s="4">
        <v>2</v>
      </c>
      <c r="L390" s="4">
        <v>10.76</v>
      </c>
      <c r="M390" s="4">
        <v>16.420000000000002</v>
      </c>
      <c r="N390" s="4">
        <v>16.420000000000002</v>
      </c>
      <c r="O390" s="4">
        <v>11.63</v>
      </c>
      <c r="P390" s="4">
        <v>20.27</v>
      </c>
      <c r="Q390" s="4">
        <v>20.27</v>
      </c>
      <c r="R390" s="4">
        <v>21.02</v>
      </c>
      <c r="S390" s="19">
        <v>36</v>
      </c>
      <c r="T390" s="19">
        <v>340</v>
      </c>
      <c r="U390" s="19">
        <v>4</v>
      </c>
      <c r="V390" s="19">
        <v>132</v>
      </c>
      <c r="W390" s="19">
        <v>32</v>
      </c>
      <c r="X390" s="19">
        <v>632</v>
      </c>
      <c r="Y390" s="19">
        <v>40</v>
      </c>
      <c r="Z390" s="19">
        <v>12</v>
      </c>
      <c r="AA390" s="14">
        <v>1</v>
      </c>
    </row>
    <row r="391" spans="1:27">
      <c r="A391" s="16">
        <v>46217.052083333336</v>
      </c>
      <c r="B391" s="17">
        <v>46217</v>
      </c>
      <c r="C391" s="18">
        <v>5.2083333333333336E-2</v>
      </c>
      <c r="D391" t="s">
        <v>77</v>
      </c>
      <c r="E391" t="s">
        <v>143</v>
      </c>
      <c r="F391">
        <v>2</v>
      </c>
      <c r="G391" s="4">
        <v>11.28</v>
      </c>
      <c r="H391" s="4">
        <v>11.28</v>
      </c>
      <c r="I391" s="4">
        <v>11.44</v>
      </c>
      <c r="J391" s="4">
        <v>12.2</v>
      </c>
      <c r="K391" s="4">
        <v>12.2</v>
      </c>
      <c r="L391" s="4">
        <v>17.53</v>
      </c>
      <c r="M391" s="4">
        <v>7.93</v>
      </c>
      <c r="N391" s="4">
        <v>7.93</v>
      </c>
      <c r="O391" s="4">
        <v>4.03</v>
      </c>
      <c r="P391" s="4">
        <v>12.63</v>
      </c>
      <c r="Q391" s="4">
        <v>12.63</v>
      </c>
      <c r="R391" s="4">
        <v>23.3</v>
      </c>
      <c r="S391" s="19">
        <v>12</v>
      </c>
      <c r="T391" s="19">
        <v>268</v>
      </c>
      <c r="U391" s="19">
        <v>4</v>
      </c>
      <c r="V391" s="19">
        <v>48</v>
      </c>
      <c r="W391" s="19">
        <v>24</v>
      </c>
      <c r="X391" s="19">
        <v>624</v>
      </c>
      <c r="Y391" s="19">
        <v>36</v>
      </c>
      <c r="Z391" s="19">
        <v>12</v>
      </c>
      <c r="AA391" s="14">
        <v>0</v>
      </c>
    </row>
    <row r="392" spans="1:27">
      <c r="A392" s="16">
        <v>46217.0625</v>
      </c>
      <c r="B392" s="17">
        <v>46217</v>
      </c>
      <c r="C392" s="18">
        <v>6.25E-2</v>
      </c>
      <c r="D392" t="s">
        <v>77</v>
      </c>
      <c r="E392" t="s">
        <v>143</v>
      </c>
      <c r="F392">
        <v>2</v>
      </c>
      <c r="G392" s="4">
        <v>10.4</v>
      </c>
      <c r="H392" s="4">
        <v>10.4</v>
      </c>
      <c r="I392" s="4">
        <v>8.2799999999999994</v>
      </c>
      <c r="J392" s="4">
        <v>6.1</v>
      </c>
      <c r="K392" s="4">
        <v>6.1</v>
      </c>
      <c r="L392" s="4">
        <v>18.93</v>
      </c>
      <c r="M392" s="4">
        <v>14.02</v>
      </c>
      <c r="N392" s="4">
        <v>14.02</v>
      </c>
      <c r="O392" s="4">
        <v>10.8</v>
      </c>
      <c r="P392" s="4">
        <v>8.5</v>
      </c>
      <c r="Q392" s="4">
        <v>8.5</v>
      </c>
      <c r="R392" s="4">
        <v>8.0299999999999994</v>
      </c>
      <c r="S392" s="19">
        <v>0</v>
      </c>
      <c r="T392" s="19">
        <v>220</v>
      </c>
      <c r="U392" s="19">
        <v>4</v>
      </c>
      <c r="V392" s="19">
        <v>64</v>
      </c>
      <c r="W392" s="19">
        <v>28</v>
      </c>
      <c r="X392" s="19">
        <v>516</v>
      </c>
      <c r="Y392" s="19">
        <v>16</v>
      </c>
      <c r="Z392" s="19">
        <v>20</v>
      </c>
      <c r="AA392" s="14">
        <v>0</v>
      </c>
    </row>
    <row r="393" spans="1:27">
      <c r="A393" s="16">
        <v>46217.072916666664</v>
      </c>
      <c r="B393" s="17">
        <v>46217</v>
      </c>
      <c r="C393" s="18">
        <v>7.2916666666666671E-2</v>
      </c>
      <c r="D393" t="s">
        <v>77</v>
      </c>
      <c r="E393" t="s">
        <v>143</v>
      </c>
      <c r="F393">
        <v>2</v>
      </c>
      <c r="G393" s="4">
        <v>0</v>
      </c>
      <c r="H393" s="4">
        <v>0</v>
      </c>
      <c r="I393" s="4">
        <v>0</v>
      </c>
      <c r="J393" s="4">
        <v>28.3</v>
      </c>
      <c r="K393" s="4">
        <v>28.3</v>
      </c>
      <c r="L393" s="4">
        <v>10.98</v>
      </c>
      <c r="M393" s="4">
        <v>24.65</v>
      </c>
      <c r="N393" s="4">
        <v>24.65</v>
      </c>
      <c r="O393" s="4">
        <v>3.17</v>
      </c>
      <c r="P393" s="4">
        <v>12.7</v>
      </c>
      <c r="Q393" s="4">
        <v>12.7</v>
      </c>
      <c r="R393" s="4">
        <v>5.9</v>
      </c>
      <c r="S393" s="19">
        <v>0</v>
      </c>
      <c r="T393" s="19">
        <v>156</v>
      </c>
      <c r="U393" s="19">
        <v>0</v>
      </c>
      <c r="V393" s="19">
        <v>36</v>
      </c>
      <c r="W393" s="19">
        <v>12</v>
      </c>
      <c r="X393" s="19">
        <v>372</v>
      </c>
      <c r="Y393" s="19">
        <v>36</v>
      </c>
      <c r="Z393" s="19">
        <v>12</v>
      </c>
      <c r="AA393" s="14">
        <v>0</v>
      </c>
    </row>
    <row r="394" spans="1:27">
      <c r="A394" s="16">
        <v>46217.083333333336</v>
      </c>
      <c r="B394" s="17">
        <v>46217</v>
      </c>
      <c r="C394" s="18">
        <v>8.3333333333333329E-2</v>
      </c>
      <c r="D394" t="s">
        <v>77</v>
      </c>
      <c r="E394" t="s">
        <v>143</v>
      </c>
      <c r="F394">
        <v>2</v>
      </c>
      <c r="G394" s="4">
        <v>0</v>
      </c>
      <c r="H394" s="4">
        <v>0</v>
      </c>
      <c r="I394" s="4">
        <v>6.9</v>
      </c>
      <c r="J394" s="4">
        <v>0</v>
      </c>
      <c r="K394" s="4">
        <v>0</v>
      </c>
      <c r="L394" s="4">
        <v>6.1</v>
      </c>
      <c r="M394" s="4">
        <v>6.17</v>
      </c>
      <c r="N394" s="4">
        <v>6.17</v>
      </c>
      <c r="O394" s="4">
        <v>1.9</v>
      </c>
      <c r="P394" s="4">
        <v>5.4</v>
      </c>
      <c r="Q394" s="4">
        <v>5.4</v>
      </c>
      <c r="R394" s="4">
        <v>10.029999999999999</v>
      </c>
      <c r="S394" s="19">
        <v>16</v>
      </c>
      <c r="T394" s="19">
        <v>132</v>
      </c>
      <c r="U394" s="19">
        <v>0</v>
      </c>
      <c r="V394" s="19">
        <v>32</v>
      </c>
      <c r="W394" s="19">
        <v>12</v>
      </c>
      <c r="X394" s="19">
        <v>568</v>
      </c>
      <c r="Y394" s="19">
        <v>40</v>
      </c>
      <c r="Z394" s="19">
        <v>16</v>
      </c>
      <c r="AA394" s="14">
        <v>0</v>
      </c>
    </row>
    <row r="395" spans="1:27">
      <c r="A395" s="16">
        <v>46217.09375</v>
      </c>
      <c r="B395" s="17">
        <v>46217</v>
      </c>
      <c r="C395" s="18">
        <v>9.375E-2</v>
      </c>
      <c r="D395" t="s">
        <v>77</v>
      </c>
      <c r="E395" t="s">
        <v>143</v>
      </c>
      <c r="F395">
        <v>2</v>
      </c>
      <c r="G395" s="4">
        <v>1.7</v>
      </c>
      <c r="H395" s="4">
        <v>1.7</v>
      </c>
      <c r="I395" s="4">
        <v>0</v>
      </c>
      <c r="J395" s="4">
        <v>0</v>
      </c>
      <c r="K395" s="4">
        <v>0</v>
      </c>
      <c r="L395" s="4">
        <v>7</v>
      </c>
      <c r="M395" s="4">
        <v>15</v>
      </c>
      <c r="N395" s="4">
        <v>15</v>
      </c>
      <c r="O395" s="4">
        <v>2.46</v>
      </c>
      <c r="P395" s="4">
        <v>6.73</v>
      </c>
      <c r="Q395" s="4">
        <v>6.73</v>
      </c>
      <c r="R395" s="4">
        <v>14.27</v>
      </c>
      <c r="S395" s="19">
        <v>8</v>
      </c>
      <c r="T395" s="19">
        <v>64</v>
      </c>
      <c r="U395" s="19">
        <v>0</v>
      </c>
      <c r="V395" s="19">
        <v>24</v>
      </c>
      <c r="W395" s="19">
        <v>12</v>
      </c>
      <c r="X395" s="19">
        <v>752</v>
      </c>
      <c r="Y395" s="19">
        <v>24</v>
      </c>
      <c r="Z395" s="19">
        <v>20</v>
      </c>
      <c r="AA395" s="14">
        <v>0</v>
      </c>
    </row>
    <row r="396" spans="1:27">
      <c r="A396" s="16">
        <v>46217.104166666664</v>
      </c>
      <c r="B396" s="17">
        <v>46217</v>
      </c>
      <c r="C396" s="18">
        <v>0.10416666666666667</v>
      </c>
      <c r="D396" t="s">
        <v>77</v>
      </c>
      <c r="E396" t="s">
        <v>143</v>
      </c>
      <c r="F396">
        <v>2</v>
      </c>
      <c r="G396" s="4">
        <v>3</v>
      </c>
      <c r="H396" s="4">
        <v>3</v>
      </c>
      <c r="I396" s="4">
        <v>0</v>
      </c>
      <c r="J396" s="4">
        <v>0</v>
      </c>
      <c r="K396" s="4">
        <v>0</v>
      </c>
      <c r="L396" s="4">
        <v>5.2</v>
      </c>
      <c r="M396" s="4">
        <v>6.1</v>
      </c>
      <c r="N396" s="4">
        <v>6.1</v>
      </c>
      <c r="O396" s="4">
        <v>1.6</v>
      </c>
      <c r="P396" s="4">
        <v>21.13</v>
      </c>
      <c r="Q396" s="4">
        <v>21.13</v>
      </c>
      <c r="R396" s="4">
        <v>9.16</v>
      </c>
      <c r="S396" s="19">
        <v>8</v>
      </c>
      <c r="T396" s="19">
        <v>140</v>
      </c>
      <c r="U396" s="19">
        <v>4</v>
      </c>
      <c r="V396" s="19">
        <v>8</v>
      </c>
      <c r="W396" s="19">
        <v>24</v>
      </c>
      <c r="X396" s="19">
        <v>564</v>
      </c>
      <c r="Y396" s="19">
        <v>4</v>
      </c>
      <c r="Z396" s="19">
        <v>12</v>
      </c>
      <c r="AA396" s="14">
        <v>0</v>
      </c>
    </row>
    <row r="397" spans="1:27">
      <c r="A397" s="16">
        <v>46217.114583333336</v>
      </c>
      <c r="B397" s="17">
        <v>46217</v>
      </c>
      <c r="C397" s="18">
        <v>0.11458333333333333</v>
      </c>
      <c r="D397" t="s">
        <v>77</v>
      </c>
      <c r="E397" t="s">
        <v>143</v>
      </c>
      <c r="F397">
        <v>2</v>
      </c>
      <c r="G397" s="4">
        <v>1.6</v>
      </c>
      <c r="H397" s="4">
        <v>1.6</v>
      </c>
      <c r="I397" s="4">
        <v>0</v>
      </c>
      <c r="J397" s="4">
        <v>6.1</v>
      </c>
      <c r="K397" s="4">
        <v>6.1</v>
      </c>
      <c r="L397" s="4">
        <v>6.1</v>
      </c>
      <c r="M397" s="4">
        <v>6.1</v>
      </c>
      <c r="N397" s="4">
        <v>6.1</v>
      </c>
      <c r="O397" s="4">
        <v>3.73</v>
      </c>
      <c r="P397" s="4">
        <v>6.1</v>
      </c>
      <c r="Q397" s="4">
        <v>6.1</v>
      </c>
      <c r="R397" s="4">
        <v>9.67</v>
      </c>
      <c r="S397" s="19">
        <v>12</v>
      </c>
      <c r="T397" s="19">
        <v>244</v>
      </c>
      <c r="U397" s="19">
        <v>0</v>
      </c>
      <c r="V397" s="19">
        <v>24</v>
      </c>
      <c r="W397" s="19">
        <v>20</v>
      </c>
      <c r="X397" s="19">
        <v>660</v>
      </c>
      <c r="Y397" s="19">
        <v>32</v>
      </c>
      <c r="Z397" s="19">
        <v>16</v>
      </c>
      <c r="AA397" s="14">
        <v>0</v>
      </c>
    </row>
    <row r="398" spans="1:27">
      <c r="A398" s="16">
        <v>46217.125</v>
      </c>
      <c r="B398" s="17">
        <v>46217</v>
      </c>
      <c r="C398" s="18">
        <v>0.125</v>
      </c>
      <c r="D398" t="s">
        <v>77</v>
      </c>
      <c r="E398" t="s">
        <v>143</v>
      </c>
      <c r="F398">
        <v>2</v>
      </c>
      <c r="G398" s="4">
        <v>6.1</v>
      </c>
      <c r="H398" s="4">
        <v>6.1</v>
      </c>
      <c r="I398" s="4">
        <v>1.1000000000000001</v>
      </c>
      <c r="J398" s="4">
        <v>0</v>
      </c>
      <c r="K398" s="4">
        <v>0</v>
      </c>
      <c r="L398" s="4">
        <v>17.899999999999999</v>
      </c>
      <c r="M398" s="4">
        <v>17.670000000000002</v>
      </c>
      <c r="N398" s="4">
        <v>17.670000000000002</v>
      </c>
      <c r="O398" s="4">
        <v>1.95</v>
      </c>
      <c r="P398" s="4">
        <v>6.1</v>
      </c>
      <c r="Q398" s="4">
        <v>6.1</v>
      </c>
      <c r="R398" s="4">
        <v>12.43</v>
      </c>
      <c r="S398" s="19">
        <v>4</v>
      </c>
      <c r="T398" s="19">
        <v>156</v>
      </c>
      <c r="U398" s="19">
        <v>0</v>
      </c>
      <c r="V398" s="19">
        <v>4</v>
      </c>
      <c r="W398" s="19">
        <v>20</v>
      </c>
      <c r="X398" s="19">
        <v>780</v>
      </c>
      <c r="Y398" s="19">
        <v>24</v>
      </c>
      <c r="Z398" s="19">
        <v>20</v>
      </c>
      <c r="AA398" s="14">
        <v>0</v>
      </c>
    </row>
    <row r="399" spans="1:27">
      <c r="A399" s="16">
        <v>46217.135416666664</v>
      </c>
      <c r="B399" s="17">
        <v>46217</v>
      </c>
      <c r="C399" s="18">
        <v>0.13541666666666666</v>
      </c>
      <c r="D399" t="s">
        <v>77</v>
      </c>
      <c r="E399" t="s">
        <v>143</v>
      </c>
      <c r="F399">
        <v>2</v>
      </c>
      <c r="G399" s="4">
        <v>6.1</v>
      </c>
      <c r="H399" s="4">
        <v>6.1</v>
      </c>
      <c r="I399" s="4">
        <v>1</v>
      </c>
      <c r="J399" s="4">
        <v>0</v>
      </c>
      <c r="K399" s="4">
        <v>0</v>
      </c>
      <c r="L399" s="4">
        <v>0</v>
      </c>
      <c r="M399" s="4">
        <v>12.05</v>
      </c>
      <c r="N399" s="4">
        <v>12.05</v>
      </c>
      <c r="O399" s="4">
        <v>5.7</v>
      </c>
      <c r="P399" s="4">
        <v>6.17</v>
      </c>
      <c r="Q399" s="4">
        <v>6.17</v>
      </c>
      <c r="R399" s="4">
        <v>12.07</v>
      </c>
      <c r="S399" s="19">
        <v>8</v>
      </c>
      <c r="T399" s="19">
        <v>212</v>
      </c>
      <c r="U399" s="19">
        <v>4</v>
      </c>
      <c r="V399" s="19">
        <v>36</v>
      </c>
      <c r="W399" s="19">
        <v>4</v>
      </c>
      <c r="X399" s="19">
        <v>592</v>
      </c>
      <c r="Y399" s="19">
        <v>32</v>
      </c>
      <c r="Z399" s="19">
        <v>8</v>
      </c>
      <c r="AA399" s="14">
        <v>0</v>
      </c>
    </row>
    <row r="400" spans="1:27">
      <c r="A400" s="16">
        <v>46217.145833333336</v>
      </c>
      <c r="B400" s="17">
        <v>46217</v>
      </c>
      <c r="C400" s="18">
        <v>0.14583333333333334</v>
      </c>
      <c r="D400" t="s">
        <v>77</v>
      </c>
      <c r="E400" t="s">
        <v>143</v>
      </c>
      <c r="F400">
        <v>2</v>
      </c>
      <c r="G400" s="4">
        <v>22</v>
      </c>
      <c r="H400" s="4">
        <v>22</v>
      </c>
      <c r="I400" s="4">
        <v>7.97</v>
      </c>
      <c r="J400" s="4">
        <v>0</v>
      </c>
      <c r="K400" s="4">
        <v>0</v>
      </c>
      <c r="L400" s="4">
        <v>18.57</v>
      </c>
      <c r="M400" s="4">
        <v>6.1</v>
      </c>
      <c r="N400" s="4">
        <v>6.1</v>
      </c>
      <c r="O400" s="4">
        <v>0.9</v>
      </c>
      <c r="P400" s="4">
        <v>7.8</v>
      </c>
      <c r="Q400" s="4">
        <v>7.8</v>
      </c>
      <c r="R400" s="4">
        <v>6.15</v>
      </c>
      <c r="S400" s="19">
        <v>4</v>
      </c>
      <c r="T400" s="19">
        <v>84</v>
      </c>
      <c r="U400" s="19">
        <v>4</v>
      </c>
      <c r="V400" s="19">
        <v>40</v>
      </c>
      <c r="W400" s="19">
        <v>8</v>
      </c>
      <c r="X400" s="19">
        <v>504</v>
      </c>
      <c r="Y400" s="19">
        <v>16</v>
      </c>
      <c r="Z400" s="19">
        <v>24</v>
      </c>
      <c r="AA400" s="14">
        <v>0</v>
      </c>
    </row>
    <row r="401" spans="1:27">
      <c r="A401" s="16">
        <v>46217.15625</v>
      </c>
      <c r="B401" s="17">
        <v>46217</v>
      </c>
      <c r="C401" s="18">
        <v>0.15625</v>
      </c>
      <c r="D401" t="s">
        <v>77</v>
      </c>
      <c r="E401" t="s">
        <v>143</v>
      </c>
      <c r="F401">
        <v>2</v>
      </c>
      <c r="G401" s="4">
        <v>0</v>
      </c>
      <c r="H401" s="4">
        <v>0</v>
      </c>
      <c r="I401" s="4">
        <v>7.67</v>
      </c>
      <c r="J401" s="4">
        <v>6.3</v>
      </c>
      <c r="K401" s="4">
        <v>6.3</v>
      </c>
      <c r="L401" s="4">
        <v>6.46</v>
      </c>
      <c r="M401" s="4">
        <v>7.2</v>
      </c>
      <c r="N401" s="4">
        <v>7.2</v>
      </c>
      <c r="O401" s="4">
        <v>2.2000000000000002</v>
      </c>
      <c r="P401" s="4">
        <v>4.4000000000000004</v>
      </c>
      <c r="Q401" s="4">
        <v>4.4000000000000004</v>
      </c>
      <c r="R401" s="4">
        <v>11.8</v>
      </c>
      <c r="S401" s="19">
        <v>20</v>
      </c>
      <c r="T401" s="19">
        <v>304</v>
      </c>
      <c r="U401" s="19">
        <v>12</v>
      </c>
      <c r="V401" s="19">
        <v>32</v>
      </c>
      <c r="W401" s="19">
        <v>16</v>
      </c>
      <c r="X401" s="19">
        <v>792</v>
      </c>
      <c r="Y401" s="19">
        <v>16</v>
      </c>
      <c r="Z401" s="19">
        <v>36</v>
      </c>
      <c r="AA401" s="14">
        <v>1</v>
      </c>
    </row>
    <row r="402" spans="1:27">
      <c r="A402" s="16">
        <v>46217.166666666664</v>
      </c>
      <c r="B402" s="17">
        <v>46217</v>
      </c>
      <c r="C402" s="18">
        <v>0.16666666666666666</v>
      </c>
      <c r="D402" t="s">
        <v>77</v>
      </c>
      <c r="E402" t="s">
        <v>143</v>
      </c>
      <c r="F402">
        <v>2</v>
      </c>
      <c r="G402" s="4">
        <v>9.8699999999999992</v>
      </c>
      <c r="H402" s="4">
        <v>9.8699999999999992</v>
      </c>
      <c r="I402" s="4">
        <v>13.1</v>
      </c>
      <c r="J402" s="4">
        <v>21</v>
      </c>
      <c r="K402" s="4">
        <v>21</v>
      </c>
      <c r="L402" s="4">
        <v>10.93</v>
      </c>
      <c r="M402" s="4">
        <v>25.3</v>
      </c>
      <c r="N402" s="4">
        <v>25.3</v>
      </c>
      <c r="O402" s="4">
        <v>6.36</v>
      </c>
      <c r="P402" s="4">
        <v>39.299999999999997</v>
      </c>
      <c r="Q402" s="4">
        <v>39.299999999999997</v>
      </c>
      <c r="R402" s="4">
        <v>12.12</v>
      </c>
      <c r="S402" s="19">
        <v>4</v>
      </c>
      <c r="T402" s="19">
        <v>236</v>
      </c>
      <c r="U402" s="19">
        <v>0</v>
      </c>
      <c r="V402" s="19">
        <v>60</v>
      </c>
      <c r="W402" s="19">
        <v>12</v>
      </c>
      <c r="X402" s="19">
        <v>708</v>
      </c>
      <c r="Y402" s="19">
        <v>52</v>
      </c>
      <c r="Z402" s="19">
        <v>20</v>
      </c>
      <c r="AA402" s="14">
        <v>0</v>
      </c>
    </row>
    <row r="403" spans="1:27">
      <c r="A403" s="16">
        <v>46217.177083333336</v>
      </c>
      <c r="B403" s="17">
        <v>46217</v>
      </c>
      <c r="C403" s="18">
        <v>0.17708333333333334</v>
      </c>
      <c r="D403" t="s">
        <v>77</v>
      </c>
      <c r="E403" t="s">
        <v>143</v>
      </c>
      <c r="F403">
        <v>2</v>
      </c>
      <c r="G403" s="4">
        <v>0</v>
      </c>
      <c r="H403" s="4">
        <v>0</v>
      </c>
      <c r="I403" s="4">
        <v>1.2</v>
      </c>
      <c r="J403" s="4">
        <v>0</v>
      </c>
      <c r="K403" s="4">
        <v>0</v>
      </c>
      <c r="L403" s="4">
        <v>13.9</v>
      </c>
      <c r="M403" s="4">
        <v>22.77</v>
      </c>
      <c r="N403" s="4">
        <v>22.77</v>
      </c>
      <c r="O403" s="4">
        <v>11.63</v>
      </c>
      <c r="P403" s="4">
        <v>6.1</v>
      </c>
      <c r="Q403" s="4">
        <v>6.1</v>
      </c>
      <c r="R403" s="4">
        <v>16.100000000000001</v>
      </c>
      <c r="S403" s="19">
        <v>4</v>
      </c>
      <c r="T403" s="19">
        <v>320</v>
      </c>
      <c r="U403" s="19">
        <v>4</v>
      </c>
      <c r="V403" s="19">
        <v>12</v>
      </c>
      <c r="W403" s="19">
        <v>16</v>
      </c>
      <c r="X403" s="19">
        <v>880</v>
      </c>
      <c r="Y403" s="19">
        <v>12</v>
      </c>
      <c r="Z403" s="19">
        <v>32</v>
      </c>
      <c r="AA403" s="14">
        <v>0</v>
      </c>
    </row>
    <row r="404" spans="1:27">
      <c r="A404" s="16">
        <v>46217.1875</v>
      </c>
      <c r="B404" s="17">
        <v>46217</v>
      </c>
      <c r="C404" s="18">
        <v>0.1875</v>
      </c>
      <c r="D404" t="s">
        <v>77</v>
      </c>
      <c r="E404" t="s">
        <v>143</v>
      </c>
      <c r="F404">
        <v>2</v>
      </c>
      <c r="G404" s="4">
        <v>19.5</v>
      </c>
      <c r="H404" s="4">
        <v>19.5</v>
      </c>
      <c r="I404" s="4">
        <v>2.9</v>
      </c>
      <c r="J404" s="4">
        <v>0</v>
      </c>
      <c r="K404" s="4">
        <v>0</v>
      </c>
      <c r="L404" s="4">
        <v>6.1</v>
      </c>
      <c r="M404" s="4">
        <v>10.3</v>
      </c>
      <c r="N404" s="4">
        <v>10.3</v>
      </c>
      <c r="O404" s="4">
        <v>0.68</v>
      </c>
      <c r="P404" s="4">
        <v>15.9</v>
      </c>
      <c r="Q404" s="4">
        <v>15.9</v>
      </c>
      <c r="R404" s="4">
        <v>11.66</v>
      </c>
      <c r="S404" s="19">
        <v>12</v>
      </c>
      <c r="T404" s="19">
        <v>376</v>
      </c>
      <c r="U404" s="19">
        <v>8</v>
      </c>
      <c r="V404" s="19">
        <v>64</v>
      </c>
      <c r="W404" s="19">
        <v>28</v>
      </c>
      <c r="X404" s="19">
        <v>940</v>
      </c>
      <c r="Y404" s="19">
        <v>84</v>
      </c>
      <c r="Z404" s="19">
        <v>32</v>
      </c>
      <c r="AA404" s="14">
        <v>0</v>
      </c>
    </row>
    <row r="405" spans="1:27">
      <c r="A405" s="16">
        <v>46217.197916666664</v>
      </c>
      <c r="B405" s="17">
        <v>46217</v>
      </c>
      <c r="C405" s="18">
        <v>0.19791666666666666</v>
      </c>
      <c r="D405" t="s">
        <v>77</v>
      </c>
      <c r="E405" t="s">
        <v>143</v>
      </c>
      <c r="F405">
        <v>2</v>
      </c>
      <c r="G405" s="4">
        <v>29.4</v>
      </c>
      <c r="H405" s="4">
        <v>29.4</v>
      </c>
      <c r="I405" s="4">
        <v>8.02</v>
      </c>
      <c r="J405" s="4">
        <v>46.15</v>
      </c>
      <c r="K405" s="4">
        <v>46.15</v>
      </c>
      <c r="L405" s="4">
        <v>3.95</v>
      </c>
      <c r="M405" s="4">
        <v>13.1</v>
      </c>
      <c r="N405" s="4">
        <v>13.1</v>
      </c>
      <c r="O405" s="4">
        <v>8.1</v>
      </c>
      <c r="P405" s="4">
        <v>16.670000000000002</v>
      </c>
      <c r="Q405" s="4">
        <v>16.670000000000002</v>
      </c>
      <c r="R405" s="4">
        <v>24.94</v>
      </c>
      <c r="S405" s="19">
        <v>44</v>
      </c>
      <c r="T405" s="19">
        <v>372</v>
      </c>
      <c r="U405" s="19">
        <v>4</v>
      </c>
      <c r="V405" s="19">
        <v>148</v>
      </c>
      <c r="W405" s="19">
        <v>40</v>
      </c>
      <c r="X405" s="19">
        <v>844</v>
      </c>
      <c r="Y405" s="19">
        <v>24</v>
      </c>
      <c r="Z405" s="19">
        <v>52</v>
      </c>
      <c r="AA405" s="14">
        <v>1</v>
      </c>
    </row>
    <row r="406" spans="1:27">
      <c r="A406" s="16">
        <v>46217.208333333336</v>
      </c>
      <c r="B406" s="17">
        <v>46217</v>
      </c>
      <c r="C406" s="18">
        <v>0.20833333333333334</v>
      </c>
      <c r="D406" t="s">
        <v>77</v>
      </c>
      <c r="E406" t="s">
        <v>143</v>
      </c>
      <c r="F406">
        <v>2</v>
      </c>
      <c r="G406" s="4">
        <v>19.3</v>
      </c>
      <c r="H406" s="4">
        <v>19.3</v>
      </c>
      <c r="I406" s="4">
        <v>8.4600000000000009</v>
      </c>
      <c r="J406" s="4">
        <v>0</v>
      </c>
      <c r="K406" s="4">
        <v>0</v>
      </c>
      <c r="L406" s="4">
        <v>15.76</v>
      </c>
      <c r="M406" s="4">
        <v>22.82</v>
      </c>
      <c r="N406" s="4">
        <v>22.82</v>
      </c>
      <c r="O406" s="4">
        <v>10.91</v>
      </c>
      <c r="P406" s="4">
        <v>23.1</v>
      </c>
      <c r="Q406" s="4">
        <v>23.1</v>
      </c>
      <c r="R406" s="4">
        <v>22.28</v>
      </c>
      <c r="S406" s="19">
        <v>24</v>
      </c>
      <c r="T406" s="19">
        <v>448</v>
      </c>
      <c r="U406" s="19">
        <v>12</v>
      </c>
      <c r="V406" s="19">
        <v>60</v>
      </c>
      <c r="W406" s="19">
        <v>44</v>
      </c>
      <c r="X406" s="19">
        <v>772</v>
      </c>
      <c r="Y406" s="19">
        <v>20</v>
      </c>
      <c r="Z406" s="19">
        <v>68</v>
      </c>
      <c r="AA406" s="14">
        <v>0</v>
      </c>
    </row>
    <row r="407" spans="1:27">
      <c r="A407" s="16">
        <v>46217.21875</v>
      </c>
      <c r="B407" s="17">
        <v>46217</v>
      </c>
      <c r="C407" s="18">
        <v>0.21875</v>
      </c>
      <c r="D407" t="s">
        <v>77</v>
      </c>
      <c r="E407" t="s">
        <v>143</v>
      </c>
      <c r="F407">
        <v>2</v>
      </c>
      <c r="G407" s="4">
        <v>15</v>
      </c>
      <c r="H407" s="4">
        <v>15</v>
      </c>
      <c r="I407" s="4">
        <v>9.6999999999999993</v>
      </c>
      <c r="J407" s="4">
        <v>0</v>
      </c>
      <c r="K407" s="4">
        <v>0</v>
      </c>
      <c r="L407" s="4">
        <v>14.18</v>
      </c>
      <c r="M407" s="4">
        <v>24.63</v>
      </c>
      <c r="N407" s="4">
        <v>24.63</v>
      </c>
      <c r="O407" s="4">
        <v>5.22</v>
      </c>
      <c r="P407" s="4">
        <v>24.1</v>
      </c>
      <c r="Q407" s="4">
        <v>24.1</v>
      </c>
      <c r="R407" s="4">
        <v>17.010000000000002</v>
      </c>
      <c r="S407" s="19">
        <v>16</v>
      </c>
      <c r="T407" s="19">
        <v>648</v>
      </c>
      <c r="U407" s="19">
        <v>4</v>
      </c>
      <c r="V407" s="19">
        <v>80</v>
      </c>
      <c r="W407" s="19">
        <v>60</v>
      </c>
      <c r="X407" s="19">
        <v>872</v>
      </c>
      <c r="Y407" s="19">
        <v>20</v>
      </c>
      <c r="Z407" s="19">
        <v>100</v>
      </c>
      <c r="AA407" s="14">
        <v>0</v>
      </c>
    </row>
    <row r="408" spans="1:27">
      <c r="A408" s="16">
        <v>46217.229166666664</v>
      </c>
      <c r="B408" s="17">
        <v>46217</v>
      </c>
      <c r="C408" s="18">
        <v>0.22916666666666666</v>
      </c>
      <c r="D408" t="s">
        <v>77</v>
      </c>
      <c r="E408" t="s">
        <v>143</v>
      </c>
      <c r="F408">
        <v>2</v>
      </c>
      <c r="G408" s="4">
        <v>24.85</v>
      </c>
      <c r="H408" s="4">
        <v>24.85</v>
      </c>
      <c r="I408" s="4">
        <v>9.44</v>
      </c>
      <c r="J408" s="4">
        <v>8.3000000000000007</v>
      </c>
      <c r="K408" s="4">
        <v>8.3000000000000007</v>
      </c>
      <c r="L408" s="4">
        <v>22.75</v>
      </c>
      <c r="M408" s="4">
        <v>21.43</v>
      </c>
      <c r="N408" s="4">
        <v>21.43</v>
      </c>
      <c r="O408" s="4">
        <v>9.8000000000000007</v>
      </c>
      <c r="P408" s="4">
        <v>28.1</v>
      </c>
      <c r="Q408" s="4">
        <v>28.1</v>
      </c>
      <c r="R408" s="4">
        <v>26.15</v>
      </c>
      <c r="S408" s="19">
        <v>16</v>
      </c>
      <c r="T408" s="19">
        <v>936</v>
      </c>
      <c r="U408" s="19">
        <v>20</v>
      </c>
      <c r="V408" s="19">
        <v>84</v>
      </c>
      <c r="W408" s="19">
        <v>76</v>
      </c>
      <c r="X408" s="19">
        <v>1204</v>
      </c>
      <c r="Y408" s="19">
        <v>36</v>
      </c>
      <c r="Z408" s="19">
        <v>128</v>
      </c>
      <c r="AA408" s="14">
        <v>0</v>
      </c>
    </row>
    <row r="409" spans="1:27">
      <c r="A409" s="16">
        <v>46217.239583333336</v>
      </c>
      <c r="B409" s="17">
        <v>46217</v>
      </c>
      <c r="C409" s="18">
        <v>0.23958333333333334</v>
      </c>
      <c r="D409" t="s">
        <v>77</v>
      </c>
      <c r="E409" t="s">
        <v>143</v>
      </c>
      <c r="F409">
        <v>2</v>
      </c>
      <c r="G409" s="4">
        <v>30.77</v>
      </c>
      <c r="H409" s="4">
        <v>30.77</v>
      </c>
      <c r="I409" s="4">
        <v>15.26</v>
      </c>
      <c r="J409" s="4">
        <v>34.299999999999997</v>
      </c>
      <c r="K409" s="4">
        <v>34.299999999999997</v>
      </c>
      <c r="L409" s="4">
        <v>22.88</v>
      </c>
      <c r="M409" s="4">
        <v>23.33</v>
      </c>
      <c r="N409" s="4">
        <v>23.33</v>
      </c>
      <c r="O409" s="4">
        <v>17.59</v>
      </c>
      <c r="P409" s="4">
        <v>18.170000000000002</v>
      </c>
      <c r="Q409" s="4">
        <v>18.170000000000002</v>
      </c>
      <c r="R409" s="4">
        <v>19.440000000000001</v>
      </c>
      <c r="S409" s="19">
        <v>36</v>
      </c>
      <c r="T409" s="19">
        <v>952</v>
      </c>
      <c r="U409" s="19">
        <v>12</v>
      </c>
      <c r="V409" s="19">
        <v>192</v>
      </c>
      <c r="W409" s="19">
        <v>72</v>
      </c>
      <c r="X409" s="19">
        <v>1296</v>
      </c>
      <c r="Y409" s="19">
        <v>80</v>
      </c>
      <c r="Z409" s="19">
        <v>132</v>
      </c>
      <c r="AA409" s="14">
        <v>1</v>
      </c>
    </row>
    <row r="410" spans="1:27">
      <c r="A410" s="16">
        <v>46217.25</v>
      </c>
      <c r="B410" s="17">
        <v>46217</v>
      </c>
      <c r="C410" s="18">
        <v>0.25</v>
      </c>
      <c r="D410" t="s">
        <v>77</v>
      </c>
      <c r="E410" t="s">
        <v>143</v>
      </c>
      <c r="F410">
        <v>2</v>
      </c>
      <c r="G410" s="4">
        <v>29.38</v>
      </c>
      <c r="H410" s="4">
        <v>29.38</v>
      </c>
      <c r="I410" s="4">
        <v>26.75</v>
      </c>
      <c r="J410" s="4">
        <v>0</v>
      </c>
      <c r="K410" s="4">
        <v>0</v>
      </c>
      <c r="L410" s="4">
        <v>25.51</v>
      </c>
      <c r="M410" s="4">
        <v>29.3</v>
      </c>
      <c r="N410" s="4">
        <v>29.3</v>
      </c>
      <c r="O410" s="4">
        <v>22.33</v>
      </c>
      <c r="P410" s="4">
        <v>29.73</v>
      </c>
      <c r="Q410" s="4">
        <v>29.73</v>
      </c>
      <c r="R410" s="4">
        <v>26.93</v>
      </c>
      <c r="S410" s="19">
        <v>376</v>
      </c>
      <c r="T410" s="19">
        <v>952</v>
      </c>
      <c r="U410" s="19">
        <v>4</v>
      </c>
      <c r="V410" s="19">
        <v>172</v>
      </c>
      <c r="W410" s="19">
        <v>44</v>
      </c>
      <c r="X410" s="19">
        <v>1232</v>
      </c>
      <c r="Y410" s="19">
        <v>180</v>
      </c>
      <c r="Z410" s="19">
        <v>188</v>
      </c>
      <c r="AA410" s="14">
        <v>1</v>
      </c>
    </row>
    <row r="411" spans="1:27">
      <c r="A411" s="16">
        <v>46217.260416666664</v>
      </c>
      <c r="B411" s="17">
        <v>46217</v>
      </c>
      <c r="C411" s="18">
        <v>0.26041666666666669</v>
      </c>
      <c r="D411" t="s">
        <v>77</v>
      </c>
      <c r="E411" t="s">
        <v>143</v>
      </c>
      <c r="F411">
        <v>2</v>
      </c>
      <c r="G411" s="4">
        <v>26.55</v>
      </c>
      <c r="H411" s="4">
        <v>26.55</v>
      </c>
      <c r="I411" s="4">
        <v>33.25</v>
      </c>
      <c r="J411" s="4">
        <v>38.4</v>
      </c>
      <c r="K411" s="4">
        <v>38.4</v>
      </c>
      <c r="L411" s="4">
        <v>24.44</v>
      </c>
      <c r="M411" s="4">
        <v>39.25</v>
      </c>
      <c r="N411" s="4">
        <v>39.25</v>
      </c>
      <c r="O411" s="4">
        <v>25.94</v>
      </c>
      <c r="P411" s="4">
        <v>20.03</v>
      </c>
      <c r="Q411" s="4">
        <v>20.03</v>
      </c>
      <c r="R411" s="4">
        <v>29.06</v>
      </c>
      <c r="S411" s="19">
        <v>40</v>
      </c>
      <c r="T411" s="19">
        <v>960</v>
      </c>
      <c r="U411" s="19">
        <v>84</v>
      </c>
      <c r="V411" s="19">
        <v>132</v>
      </c>
      <c r="W411" s="19">
        <v>56</v>
      </c>
      <c r="X411" s="19">
        <v>1232</v>
      </c>
      <c r="Y411" s="19">
        <v>144</v>
      </c>
      <c r="Z411" s="19">
        <v>112</v>
      </c>
      <c r="AA411" s="14">
        <v>1</v>
      </c>
    </row>
    <row r="412" spans="1:27">
      <c r="A412" s="16">
        <v>46217.270833333336</v>
      </c>
      <c r="B412" s="17">
        <v>46217</v>
      </c>
      <c r="C412" s="18">
        <v>0.27083333333333331</v>
      </c>
      <c r="D412" t="s">
        <v>77</v>
      </c>
      <c r="E412" t="s">
        <v>143</v>
      </c>
      <c r="F412">
        <v>2</v>
      </c>
      <c r="G412" s="4">
        <v>35.520000000000003</v>
      </c>
      <c r="H412" s="4">
        <v>35.520000000000003</v>
      </c>
      <c r="I412" s="4">
        <v>27.62</v>
      </c>
      <c r="J412" s="4">
        <v>48.08</v>
      </c>
      <c r="K412" s="4">
        <v>48.08</v>
      </c>
      <c r="L412" s="4">
        <v>40.590000000000003</v>
      </c>
      <c r="M412" s="4">
        <v>43.1</v>
      </c>
      <c r="N412" s="4">
        <v>43.1</v>
      </c>
      <c r="O412" s="4">
        <v>38.19</v>
      </c>
      <c r="P412" s="4">
        <v>44.03</v>
      </c>
      <c r="Q412" s="4">
        <v>44.03</v>
      </c>
      <c r="R412" s="4">
        <v>31.15</v>
      </c>
      <c r="S412" s="19">
        <v>64</v>
      </c>
      <c r="T412" s="19">
        <v>1052</v>
      </c>
      <c r="U412" s="19">
        <v>24</v>
      </c>
      <c r="V412" s="19">
        <v>172</v>
      </c>
      <c r="W412" s="19">
        <v>60</v>
      </c>
      <c r="X412" s="19">
        <v>1344</v>
      </c>
      <c r="Y412" s="19">
        <v>100</v>
      </c>
      <c r="Z412" s="19">
        <v>128</v>
      </c>
      <c r="AA412" s="14">
        <v>1</v>
      </c>
    </row>
    <row r="413" spans="1:27">
      <c r="A413" s="16">
        <v>46217.28125</v>
      </c>
      <c r="B413" s="17">
        <v>46217</v>
      </c>
      <c r="C413" s="18">
        <v>0.28125</v>
      </c>
      <c r="D413" t="s">
        <v>77</v>
      </c>
      <c r="E413" t="s">
        <v>143</v>
      </c>
      <c r="F413">
        <v>2</v>
      </c>
      <c r="G413" s="4">
        <v>85.1</v>
      </c>
      <c r="H413" s="4">
        <v>85.1</v>
      </c>
      <c r="I413" s="4">
        <v>47.4</v>
      </c>
      <c r="J413" s="4">
        <v>39.700000000000003</v>
      </c>
      <c r="K413" s="4">
        <v>39.700000000000003</v>
      </c>
      <c r="L413" s="4">
        <v>65.400000000000006</v>
      </c>
      <c r="M413" s="4">
        <v>74.75</v>
      </c>
      <c r="N413" s="4">
        <v>74.75</v>
      </c>
      <c r="O413" s="4">
        <v>47.04</v>
      </c>
      <c r="P413" s="4">
        <v>58.76</v>
      </c>
      <c r="Q413" s="4">
        <v>58.76</v>
      </c>
      <c r="R413" s="4">
        <v>75.2</v>
      </c>
      <c r="S413" s="19">
        <v>100</v>
      </c>
      <c r="T413" s="19">
        <v>964</v>
      </c>
      <c r="U413" s="19">
        <v>36</v>
      </c>
      <c r="V413" s="19">
        <v>144</v>
      </c>
      <c r="W413" s="19">
        <v>52</v>
      </c>
      <c r="X413" s="19">
        <v>1376</v>
      </c>
      <c r="Y413" s="19">
        <v>168</v>
      </c>
      <c r="Z413" s="19">
        <v>116</v>
      </c>
      <c r="AA413" s="14">
        <v>1</v>
      </c>
    </row>
    <row r="414" spans="1:27">
      <c r="A414" s="16">
        <v>46217.291666666664</v>
      </c>
      <c r="B414" s="17">
        <v>46217</v>
      </c>
      <c r="C414" s="18">
        <v>0.29166666666666669</v>
      </c>
      <c r="D414" t="s">
        <v>77</v>
      </c>
      <c r="E414" t="s">
        <v>143</v>
      </c>
      <c r="F414">
        <v>2</v>
      </c>
      <c r="G414" s="4">
        <v>41.4</v>
      </c>
      <c r="H414" s="4">
        <v>41.4</v>
      </c>
      <c r="I414" s="4">
        <v>52.93</v>
      </c>
      <c r="J414" s="4">
        <v>47.1</v>
      </c>
      <c r="K414" s="4">
        <v>47.1</v>
      </c>
      <c r="L414" s="4">
        <v>75.34</v>
      </c>
      <c r="M414" s="4">
        <v>90.13</v>
      </c>
      <c r="N414" s="4">
        <v>90.13</v>
      </c>
      <c r="O414" s="4">
        <v>50.88</v>
      </c>
      <c r="P414" s="4">
        <v>36.4</v>
      </c>
      <c r="Q414" s="4">
        <v>36.4</v>
      </c>
      <c r="R414" s="4">
        <v>76.400000000000006</v>
      </c>
      <c r="S414" s="19">
        <v>108</v>
      </c>
      <c r="T414" s="19">
        <v>1000</v>
      </c>
      <c r="U414" s="19">
        <v>16</v>
      </c>
      <c r="V414" s="19">
        <v>172</v>
      </c>
      <c r="W414" s="19">
        <v>56</v>
      </c>
      <c r="X414" s="19">
        <v>1468</v>
      </c>
      <c r="Y414" s="19">
        <v>132</v>
      </c>
      <c r="Z414" s="19">
        <v>148</v>
      </c>
      <c r="AA414" s="14">
        <v>0</v>
      </c>
    </row>
    <row r="415" spans="1:27">
      <c r="A415" s="16">
        <v>46217.302083333336</v>
      </c>
      <c r="B415" s="17">
        <v>46217</v>
      </c>
      <c r="C415" s="18">
        <v>0.30208333333333331</v>
      </c>
      <c r="D415" t="s">
        <v>77</v>
      </c>
      <c r="E415" t="s">
        <v>143</v>
      </c>
      <c r="F415">
        <v>2</v>
      </c>
      <c r="G415" s="4">
        <v>52.6</v>
      </c>
      <c r="H415" s="4">
        <v>52.6</v>
      </c>
      <c r="I415" s="4">
        <v>45.05</v>
      </c>
      <c r="J415" s="4">
        <v>66.37</v>
      </c>
      <c r="K415" s="4">
        <v>66.37</v>
      </c>
      <c r="L415" s="4">
        <v>67.53</v>
      </c>
      <c r="M415" s="4">
        <v>56.03</v>
      </c>
      <c r="N415" s="4">
        <v>56.03</v>
      </c>
      <c r="O415" s="4">
        <v>53.32</v>
      </c>
      <c r="P415" s="4">
        <v>68.430000000000007</v>
      </c>
      <c r="Q415" s="4">
        <v>68.430000000000007</v>
      </c>
      <c r="R415" s="4">
        <v>91.22</v>
      </c>
      <c r="S415" s="19">
        <v>200</v>
      </c>
      <c r="T415" s="19">
        <v>1068</v>
      </c>
      <c r="U415" s="19">
        <v>48</v>
      </c>
      <c r="V415" s="19">
        <v>276</v>
      </c>
      <c r="W415" s="19">
        <v>76</v>
      </c>
      <c r="X415" s="19">
        <v>1428</v>
      </c>
      <c r="Y415" s="19">
        <v>192</v>
      </c>
      <c r="Z415" s="19">
        <v>96</v>
      </c>
      <c r="AA415" s="14">
        <v>1</v>
      </c>
    </row>
    <row r="416" spans="1:27">
      <c r="A416" s="16">
        <v>46217.3125</v>
      </c>
      <c r="B416" s="17">
        <v>46217</v>
      </c>
      <c r="C416" s="18">
        <v>0.3125</v>
      </c>
      <c r="D416" t="s">
        <v>77</v>
      </c>
      <c r="E416" t="s">
        <v>143</v>
      </c>
      <c r="F416">
        <v>2</v>
      </c>
      <c r="G416" s="4">
        <v>70.12</v>
      </c>
      <c r="H416" s="4">
        <v>70.12</v>
      </c>
      <c r="I416" s="4">
        <v>45.02</v>
      </c>
      <c r="J416" s="4">
        <v>61.13</v>
      </c>
      <c r="K416" s="4">
        <v>61.13</v>
      </c>
      <c r="L416" s="4">
        <v>42.3</v>
      </c>
      <c r="M416" s="4">
        <v>119.2</v>
      </c>
      <c r="N416" s="4">
        <v>119.2</v>
      </c>
      <c r="O416" s="4">
        <v>64.88</v>
      </c>
      <c r="P416" s="4">
        <v>54.8</v>
      </c>
      <c r="Q416" s="4">
        <v>54.8</v>
      </c>
      <c r="R416" s="4">
        <v>101.95</v>
      </c>
      <c r="S416" s="19">
        <v>236</v>
      </c>
      <c r="T416" s="19">
        <v>1060</v>
      </c>
      <c r="U416" s="19">
        <v>52</v>
      </c>
      <c r="V416" s="19">
        <v>232</v>
      </c>
      <c r="W416" s="19">
        <v>68</v>
      </c>
      <c r="X416" s="19">
        <v>1664</v>
      </c>
      <c r="Y416" s="19">
        <v>152</v>
      </c>
      <c r="Z416" s="19">
        <v>164</v>
      </c>
      <c r="AA416" s="14">
        <v>1</v>
      </c>
    </row>
    <row r="417" spans="1:27">
      <c r="A417" s="16">
        <v>46217.322916666664</v>
      </c>
      <c r="B417" s="17">
        <v>46217</v>
      </c>
      <c r="C417" s="18">
        <v>0.32291666666666669</v>
      </c>
      <c r="D417" t="s">
        <v>77</v>
      </c>
      <c r="E417" t="s">
        <v>143</v>
      </c>
      <c r="F417">
        <v>2</v>
      </c>
      <c r="G417" s="4">
        <v>48.4</v>
      </c>
      <c r="H417" s="4">
        <v>48.4</v>
      </c>
      <c r="I417" s="4">
        <v>76.099999999999994</v>
      </c>
      <c r="J417" s="4">
        <v>57.76</v>
      </c>
      <c r="K417" s="4">
        <v>57.76</v>
      </c>
      <c r="L417" s="4">
        <v>90.38</v>
      </c>
      <c r="M417" s="4">
        <v>93.7</v>
      </c>
      <c r="N417" s="4">
        <v>93.7</v>
      </c>
      <c r="O417" s="4">
        <v>68.260000000000005</v>
      </c>
      <c r="P417" s="4">
        <v>53.42</v>
      </c>
      <c r="Q417" s="4">
        <v>53.42</v>
      </c>
      <c r="R417" s="4">
        <v>91.42</v>
      </c>
      <c r="S417" s="19">
        <v>148</v>
      </c>
      <c r="T417" s="19">
        <v>1308</v>
      </c>
      <c r="U417" s="19">
        <v>124</v>
      </c>
      <c r="V417" s="19">
        <v>348</v>
      </c>
      <c r="W417" s="19">
        <v>60</v>
      </c>
      <c r="X417" s="19">
        <v>1784</v>
      </c>
      <c r="Y417" s="19">
        <v>256</v>
      </c>
      <c r="Z417" s="19">
        <v>160</v>
      </c>
      <c r="AA417" s="14">
        <v>1</v>
      </c>
    </row>
    <row r="418" spans="1:27">
      <c r="A418" s="16">
        <v>46217.333333333336</v>
      </c>
      <c r="B418" s="17">
        <v>46217</v>
      </c>
      <c r="C418" s="18">
        <v>0.33333333333333331</v>
      </c>
      <c r="D418" t="s">
        <v>77</v>
      </c>
      <c r="E418" t="s">
        <v>143</v>
      </c>
      <c r="F418">
        <v>2</v>
      </c>
      <c r="G418" s="4">
        <v>76.45</v>
      </c>
      <c r="H418" s="4">
        <v>76.45</v>
      </c>
      <c r="I418" s="4">
        <v>64.680000000000007</v>
      </c>
      <c r="J418" s="4">
        <v>68.27</v>
      </c>
      <c r="K418" s="4">
        <v>68.27</v>
      </c>
      <c r="L418" s="4">
        <v>60.46</v>
      </c>
      <c r="M418" s="4">
        <v>98.82</v>
      </c>
      <c r="N418" s="4">
        <v>98.82</v>
      </c>
      <c r="O418" s="4">
        <v>72.08</v>
      </c>
      <c r="P418" s="4">
        <v>56.6</v>
      </c>
      <c r="Q418" s="4">
        <v>56.6</v>
      </c>
      <c r="R418" s="4">
        <v>89.64</v>
      </c>
      <c r="S418" s="19">
        <v>212</v>
      </c>
      <c r="T418" s="19">
        <v>1144</v>
      </c>
      <c r="U418" s="19">
        <v>112</v>
      </c>
      <c r="V418" s="19">
        <v>332</v>
      </c>
      <c r="W418" s="19">
        <v>120</v>
      </c>
      <c r="X418" s="19">
        <v>1404</v>
      </c>
      <c r="Y418" s="19">
        <v>116</v>
      </c>
      <c r="Z418" s="19">
        <v>220</v>
      </c>
      <c r="AA418" s="14">
        <v>1</v>
      </c>
    </row>
    <row r="419" spans="1:27">
      <c r="A419" s="16">
        <v>46217.34375</v>
      </c>
      <c r="B419" s="17">
        <v>46217</v>
      </c>
      <c r="C419" s="18">
        <v>0.34375</v>
      </c>
      <c r="D419" t="s">
        <v>77</v>
      </c>
      <c r="E419" t="s">
        <v>143</v>
      </c>
      <c r="F419">
        <v>2</v>
      </c>
      <c r="G419" s="4">
        <v>85.91</v>
      </c>
      <c r="H419" s="4">
        <v>85.91</v>
      </c>
      <c r="I419" s="4">
        <v>59.56</v>
      </c>
      <c r="J419" s="4">
        <v>70.78</v>
      </c>
      <c r="K419" s="4">
        <v>70.78</v>
      </c>
      <c r="L419" s="4">
        <v>58.82</v>
      </c>
      <c r="M419" s="4">
        <v>90.83</v>
      </c>
      <c r="N419" s="4">
        <v>90.83</v>
      </c>
      <c r="O419" s="4">
        <v>69.44</v>
      </c>
      <c r="P419" s="4">
        <v>38.42</v>
      </c>
      <c r="Q419" s="4">
        <v>38.42</v>
      </c>
      <c r="R419" s="4">
        <v>93.78</v>
      </c>
      <c r="S419" s="19">
        <v>140</v>
      </c>
      <c r="T419" s="19">
        <v>1248</v>
      </c>
      <c r="U419" s="19">
        <v>64</v>
      </c>
      <c r="V419" s="19">
        <v>376</v>
      </c>
      <c r="W419" s="19">
        <v>56</v>
      </c>
      <c r="X419" s="19">
        <v>1452</v>
      </c>
      <c r="Y419" s="19">
        <v>160</v>
      </c>
      <c r="Z419" s="19">
        <v>172</v>
      </c>
      <c r="AA419" s="14">
        <v>1</v>
      </c>
    </row>
    <row r="420" spans="1:27">
      <c r="A420" s="16">
        <v>46217.354166666664</v>
      </c>
      <c r="B420" s="17">
        <v>46217</v>
      </c>
      <c r="C420" s="18">
        <v>0.35416666666666669</v>
      </c>
      <c r="D420" t="s">
        <v>77</v>
      </c>
      <c r="E420" t="s">
        <v>143</v>
      </c>
      <c r="F420">
        <v>2</v>
      </c>
      <c r="G420" s="4">
        <v>75.599999999999994</v>
      </c>
      <c r="H420" s="4">
        <v>75.599999999999994</v>
      </c>
      <c r="I420" s="4">
        <v>59.44</v>
      </c>
      <c r="J420" s="4">
        <v>133.22999999999999</v>
      </c>
      <c r="K420" s="4">
        <v>133.22999999999999</v>
      </c>
      <c r="L420" s="4">
        <v>64.400000000000006</v>
      </c>
      <c r="M420" s="4">
        <v>106.88</v>
      </c>
      <c r="N420" s="4">
        <v>106.88</v>
      </c>
      <c r="O420" s="4">
        <v>80.47</v>
      </c>
      <c r="P420" s="4">
        <v>70.58</v>
      </c>
      <c r="Q420" s="4">
        <v>70.58</v>
      </c>
      <c r="R420" s="4">
        <v>57.45</v>
      </c>
      <c r="S420" s="19">
        <v>156</v>
      </c>
      <c r="T420" s="19">
        <v>1220</v>
      </c>
      <c r="U420" s="19">
        <v>52</v>
      </c>
      <c r="V420" s="19">
        <v>336</v>
      </c>
      <c r="W420" s="19">
        <v>52</v>
      </c>
      <c r="X420" s="19">
        <v>1468</v>
      </c>
      <c r="Y420" s="19">
        <v>148</v>
      </c>
      <c r="Z420" s="19">
        <v>176</v>
      </c>
      <c r="AA420" s="14">
        <v>1</v>
      </c>
    </row>
    <row r="421" spans="1:27">
      <c r="A421" s="16">
        <v>46217.364583333336</v>
      </c>
      <c r="B421" s="17">
        <v>46217</v>
      </c>
      <c r="C421" s="18">
        <v>0.36458333333333331</v>
      </c>
      <c r="D421" t="s">
        <v>77</v>
      </c>
      <c r="E421" t="s">
        <v>143</v>
      </c>
      <c r="F421">
        <v>2</v>
      </c>
      <c r="G421" s="4">
        <v>81</v>
      </c>
      <c r="H421" s="4">
        <v>81</v>
      </c>
      <c r="I421" s="4">
        <v>76.2</v>
      </c>
      <c r="J421" s="4">
        <v>84.63</v>
      </c>
      <c r="K421" s="4">
        <v>84.63</v>
      </c>
      <c r="L421" s="4">
        <v>99.7</v>
      </c>
      <c r="M421" s="4">
        <v>152.15</v>
      </c>
      <c r="N421" s="4">
        <v>152.15</v>
      </c>
      <c r="O421" s="4">
        <v>78.98</v>
      </c>
      <c r="P421" s="4">
        <v>80.739999999999995</v>
      </c>
      <c r="Q421" s="4">
        <v>80.739999999999995</v>
      </c>
      <c r="R421" s="4">
        <v>113.93</v>
      </c>
      <c r="S421" s="19">
        <v>148</v>
      </c>
      <c r="T421" s="19">
        <v>1424</v>
      </c>
      <c r="U421" s="19">
        <v>92</v>
      </c>
      <c r="V421" s="19">
        <v>544</v>
      </c>
      <c r="W421" s="19">
        <v>76</v>
      </c>
      <c r="X421" s="19">
        <v>1956</v>
      </c>
      <c r="Y421" s="19">
        <v>136</v>
      </c>
      <c r="Z421" s="19">
        <v>248</v>
      </c>
      <c r="AA421" s="14">
        <v>1</v>
      </c>
    </row>
    <row r="422" spans="1:27">
      <c r="A422" s="16">
        <v>46217.375</v>
      </c>
      <c r="B422" s="17">
        <v>46217</v>
      </c>
      <c r="C422" s="18">
        <v>0.375</v>
      </c>
      <c r="D422" t="s">
        <v>77</v>
      </c>
      <c r="E422" t="s">
        <v>143</v>
      </c>
      <c r="F422">
        <v>2</v>
      </c>
      <c r="G422" s="4">
        <v>78.599999999999994</v>
      </c>
      <c r="H422" s="4">
        <v>78.599999999999994</v>
      </c>
      <c r="I422" s="4">
        <v>73.7</v>
      </c>
      <c r="J422" s="4">
        <v>100.04</v>
      </c>
      <c r="K422" s="4">
        <v>100.04</v>
      </c>
      <c r="L422" s="4">
        <v>73.27</v>
      </c>
      <c r="M422" s="4">
        <v>99.78</v>
      </c>
      <c r="N422" s="4">
        <v>99.78</v>
      </c>
      <c r="O422" s="4">
        <v>81.319999999999993</v>
      </c>
      <c r="P422" s="4">
        <v>69.42</v>
      </c>
      <c r="Q422" s="4">
        <v>69.42</v>
      </c>
      <c r="R422" s="4">
        <v>76.88</v>
      </c>
      <c r="S422" s="19">
        <v>288</v>
      </c>
      <c r="T422" s="19">
        <v>1428</v>
      </c>
      <c r="U422" s="19">
        <v>152</v>
      </c>
      <c r="V422" s="19">
        <v>476</v>
      </c>
      <c r="W422" s="19">
        <v>64</v>
      </c>
      <c r="X422" s="19">
        <v>1620</v>
      </c>
      <c r="Y422" s="19">
        <v>256</v>
      </c>
      <c r="Z422" s="19">
        <v>224</v>
      </c>
      <c r="AA422" s="14">
        <v>0</v>
      </c>
    </row>
    <row r="423" spans="1:27">
      <c r="A423" s="16">
        <v>46217.385416666664</v>
      </c>
      <c r="B423" s="17">
        <v>46217</v>
      </c>
      <c r="C423" s="18">
        <v>0.38541666666666669</v>
      </c>
      <c r="D423" t="s">
        <v>77</v>
      </c>
      <c r="E423" t="s">
        <v>143</v>
      </c>
      <c r="F423">
        <v>2</v>
      </c>
      <c r="G423" s="4">
        <v>92.18</v>
      </c>
      <c r="H423" s="4">
        <v>92.18</v>
      </c>
      <c r="I423" s="4">
        <v>69</v>
      </c>
      <c r="J423" s="4">
        <v>42.74</v>
      </c>
      <c r="K423" s="4">
        <v>42.74</v>
      </c>
      <c r="L423" s="4">
        <v>87.72</v>
      </c>
      <c r="M423" s="4">
        <v>87.78</v>
      </c>
      <c r="N423" s="4">
        <v>87.78</v>
      </c>
      <c r="O423" s="4">
        <v>80.569999999999993</v>
      </c>
      <c r="P423" s="4">
        <v>83.83</v>
      </c>
      <c r="Q423" s="4">
        <v>83.83</v>
      </c>
      <c r="R423" s="4">
        <v>83.67</v>
      </c>
      <c r="S423" s="19">
        <v>268</v>
      </c>
      <c r="T423" s="19">
        <v>1508</v>
      </c>
      <c r="U423" s="19">
        <v>92</v>
      </c>
      <c r="V423" s="19">
        <v>360</v>
      </c>
      <c r="W423" s="19">
        <v>56</v>
      </c>
      <c r="X423" s="19">
        <v>1540</v>
      </c>
      <c r="Y423" s="19">
        <v>128</v>
      </c>
      <c r="Z423" s="19">
        <v>172</v>
      </c>
      <c r="AA423" s="14">
        <v>1</v>
      </c>
    </row>
    <row r="424" spans="1:27">
      <c r="A424" s="16">
        <v>46217.395833333336</v>
      </c>
      <c r="B424" s="17">
        <v>46217</v>
      </c>
      <c r="C424" s="18">
        <v>0.39583333333333331</v>
      </c>
      <c r="D424" t="s">
        <v>77</v>
      </c>
      <c r="E424" t="s">
        <v>143</v>
      </c>
      <c r="F424">
        <v>2</v>
      </c>
      <c r="G424" s="4">
        <v>79.930000000000007</v>
      </c>
      <c r="H424" s="4">
        <v>79.930000000000007</v>
      </c>
      <c r="I424" s="4">
        <v>76.97</v>
      </c>
      <c r="J424" s="4">
        <v>45.77</v>
      </c>
      <c r="K424" s="4">
        <v>45.77</v>
      </c>
      <c r="L424" s="4">
        <v>89.43</v>
      </c>
      <c r="M424" s="4">
        <v>94.2</v>
      </c>
      <c r="N424" s="4">
        <v>94.2</v>
      </c>
      <c r="O424" s="4">
        <v>79.650000000000006</v>
      </c>
      <c r="P424" s="4">
        <v>77.319999999999993</v>
      </c>
      <c r="Q424" s="4">
        <v>77.319999999999993</v>
      </c>
      <c r="R424" s="4">
        <v>79.599999999999994</v>
      </c>
      <c r="S424" s="19">
        <v>160</v>
      </c>
      <c r="T424" s="19">
        <v>1452</v>
      </c>
      <c r="U424" s="19">
        <v>80</v>
      </c>
      <c r="V424" s="19">
        <v>420</v>
      </c>
      <c r="W424" s="19">
        <v>68</v>
      </c>
      <c r="X424" s="19">
        <v>1428</v>
      </c>
      <c r="Y424" s="19">
        <v>128</v>
      </c>
      <c r="Z424" s="19">
        <v>208</v>
      </c>
      <c r="AA424" s="14">
        <v>1</v>
      </c>
    </row>
    <row r="425" spans="1:27">
      <c r="A425" s="16">
        <v>46217.40625</v>
      </c>
      <c r="B425" s="17">
        <v>46217</v>
      </c>
      <c r="C425" s="18">
        <v>0.40625</v>
      </c>
      <c r="D425" t="s">
        <v>77</v>
      </c>
      <c r="E425" t="s">
        <v>143</v>
      </c>
      <c r="F425">
        <v>2</v>
      </c>
      <c r="G425" s="4">
        <v>82.56</v>
      </c>
      <c r="H425" s="4">
        <v>82.56</v>
      </c>
      <c r="I425" s="4">
        <v>66.05</v>
      </c>
      <c r="J425" s="4">
        <v>88.23</v>
      </c>
      <c r="K425" s="4">
        <v>88.23</v>
      </c>
      <c r="L425" s="4">
        <v>58.62</v>
      </c>
      <c r="M425" s="4">
        <v>103.35</v>
      </c>
      <c r="N425" s="4">
        <v>103.35</v>
      </c>
      <c r="O425" s="4">
        <v>81.099999999999994</v>
      </c>
      <c r="P425" s="4">
        <v>85.44</v>
      </c>
      <c r="Q425" s="4">
        <v>85.44</v>
      </c>
      <c r="R425" s="4">
        <v>79.37</v>
      </c>
      <c r="S425" s="19">
        <v>272</v>
      </c>
      <c r="T425" s="19">
        <v>1212</v>
      </c>
      <c r="U425" s="19">
        <v>92</v>
      </c>
      <c r="V425" s="19">
        <v>356</v>
      </c>
      <c r="W425" s="19">
        <v>52</v>
      </c>
      <c r="X425" s="19">
        <v>1672</v>
      </c>
      <c r="Y425" s="19">
        <v>168</v>
      </c>
      <c r="Z425" s="19">
        <v>216</v>
      </c>
      <c r="AA425" s="14">
        <v>1</v>
      </c>
    </row>
    <row r="426" spans="1:27">
      <c r="A426" s="16">
        <v>46217.416666666664</v>
      </c>
      <c r="B426" s="17">
        <v>46217</v>
      </c>
      <c r="C426" s="18">
        <v>0.41666666666666669</v>
      </c>
      <c r="D426" t="s">
        <v>77</v>
      </c>
      <c r="E426" t="s">
        <v>143</v>
      </c>
      <c r="F426">
        <v>2</v>
      </c>
      <c r="G426" s="4">
        <v>93.97</v>
      </c>
      <c r="H426" s="4">
        <v>93.97</v>
      </c>
      <c r="I426" s="4">
        <v>65.38</v>
      </c>
      <c r="J426" s="4">
        <v>82.3</v>
      </c>
      <c r="K426" s="4">
        <v>82.3</v>
      </c>
      <c r="L426" s="4">
        <v>84.52</v>
      </c>
      <c r="M426" s="4">
        <v>40.369999999999997</v>
      </c>
      <c r="N426" s="4">
        <v>40.369999999999997</v>
      </c>
      <c r="O426" s="4">
        <v>83.87</v>
      </c>
      <c r="P426" s="4">
        <v>81.599999999999994</v>
      </c>
      <c r="Q426" s="4">
        <v>81.599999999999994</v>
      </c>
      <c r="R426" s="4">
        <v>97.77</v>
      </c>
      <c r="S426" s="19">
        <v>168</v>
      </c>
      <c r="T426" s="19">
        <v>1300</v>
      </c>
      <c r="U426" s="19">
        <v>96</v>
      </c>
      <c r="V426" s="19">
        <v>344</v>
      </c>
      <c r="W426" s="19">
        <v>80</v>
      </c>
      <c r="X426" s="19">
        <v>1524</v>
      </c>
      <c r="Y426" s="19">
        <v>176</v>
      </c>
      <c r="Z426" s="19">
        <v>152</v>
      </c>
      <c r="AA426" s="14">
        <v>1</v>
      </c>
    </row>
    <row r="427" spans="1:27">
      <c r="A427" s="16">
        <v>46217.427083333336</v>
      </c>
      <c r="B427" s="17">
        <v>46217</v>
      </c>
      <c r="C427" s="18">
        <v>0.42708333333333331</v>
      </c>
      <c r="D427" t="s">
        <v>77</v>
      </c>
      <c r="E427" t="s">
        <v>143</v>
      </c>
      <c r="F427">
        <v>2</v>
      </c>
      <c r="G427" s="4">
        <v>87.57</v>
      </c>
      <c r="H427" s="4">
        <v>87.57</v>
      </c>
      <c r="I427" s="4">
        <v>56.66</v>
      </c>
      <c r="J427" s="4">
        <v>86.84</v>
      </c>
      <c r="K427" s="4">
        <v>86.84</v>
      </c>
      <c r="L427" s="4">
        <v>72.53</v>
      </c>
      <c r="M427" s="4">
        <v>87.24</v>
      </c>
      <c r="N427" s="4">
        <v>87.24</v>
      </c>
      <c r="O427" s="4">
        <v>88.6</v>
      </c>
      <c r="P427" s="4">
        <v>64.98</v>
      </c>
      <c r="Q427" s="4">
        <v>64.98</v>
      </c>
      <c r="R427" s="4">
        <v>72.3</v>
      </c>
      <c r="S427" s="19">
        <v>144</v>
      </c>
      <c r="T427" s="19">
        <v>1304</v>
      </c>
      <c r="U427" s="19">
        <v>188</v>
      </c>
      <c r="V427" s="19">
        <v>308</v>
      </c>
      <c r="W427" s="19">
        <v>64</v>
      </c>
      <c r="X427" s="19">
        <v>1432</v>
      </c>
      <c r="Y427" s="19">
        <v>136</v>
      </c>
      <c r="Z427" s="19">
        <v>216</v>
      </c>
      <c r="AA427" s="14">
        <v>1</v>
      </c>
    </row>
    <row r="428" spans="1:27">
      <c r="A428" s="16">
        <v>46217.4375</v>
      </c>
      <c r="B428" s="17">
        <v>46217</v>
      </c>
      <c r="C428" s="18">
        <v>0.4375</v>
      </c>
      <c r="D428" t="s">
        <v>77</v>
      </c>
      <c r="E428" t="s">
        <v>143</v>
      </c>
      <c r="F428">
        <v>2</v>
      </c>
      <c r="G428" s="4">
        <v>79.12</v>
      </c>
      <c r="H428" s="4">
        <v>79.12</v>
      </c>
      <c r="I428" s="4">
        <v>65.94</v>
      </c>
      <c r="J428" s="4">
        <v>64.400000000000006</v>
      </c>
      <c r="K428" s="4">
        <v>64.400000000000006</v>
      </c>
      <c r="L428" s="4">
        <v>85.8</v>
      </c>
      <c r="M428" s="4">
        <v>78.900000000000006</v>
      </c>
      <c r="N428" s="4">
        <v>78.900000000000006</v>
      </c>
      <c r="O428" s="4">
        <v>79.67</v>
      </c>
      <c r="P428" s="4">
        <v>79.28</v>
      </c>
      <c r="Q428" s="4">
        <v>79.28</v>
      </c>
      <c r="R428" s="4">
        <v>77.55</v>
      </c>
      <c r="S428" s="19">
        <v>160</v>
      </c>
      <c r="T428" s="19">
        <v>1284</v>
      </c>
      <c r="U428" s="19">
        <v>104</v>
      </c>
      <c r="V428" s="19">
        <v>236</v>
      </c>
      <c r="W428" s="19">
        <v>64</v>
      </c>
      <c r="X428" s="19">
        <v>1484</v>
      </c>
      <c r="Y428" s="19">
        <v>156</v>
      </c>
      <c r="Z428" s="19">
        <v>184</v>
      </c>
      <c r="AA428" s="14">
        <v>1</v>
      </c>
    </row>
    <row r="429" spans="1:27">
      <c r="A429" s="16">
        <v>46217.447916666664</v>
      </c>
      <c r="B429" s="17">
        <v>46217</v>
      </c>
      <c r="C429" s="18">
        <v>0.44791666666666669</v>
      </c>
      <c r="D429" t="s">
        <v>77</v>
      </c>
      <c r="E429" t="s">
        <v>143</v>
      </c>
      <c r="F429">
        <v>2</v>
      </c>
      <c r="G429" s="4">
        <v>122.42</v>
      </c>
      <c r="H429" s="4">
        <v>122.42</v>
      </c>
      <c r="I429" s="4">
        <v>58.3</v>
      </c>
      <c r="J429" s="4">
        <v>110.3</v>
      </c>
      <c r="K429" s="4">
        <v>110.3</v>
      </c>
      <c r="L429" s="4">
        <v>65.16</v>
      </c>
      <c r="M429" s="4">
        <v>89.93</v>
      </c>
      <c r="N429" s="4">
        <v>89.93</v>
      </c>
      <c r="O429" s="4">
        <v>84.84</v>
      </c>
      <c r="P429" s="4">
        <v>64.97</v>
      </c>
      <c r="Q429" s="4">
        <v>64.97</v>
      </c>
      <c r="R429" s="4">
        <v>86.18</v>
      </c>
      <c r="S429" s="19">
        <v>416</v>
      </c>
      <c r="T429" s="19">
        <v>1324</v>
      </c>
      <c r="U429" s="19">
        <v>88</v>
      </c>
      <c r="V429" s="19">
        <v>412</v>
      </c>
      <c r="W429" s="19">
        <v>88</v>
      </c>
      <c r="X429" s="19">
        <v>1624</v>
      </c>
      <c r="Y429" s="19">
        <v>188</v>
      </c>
      <c r="Z429" s="19">
        <v>164</v>
      </c>
      <c r="AA429" s="14">
        <v>1</v>
      </c>
    </row>
    <row r="430" spans="1:27">
      <c r="A430" s="16">
        <v>46217.458333333336</v>
      </c>
      <c r="B430" s="17">
        <v>46217</v>
      </c>
      <c r="C430" s="18">
        <v>0.45833333333333331</v>
      </c>
      <c r="D430" t="s">
        <v>77</v>
      </c>
      <c r="E430" t="s">
        <v>143</v>
      </c>
      <c r="F430">
        <v>2</v>
      </c>
      <c r="G430" s="4">
        <v>88.3</v>
      </c>
      <c r="H430" s="4">
        <v>88.3</v>
      </c>
      <c r="I430" s="4">
        <v>61.98</v>
      </c>
      <c r="J430" s="4">
        <v>59.9</v>
      </c>
      <c r="K430" s="4">
        <v>59.9</v>
      </c>
      <c r="L430" s="4">
        <v>79.3</v>
      </c>
      <c r="M430" s="4">
        <v>88.53</v>
      </c>
      <c r="N430" s="4">
        <v>88.53</v>
      </c>
      <c r="O430" s="4">
        <v>87.64</v>
      </c>
      <c r="P430" s="4">
        <v>102.5</v>
      </c>
      <c r="Q430" s="4">
        <v>102.5</v>
      </c>
      <c r="R430" s="4">
        <v>86.9</v>
      </c>
      <c r="S430" s="19">
        <v>184</v>
      </c>
      <c r="T430" s="19">
        <v>1532</v>
      </c>
      <c r="U430" s="19">
        <v>60</v>
      </c>
      <c r="V430" s="19">
        <v>344</v>
      </c>
      <c r="W430" s="19">
        <v>60</v>
      </c>
      <c r="X430" s="19">
        <v>1512</v>
      </c>
      <c r="Y430" s="19">
        <v>228</v>
      </c>
      <c r="Z430" s="19">
        <v>188</v>
      </c>
      <c r="AA430" s="14">
        <v>1</v>
      </c>
    </row>
    <row r="431" spans="1:27">
      <c r="A431" s="16">
        <v>46217.46875</v>
      </c>
      <c r="B431" s="17">
        <v>46217</v>
      </c>
      <c r="C431" s="18">
        <v>0.46875</v>
      </c>
      <c r="D431" t="s">
        <v>77</v>
      </c>
      <c r="E431" t="s">
        <v>143</v>
      </c>
      <c r="F431">
        <v>2</v>
      </c>
      <c r="G431" s="4">
        <v>90.78</v>
      </c>
      <c r="H431" s="4">
        <v>90.78</v>
      </c>
      <c r="I431" s="4">
        <v>66.150000000000006</v>
      </c>
      <c r="J431" s="4">
        <v>67.599999999999994</v>
      </c>
      <c r="K431" s="4">
        <v>67.599999999999994</v>
      </c>
      <c r="L431" s="4">
        <v>39.96</v>
      </c>
      <c r="M431" s="4">
        <v>92.65</v>
      </c>
      <c r="N431" s="4">
        <v>92.65</v>
      </c>
      <c r="O431" s="4">
        <v>78.099999999999994</v>
      </c>
      <c r="P431" s="4">
        <v>71.260000000000005</v>
      </c>
      <c r="Q431" s="4">
        <v>71.260000000000005</v>
      </c>
      <c r="R431" s="4">
        <v>90.58</v>
      </c>
      <c r="S431" s="19">
        <v>228</v>
      </c>
      <c r="T431" s="19">
        <v>1440</v>
      </c>
      <c r="U431" s="19">
        <v>120</v>
      </c>
      <c r="V431" s="19">
        <v>292</v>
      </c>
      <c r="W431" s="19">
        <v>44</v>
      </c>
      <c r="X431" s="19">
        <v>1600</v>
      </c>
      <c r="Y431" s="19">
        <v>196</v>
      </c>
      <c r="Z431" s="19">
        <v>188</v>
      </c>
      <c r="AA431" s="14">
        <v>1</v>
      </c>
    </row>
    <row r="432" spans="1:27">
      <c r="A432" s="16">
        <v>46217.479166666664</v>
      </c>
      <c r="B432" s="17">
        <v>46217</v>
      </c>
      <c r="C432" s="18">
        <v>0.47916666666666669</v>
      </c>
      <c r="D432" t="s">
        <v>77</v>
      </c>
      <c r="E432" t="s">
        <v>143</v>
      </c>
      <c r="F432">
        <v>2</v>
      </c>
      <c r="G432" s="4">
        <v>99.53</v>
      </c>
      <c r="H432" s="4">
        <v>99.53</v>
      </c>
      <c r="I432" s="4">
        <v>77.650000000000006</v>
      </c>
      <c r="J432" s="4">
        <v>97.25</v>
      </c>
      <c r="K432" s="4">
        <v>97.25</v>
      </c>
      <c r="L432" s="4">
        <v>81.17</v>
      </c>
      <c r="M432" s="4">
        <v>104.15</v>
      </c>
      <c r="N432" s="4">
        <v>104.15</v>
      </c>
      <c r="O432" s="4">
        <v>80.72</v>
      </c>
      <c r="P432" s="4">
        <v>60.6</v>
      </c>
      <c r="Q432" s="4">
        <v>60.6</v>
      </c>
      <c r="R432" s="4">
        <v>85.72</v>
      </c>
      <c r="S432" s="19">
        <v>404</v>
      </c>
      <c r="T432" s="19">
        <v>1780</v>
      </c>
      <c r="U432" s="19">
        <v>148</v>
      </c>
      <c r="V432" s="19">
        <v>356</v>
      </c>
      <c r="W432" s="19">
        <v>84</v>
      </c>
      <c r="X432" s="19">
        <v>1696</v>
      </c>
      <c r="Y432" s="19">
        <v>452</v>
      </c>
      <c r="Z432" s="19">
        <v>204</v>
      </c>
      <c r="AA432" s="14">
        <v>1</v>
      </c>
    </row>
    <row r="433" spans="1:27">
      <c r="A433" s="16">
        <v>46217.489583333336</v>
      </c>
      <c r="B433" s="17">
        <v>46217</v>
      </c>
      <c r="C433" s="18">
        <v>0.48958333333333331</v>
      </c>
      <c r="D433" t="s">
        <v>77</v>
      </c>
      <c r="E433" t="s">
        <v>143</v>
      </c>
      <c r="F433">
        <v>2</v>
      </c>
      <c r="G433" s="4">
        <v>79.77</v>
      </c>
      <c r="H433" s="4">
        <v>79.77</v>
      </c>
      <c r="I433" s="4">
        <v>78.599999999999994</v>
      </c>
      <c r="J433" s="4">
        <v>55.15</v>
      </c>
      <c r="K433" s="4">
        <v>55.15</v>
      </c>
      <c r="L433" s="4">
        <v>62.65</v>
      </c>
      <c r="M433" s="4">
        <v>90.67</v>
      </c>
      <c r="N433" s="4">
        <v>90.67</v>
      </c>
      <c r="O433" s="4">
        <v>88.53</v>
      </c>
      <c r="P433" s="4">
        <v>64.13</v>
      </c>
      <c r="Q433" s="4">
        <v>64.13</v>
      </c>
      <c r="R433" s="4">
        <v>87</v>
      </c>
      <c r="S433" s="19">
        <v>112</v>
      </c>
      <c r="T433" s="19">
        <v>1616</v>
      </c>
      <c r="U433" s="19">
        <v>128</v>
      </c>
      <c r="V433" s="19">
        <v>316</v>
      </c>
      <c r="W433" s="19">
        <v>128</v>
      </c>
      <c r="X433" s="19">
        <v>1704</v>
      </c>
      <c r="Y433" s="19">
        <v>376</v>
      </c>
      <c r="Z433" s="19">
        <v>316</v>
      </c>
      <c r="AA433" s="14">
        <v>1</v>
      </c>
    </row>
    <row r="434" spans="1:27">
      <c r="A434" s="16">
        <v>46217.5</v>
      </c>
      <c r="B434" s="17">
        <v>46217</v>
      </c>
      <c r="C434" s="18">
        <v>0.5</v>
      </c>
      <c r="D434" t="s">
        <v>77</v>
      </c>
      <c r="E434" t="s">
        <v>143</v>
      </c>
      <c r="F434">
        <v>2</v>
      </c>
      <c r="G434" s="4">
        <v>95.57</v>
      </c>
      <c r="H434" s="4">
        <v>95.57</v>
      </c>
      <c r="I434" s="4">
        <v>62.7</v>
      </c>
      <c r="J434" s="4">
        <v>82.68</v>
      </c>
      <c r="K434" s="4">
        <v>82.68</v>
      </c>
      <c r="L434" s="4">
        <v>65.38</v>
      </c>
      <c r="M434" s="4">
        <v>97.13</v>
      </c>
      <c r="N434" s="4">
        <v>97.13</v>
      </c>
      <c r="O434" s="4">
        <v>87.9</v>
      </c>
      <c r="P434" s="4">
        <v>64.78</v>
      </c>
      <c r="Q434" s="4">
        <v>64.78</v>
      </c>
      <c r="R434" s="4">
        <v>90.74</v>
      </c>
      <c r="S434" s="19">
        <v>280</v>
      </c>
      <c r="T434" s="19">
        <v>1604</v>
      </c>
      <c r="U434" s="19">
        <v>120</v>
      </c>
      <c r="V434" s="19">
        <v>292</v>
      </c>
      <c r="W434" s="19">
        <v>108</v>
      </c>
      <c r="X434" s="19">
        <v>1668</v>
      </c>
      <c r="Y434" s="19">
        <v>228</v>
      </c>
      <c r="Z434" s="19">
        <v>232</v>
      </c>
      <c r="AA434" s="14">
        <v>1</v>
      </c>
    </row>
    <row r="435" spans="1:27">
      <c r="A435" s="16">
        <v>46217.510416666664</v>
      </c>
      <c r="B435" s="17">
        <v>46217</v>
      </c>
      <c r="C435" s="18">
        <v>0.51041666666666663</v>
      </c>
      <c r="D435" t="s">
        <v>77</v>
      </c>
      <c r="E435" t="s">
        <v>143</v>
      </c>
      <c r="F435">
        <v>2</v>
      </c>
      <c r="G435" s="4">
        <v>104.3</v>
      </c>
      <c r="H435" s="4">
        <v>104.3</v>
      </c>
      <c r="I435" s="4">
        <v>78</v>
      </c>
      <c r="J435" s="4">
        <v>91.03</v>
      </c>
      <c r="K435" s="4">
        <v>91.03</v>
      </c>
      <c r="L435" s="4">
        <v>79.3</v>
      </c>
      <c r="M435" s="4">
        <v>90.53</v>
      </c>
      <c r="N435" s="4">
        <v>90.53</v>
      </c>
      <c r="O435" s="4">
        <v>85.27</v>
      </c>
      <c r="P435" s="4">
        <v>97.38</v>
      </c>
      <c r="Q435" s="4">
        <v>97.38</v>
      </c>
      <c r="R435" s="4">
        <v>85.33</v>
      </c>
      <c r="S435" s="19">
        <v>304</v>
      </c>
      <c r="T435" s="19">
        <v>1716</v>
      </c>
      <c r="U435" s="19">
        <v>48</v>
      </c>
      <c r="V435" s="19">
        <v>352</v>
      </c>
      <c r="W435" s="19">
        <v>92</v>
      </c>
      <c r="X435" s="19">
        <v>1552</v>
      </c>
      <c r="Y435" s="19">
        <v>236</v>
      </c>
      <c r="Z435" s="19">
        <v>268</v>
      </c>
      <c r="AA435" s="14">
        <v>1</v>
      </c>
    </row>
    <row r="436" spans="1:27">
      <c r="A436" s="16">
        <v>46217.520833333336</v>
      </c>
      <c r="B436" s="17">
        <v>46217</v>
      </c>
      <c r="C436" s="18">
        <v>0.52083333333333337</v>
      </c>
      <c r="D436" t="s">
        <v>77</v>
      </c>
      <c r="E436" t="s">
        <v>143</v>
      </c>
      <c r="F436">
        <v>2</v>
      </c>
      <c r="G436" s="4">
        <v>84.6</v>
      </c>
      <c r="H436" s="4">
        <v>84.6</v>
      </c>
      <c r="I436" s="4">
        <v>68.430000000000007</v>
      </c>
      <c r="J436" s="4">
        <v>84.06</v>
      </c>
      <c r="K436" s="4">
        <v>84.06</v>
      </c>
      <c r="L436" s="4">
        <v>82.25</v>
      </c>
      <c r="M436" s="4">
        <v>97.62</v>
      </c>
      <c r="N436" s="4">
        <v>97.62</v>
      </c>
      <c r="O436" s="4">
        <v>86.05</v>
      </c>
      <c r="P436" s="4">
        <v>60.16</v>
      </c>
      <c r="Q436" s="4">
        <v>60.16</v>
      </c>
      <c r="R436" s="4">
        <v>76.97</v>
      </c>
      <c r="S436" s="19">
        <v>212</v>
      </c>
      <c r="T436" s="19">
        <v>1880</v>
      </c>
      <c r="U436" s="19">
        <v>92</v>
      </c>
      <c r="V436" s="19">
        <v>368</v>
      </c>
      <c r="W436" s="19">
        <v>80</v>
      </c>
      <c r="X436" s="19">
        <v>1588</v>
      </c>
      <c r="Y436" s="19">
        <v>208</v>
      </c>
      <c r="Z436" s="19">
        <v>232</v>
      </c>
      <c r="AA436" s="14">
        <v>1</v>
      </c>
    </row>
    <row r="437" spans="1:27">
      <c r="A437" s="16">
        <v>46217.53125</v>
      </c>
      <c r="B437" s="17">
        <v>46217</v>
      </c>
      <c r="C437" s="18">
        <v>0.53125</v>
      </c>
      <c r="D437" t="s">
        <v>77</v>
      </c>
      <c r="E437" t="s">
        <v>143</v>
      </c>
      <c r="F437">
        <v>2</v>
      </c>
      <c r="G437" s="4">
        <v>93.03</v>
      </c>
      <c r="H437" s="4">
        <v>93.03</v>
      </c>
      <c r="I437" s="4">
        <v>70.53</v>
      </c>
      <c r="J437" s="4">
        <v>78.2</v>
      </c>
      <c r="K437" s="4">
        <v>78.2</v>
      </c>
      <c r="L437" s="4">
        <v>80.209999999999994</v>
      </c>
      <c r="M437" s="4">
        <v>106.42</v>
      </c>
      <c r="N437" s="4">
        <v>106.42</v>
      </c>
      <c r="O437" s="4">
        <v>82.93</v>
      </c>
      <c r="P437" s="4">
        <v>74.53</v>
      </c>
      <c r="Q437" s="4">
        <v>74.53</v>
      </c>
      <c r="R437" s="4">
        <v>83.63</v>
      </c>
      <c r="S437" s="19">
        <v>124</v>
      </c>
      <c r="T437" s="19">
        <v>1760</v>
      </c>
      <c r="U437" s="19">
        <v>144</v>
      </c>
      <c r="V437" s="19">
        <v>420</v>
      </c>
      <c r="W437" s="19">
        <v>72</v>
      </c>
      <c r="X437" s="19">
        <v>1624</v>
      </c>
      <c r="Y437" s="19">
        <v>176</v>
      </c>
      <c r="Z437" s="19">
        <v>272</v>
      </c>
      <c r="AA437" s="14">
        <v>1</v>
      </c>
    </row>
    <row r="438" spans="1:27">
      <c r="A438" s="16">
        <v>46217.541666666664</v>
      </c>
      <c r="B438" s="17">
        <v>46217</v>
      </c>
      <c r="C438" s="18">
        <v>0.54166666666666663</v>
      </c>
      <c r="D438" t="s">
        <v>77</v>
      </c>
      <c r="E438" t="s">
        <v>143</v>
      </c>
      <c r="F438">
        <v>2</v>
      </c>
      <c r="G438" s="4">
        <v>95.63</v>
      </c>
      <c r="H438" s="4">
        <v>95.63</v>
      </c>
      <c r="I438" s="4">
        <v>77.150000000000006</v>
      </c>
      <c r="J438" s="4">
        <v>77.67</v>
      </c>
      <c r="K438" s="4">
        <v>77.67</v>
      </c>
      <c r="L438" s="4">
        <v>84.07</v>
      </c>
      <c r="M438" s="4">
        <v>95.03</v>
      </c>
      <c r="N438" s="4">
        <v>95.03</v>
      </c>
      <c r="O438" s="4">
        <v>85.08</v>
      </c>
      <c r="P438" s="4">
        <v>105.32</v>
      </c>
      <c r="Q438" s="4">
        <v>105.32</v>
      </c>
      <c r="R438" s="4">
        <v>86.1</v>
      </c>
      <c r="S438" s="19">
        <v>264</v>
      </c>
      <c r="T438" s="19">
        <v>1732</v>
      </c>
      <c r="U438" s="19">
        <v>96</v>
      </c>
      <c r="V438" s="19">
        <v>332</v>
      </c>
      <c r="W438" s="19">
        <v>72</v>
      </c>
      <c r="X438" s="19">
        <v>1460</v>
      </c>
      <c r="Y438" s="19">
        <v>212</v>
      </c>
      <c r="Z438" s="19">
        <v>220</v>
      </c>
      <c r="AA438" s="14">
        <v>1</v>
      </c>
    </row>
    <row r="439" spans="1:27">
      <c r="A439" s="16">
        <v>46217.552083333336</v>
      </c>
      <c r="B439" s="17">
        <v>46217</v>
      </c>
      <c r="C439" s="18">
        <v>0.55208333333333337</v>
      </c>
      <c r="D439" t="s">
        <v>77</v>
      </c>
      <c r="E439" t="s">
        <v>143</v>
      </c>
      <c r="F439">
        <v>2</v>
      </c>
      <c r="G439" s="4">
        <v>77.28</v>
      </c>
      <c r="H439" s="4">
        <v>77.28</v>
      </c>
      <c r="I439" s="4">
        <v>80.400000000000006</v>
      </c>
      <c r="J439" s="4">
        <v>88.73</v>
      </c>
      <c r="K439" s="4">
        <v>88.73</v>
      </c>
      <c r="L439" s="4">
        <v>64.64</v>
      </c>
      <c r="M439" s="4">
        <v>87.4</v>
      </c>
      <c r="N439" s="4">
        <v>87.4</v>
      </c>
      <c r="O439" s="4">
        <v>56.25</v>
      </c>
      <c r="P439" s="4">
        <v>57.46</v>
      </c>
      <c r="Q439" s="4">
        <v>57.46</v>
      </c>
      <c r="R439" s="4">
        <v>82.52</v>
      </c>
      <c r="S439" s="19">
        <v>140</v>
      </c>
      <c r="T439" s="19">
        <v>1788</v>
      </c>
      <c r="U439" s="19">
        <v>132</v>
      </c>
      <c r="V439" s="19">
        <v>368</v>
      </c>
      <c r="W439" s="19">
        <v>152</v>
      </c>
      <c r="X439" s="19">
        <v>1728</v>
      </c>
      <c r="Y439" s="19">
        <v>144</v>
      </c>
      <c r="Z439" s="19">
        <v>232</v>
      </c>
      <c r="AA439" s="14">
        <v>1</v>
      </c>
    </row>
    <row r="440" spans="1:27">
      <c r="A440" s="16">
        <v>46217.5625</v>
      </c>
      <c r="B440" s="17">
        <v>46217</v>
      </c>
      <c r="C440" s="18">
        <v>0.5625</v>
      </c>
      <c r="D440" t="s">
        <v>77</v>
      </c>
      <c r="E440" t="s">
        <v>143</v>
      </c>
      <c r="F440">
        <v>2</v>
      </c>
      <c r="G440" s="4">
        <v>89.22</v>
      </c>
      <c r="H440" s="4">
        <v>89.22</v>
      </c>
      <c r="I440" s="4">
        <v>77.7</v>
      </c>
      <c r="J440" s="4">
        <v>112.2</v>
      </c>
      <c r="K440" s="4">
        <v>112.2</v>
      </c>
      <c r="L440" s="4">
        <v>61.25</v>
      </c>
      <c r="M440" s="4">
        <v>102.77</v>
      </c>
      <c r="N440" s="4">
        <v>102.77</v>
      </c>
      <c r="O440" s="4">
        <v>74.040000000000006</v>
      </c>
      <c r="P440" s="4">
        <v>99.78</v>
      </c>
      <c r="Q440" s="4">
        <v>99.78</v>
      </c>
      <c r="R440" s="4">
        <v>80.03</v>
      </c>
      <c r="S440" s="19">
        <v>120</v>
      </c>
      <c r="T440" s="19">
        <v>1708</v>
      </c>
      <c r="U440" s="19">
        <v>156</v>
      </c>
      <c r="V440" s="19">
        <v>328</v>
      </c>
      <c r="W440" s="19">
        <v>88</v>
      </c>
      <c r="X440" s="19">
        <v>1576</v>
      </c>
      <c r="Y440" s="19">
        <v>176</v>
      </c>
      <c r="Z440" s="19">
        <v>260</v>
      </c>
      <c r="AA440" s="14">
        <v>1</v>
      </c>
    </row>
    <row r="441" spans="1:27">
      <c r="A441" s="16">
        <v>46217.572916666664</v>
      </c>
      <c r="B441" s="17">
        <v>46217</v>
      </c>
      <c r="C441" s="18">
        <v>0.57291666666666663</v>
      </c>
      <c r="D441" t="s">
        <v>77</v>
      </c>
      <c r="E441" t="s">
        <v>143</v>
      </c>
      <c r="F441">
        <v>2</v>
      </c>
      <c r="G441" s="4">
        <v>98.55</v>
      </c>
      <c r="H441" s="4">
        <v>98.55</v>
      </c>
      <c r="I441" s="4">
        <v>80.900000000000006</v>
      </c>
      <c r="J441" s="4">
        <v>65.62</v>
      </c>
      <c r="K441" s="4">
        <v>65.62</v>
      </c>
      <c r="L441" s="4">
        <v>65.34</v>
      </c>
      <c r="M441" s="4">
        <v>85.03</v>
      </c>
      <c r="N441" s="4">
        <v>85.03</v>
      </c>
      <c r="O441" s="4">
        <v>84.63</v>
      </c>
      <c r="P441" s="4">
        <v>99.72</v>
      </c>
      <c r="Q441" s="4">
        <v>99.72</v>
      </c>
      <c r="R441" s="4">
        <v>85.38</v>
      </c>
      <c r="S441" s="19">
        <v>204</v>
      </c>
      <c r="T441" s="19">
        <v>1488</v>
      </c>
      <c r="U441" s="19">
        <v>104</v>
      </c>
      <c r="V441" s="19">
        <v>484</v>
      </c>
      <c r="W441" s="19">
        <v>112</v>
      </c>
      <c r="X441" s="19">
        <v>1676</v>
      </c>
      <c r="Y441" s="19">
        <v>416</v>
      </c>
      <c r="Z441" s="19">
        <v>224</v>
      </c>
      <c r="AA441" s="14">
        <v>1</v>
      </c>
    </row>
    <row r="442" spans="1:27">
      <c r="A442" s="16">
        <v>46217.583333333336</v>
      </c>
      <c r="B442" s="17">
        <v>46217</v>
      </c>
      <c r="C442" s="18">
        <v>0.58333333333333337</v>
      </c>
      <c r="D442" t="s">
        <v>77</v>
      </c>
      <c r="E442" t="s">
        <v>143</v>
      </c>
      <c r="F442">
        <v>2</v>
      </c>
      <c r="G442" s="4">
        <v>97.66</v>
      </c>
      <c r="H442" s="4">
        <v>97.66</v>
      </c>
      <c r="I442" s="4">
        <v>39.97</v>
      </c>
      <c r="J442" s="4">
        <v>104.97</v>
      </c>
      <c r="K442" s="4">
        <v>104.97</v>
      </c>
      <c r="L442" s="4">
        <v>71.72</v>
      </c>
      <c r="M442" s="4">
        <v>97.04</v>
      </c>
      <c r="N442" s="4">
        <v>97.04</v>
      </c>
      <c r="O442" s="4">
        <v>82</v>
      </c>
      <c r="P442" s="4">
        <v>52.22</v>
      </c>
      <c r="Q442" s="4">
        <v>52.22</v>
      </c>
      <c r="R442" s="4">
        <v>87.17</v>
      </c>
      <c r="S442" s="19">
        <v>156</v>
      </c>
      <c r="T442" s="19">
        <v>1736</v>
      </c>
      <c r="U442" s="19">
        <v>92</v>
      </c>
      <c r="V442" s="19">
        <v>288</v>
      </c>
      <c r="W442" s="19">
        <v>80</v>
      </c>
      <c r="X442" s="19">
        <v>1736</v>
      </c>
      <c r="Y442" s="19">
        <v>180</v>
      </c>
      <c r="Z442" s="19">
        <v>240</v>
      </c>
      <c r="AA442" s="14">
        <v>0</v>
      </c>
    </row>
    <row r="443" spans="1:27">
      <c r="A443" s="16">
        <v>46217.59375</v>
      </c>
      <c r="B443" s="17">
        <v>46217</v>
      </c>
      <c r="C443" s="18">
        <v>0.59375</v>
      </c>
      <c r="D443" t="s">
        <v>77</v>
      </c>
      <c r="E443" t="s">
        <v>143</v>
      </c>
      <c r="F443">
        <v>2</v>
      </c>
      <c r="G443" s="4">
        <v>85.98</v>
      </c>
      <c r="H443" s="4">
        <v>85.98</v>
      </c>
      <c r="I443" s="4">
        <v>61.9</v>
      </c>
      <c r="J443" s="4">
        <v>76.8</v>
      </c>
      <c r="K443" s="4">
        <v>76.8</v>
      </c>
      <c r="L443" s="4">
        <v>57.75</v>
      </c>
      <c r="M443" s="4">
        <v>95.9</v>
      </c>
      <c r="N443" s="4">
        <v>95.9</v>
      </c>
      <c r="O443" s="4">
        <v>87.1</v>
      </c>
      <c r="P443" s="4">
        <v>85.46</v>
      </c>
      <c r="Q443" s="4">
        <v>85.46</v>
      </c>
      <c r="R443" s="4">
        <v>78.319999999999993</v>
      </c>
      <c r="S443" s="19">
        <v>140</v>
      </c>
      <c r="T443" s="19">
        <v>1564</v>
      </c>
      <c r="U443" s="19">
        <v>120</v>
      </c>
      <c r="V443" s="19">
        <v>448</v>
      </c>
      <c r="W443" s="19">
        <v>40</v>
      </c>
      <c r="X443" s="19">
        <v>1576</v>
      </c>
      <c r="Y443" s="19">
        <v>136</v>
      </c>
      <c r="Z443" s="19">
        <v>256</v>
      </c>
      <c r="AA443" s="14">
        <v>1</v>
      </c>
    </row>
    <row r="444" spans="1:27">
      <c r="A444" s="16">
        <v>46217.604166666664</v>
      </c>
      <c r="B444" s="17">
        <v>46217</v>
      </c>
      <c r="C444" s="18">
        <v>0.60416666666666663</v>
      </c>
      <c r="D444" t="s">
        <v>77</v>
      </c>
      <c r="E444" t="s">
        <v>143</v>
      </c>
      <c r="F444">
        <v>2</v>
      </c>
      <c r="G444" s="4">
        <v>80.97</v>
      </c>
      <c r="H444" s="4">
        <v>80.97</v>
      </c>
      <c r="I444" s="4">
        <v>66.099999999999994</v>
      </c>
      <c r="J444" s="4">
        <v>81.260000000000005</v>
      </c>
      <c r="K444" s="4">
        <v>81.260000000000005</v>
      </c>
      <c r="L444" s="4">
        <v>47.4</v>
      </c>
      <c r="M444" s="4">
        <v>96.3</v>
      </c>
      <c r="N444" s="4">
        <v>96.3</v>
      </c>
      <c r="O444" s="4">
        <v>87.97</v>
      </c>
      <c r="P444" s="4">
        <v>75.36</v>
      </c>
      <c r="Q444" s="4">
        <v>75.36</v>
      </c>
      <c r="R444" s="4">
        <v>81.22</v>
      </c>
      <c r="S444" s="19">
        <v>212</v>
      </c>
      <c r="T444" s="19">
        <v>1636</v>
      </c>
      <c r="U444" s="19">
        <v>104</v>
      </c>
      <c r="V444" s="19">
        <v>396</v>
      </c>
      <c r="W444" s="19">
        <v>76</v>
      </c>
      <c r="X444" s="19">
        <v>1568</v>
      </c>
      <c r="Y444" s="19">
        <v>152</v>
      </c>
      <c r="Z444" s="19">
        <v>272</v>
      </c>
      <c r="AA444" s="14">
        <v>1</v>
      </c>
    </row>
    <row r="445" spans="1:27">
      <c r="A445" s="16">
        <v>46217.614583333336</v>
      </c>
      <c r="B445" s="17">
        <v>46217</v>
      </c>
      <c r="C445" s="18">
        <v>0.61458333333333337</v>
      </c>
      <c r="D445" t="s">
        <v>77</v>
      </c>
      <c r="E445" t="s">
        <v>143</v>
      </c>
      <c r="F445">
        <v>2</v>
      </c>
      <c r="G445" s="4">
        <v>98.3</v>
      </c>
      <c r="H445" s="4">
        <v>98.3</v>
      </c>
      <c r="I445" s="4">
        <v>80.5</v>
      </c>
      <c r="J445" s="4">
        <v>82.9</v>
      </c>
      <c r="K445" s="4">
        <v>82.9</v>
      </c>
      <c r="L445" s="4">
        <v>70.33</v>
      </c>
      <c r="M445" s="4">
        <v>95.7</v>
      </c>
      <c r="N445" s="4">
        <v>95.7</v>
      </c>
      <c r="O445" s="4">
        <v>77.599999999999994</v>
      </c>
      <c r="P445" s="4">
        <v>86.78</v>
      </c>
      <c r="Q445" s="4">
        <v>86.78</v>
      </c>
      <c r="R445" s="4">
        <v>51.23</v>
      </c>
      <c r="S445" s="19">
        <v>140</v>
      </c>
      <c r="T445" s="19">
        <v>1752</v>
      </c>
      <c r="U445" s="19">
        <v>120</v>
      </c>
      <c r="V445" s="19">
        <v>392</v>
      </c>
      <c r="W445" s="19">
        <v>84</v>
      </c>
      <c r="X445" s="19">
        <v>1640</v>
      </c>
      <c r="Y445" s="19">
        <v>184</v>
      </c>
      <c r="Z445" s="19">
        <v>240</v>
      </c>
      <c r="AA445" s="14">
        <v>1</v>
      </c>
    </row>
    <row r="446" spans="1:27">
      <c r="A446" s="16">
        <v>46217.625</v>
      </c>
      <c r="B446" s="17">
        <v>46217</v>
      </c>
      <c r="C446" s="18">
        <v>0.625</v>
      </c>
      <c r="D446" t="s">
        <v>77</v>
      </c>
      <c r="E446" t="s">
        <v>143</v>
      </c>
      <c r="F446">
        <v>2</v>
      </c>
      <c r="G446" s="4">
        <v>104.68</v>
      </c>
      <c r="H446" s="4">
        <v>104.68</v>
      </c>
      <c r="I446" s="4">
        <v>68.7</v>
      </c>
      <c r="J446" s="4">
        <v>69.38</v>
      </c>
      <c r="K446" s="4">
        <v>69.38</v>
      </c>
      <c r="L446" s="4">
        <v>79.400000000000006</v>
      </c>
      <c r="M446" s="4">
        <v>91.07</v>
      </c>
      <c r="N446" s="4">
        <v>91.07</v>
      </c>
      <c r="O446" s="4">
        <v>0</v>
      </c>
      <c r="P446" s="4">
        <v>97.13</v>
      </c>
      <c r="Q446" s="4">
        <v>97.13</v>
      </c>
      <c r="R446" s="4">
        <v>81.430000000000007</v>
      </c>
      <c r="S446" s="19">
        <v>168</v>
      </c>
      <c r="T446" s="19">
        <v>1688</v>
      </c>
      <c r="U446" s="19">
        <v>120</v>
      </c>
      <c r="V446" s="19">
        <v>268</v>
      </c>
      <c r="W446" s="19">
        <v>88</v>
      </c>
      <c r="X446" s="19">
        <v>1592</v>
      </c>
      <c r="Y446" s="19">
        <v>176</v>
      </c>
      <c r="Z446" s="19">
        <v>236</v>
      </c>
      <c r="AA446" s="14">
        <v>0</v>
      </c>
    </row>
    <row r="447" spans="1:27">
      <c r="A447" s="16">
        <v>46217.635416666664</v>
      </c>
      <c r="B447" s="17">
        <v>46217</v>
      </c>
      <c r="C447" s="18">
        <v>0.63541666666666663</v>
      </c>
      <c r="D447" t="s">
        <v>77</v>
      </c>
      <c r="E447" t="s">
        <v>143</v>
      </c>
      <c r="F447">
        <v>2</v>
      </c>
      <c r="G447" s="4">
        <v>80.150000000000006</v>
      </c>
      <c r="H447" s="4">
        <v>80.150000000000006</v>
      </c>
      <c r="I447" s="4">
        <v>82.58</v>
      </c>
      <c r="J447" s="4">
        <v>71.62</v>
      </c>
      <c r="K447" s="4">
        <v>71.62</v>
      </c>
      <c r="L447" s="4">
        <v>53.95</v>
      </c>
      <c r="M447" s="4">
        <v>110.75</v>
      </c>
      <c r="N447" s="4">
        <v>110.75</v>
      </c>
      <c r="O447" s="4">
        <v>86.1</v>
      </c>
      <c r="P447" s="4">
        <v>107.63</v>
      </c>
      <c r="Q447" s="4">
        <v>107.63</v>
      </c>
      <c r="R447" s="4">
        <v>95.73</v>
      </c>
      <c r="S447" s="19">
        <v>176</v>
      </c>
      <c r="T447" s="19">
        <v>1768</v>
      </c>
      <c r="U447" s="19">
        <v>156</v>
      </c>
      <c r="V447" s="19">
        <v>248</v>
      </c>
      <c r="W447" s="19">
        <v>92</v>
      </c>
      <c r="X447" s="19">
        <v>1516</v>
      </c>
      <c r="Y447" s="19">
        <v>148</v>
      </c>
      <c r="Z447" s="19">
        <v>216</v>
      </c>
      <c r="AA447" s="14">
        <v>1</v>
      </c>
    </row>
    <row r="448" spans="1:27">
      <c r="A448" s="16">
        <v>46217.645833333336</v>
      </c>
      <c r="B448" s="17">
        <v>46217</v>
      </c>
      <c r="C448" s="18">
        <v>0.64583333333333337</v>
      </c>
      <c r="D448" t="s">
        <v>77</v>
      </c>
      <c r="E448" t="s">
        <v>143</v>
      </c>
      <c r="F448">
        <v>2</v>
      </c>
      <c r="G448" s="4">
        <v>121.9</v>
      </c>
      <c r="H448" s="4">
        <v>121.9</v>
      </c>
      <c r="I448" s="4">
        <v>84.2</v>
      </c>
      <c r="J448" s="4">
        <v>97.7</v>
      </c>
      <c r="K448" s="4">
        <v>97.7</v>
      </c>
      <c r="L448" s="4">
        <v>71.599999999999994</v>
      </c>
      <c r="M448" s="4">
        <v>104.53</v>
      </c>
      <c r="N448" s="4">
        <v>104.53</v>
      </c>
      <c r="O448" s="4">
        <v>86.4</v>
      </c>
      <c r="P448" s="4">
        <v>111.3</v>
      </c>
      <c r="Q448" s="4">
        <v>111.3</v>
      </c>
      <c r="R448" s="4">
        <v>93</v>
      </c>
      <c r="S448" s="19">
        <v>248</v>
      </c>
      <c r="T448" s="19">
        <v>1760</v>
      </c>
      <c r="U448" s="19">
        <v>96</v>
      </c>
      <c r="V448" s="19">
        <v>436</v>
      </c>
      <c r="W448" s="19">
        <v>52</v>
      </c>
      <c r="X448" s="19">
        <v>1752</v>
      </c>
      <c r="Y448" s="19">
        <v>172</v>
      </c>
      <c r="Z448" s="19">
        <v>312</v>
      </c>
      <c r="AA448" s="14">
        <v>1</v>
      </c>
    </row>
    <row r="449" spans="1:27">
      <c r="A449" s="16">
        <v>46217.65625</v>
      </c>
      <c r="B449" s="17">
        <v>46217</v>
      </c>
      <c r="C449" s="18">
        <v>0.65625</v>
      </c>
      <c r="D449" t="s">
        <v>77</v>
      </c>
      <c r="E449" t="s">
        <v>143</v>
      </c>
      <c r="F449">
        <v>2</v>
      </c>
      <c r="G449" s="4">
        <v>108.78</v>
      </c>
      <c r="H449" s="4">
        <v>108.78</v>
      </c>
      <c r="I449" s="4">
        <v>89.73</v>
      </c>
      <c r="J449" s="4">
        <v>99.38</v>
      </c>
      <c r="K449" s="4">
        <v>99.38</v>
      </c>
      <c r="L449" s="4">
        <v>91.14</v>
      </c>
      <c r="M449" s="4">
        <v>111.07</v>
      </c>
      <c r="N449" s="4">
        <v>111.07</v>
      </c>
      <c r="O449" s="4">
        <v>82.5</v>
      </c>
      <c r="P449" s="4">
        <v>107.28</v>
      </c>
      <c r="Q449" s="4">
        <v>107.28</v>
      </c>
      <c r="R449" s="4">
        <v>89.77</v>
      </c>
      <c r="S449" s="19">
        <v>164</v>
      </c>
      <c r="T449" s="19">
        <v>1548</v>
      </c>
      <c r="U449" s="19">
        <v>128</v>
      </c>
      <c r="V449" s="19">
        <v>340</v>
      </c>
      <c r="W449" s="19">
        <v>92</v>
      </c>
      <c r="X449" s="19">
        <v>1636</v>
      </c>
      <c r="Y449" s="19">
        <v>180</v>
      </c>
      <c r="Z449" s="19">
        <v>264</v>
      </c>
      <c r="AA449" s="14">
        <v>1</v>
      </c>
    </row>
    <row r="450" spans="1:27">
      <c r="A450" s="16">
        <v>46217.666666666664</v>
      </c>
      <c r="B450" s="17">
        <v>46217</v>
      </c>
      <c r="C450" s="18">
        <v>0.66666666666666663</v>
      </c>
      <c r="D450" t="s">
        <v>77</v>
      </c>
      <c r="E450" t="s">
        <v>143</v>
      </c>
      <c r="F450">
        <v>2</v>
      </c>
      <c r="G450" s="4">
        <v>104.94</v>
      </c>
      <c r="H450" s="4">
        <v>104.94</v>
      </c>
      <c r="I450" s="4">
        <v>87.8</v>
      </c>
      <c r="J450" s="4">
        <v>68.87</v>
      </c>
      <c r="K450" s="4">
        <v>68.87</v>
      </c>
      <c r="L450" s="4">
        <v>62.96</v>
      </c>
      <c r="M450" s="4">
        <v>163.22999999999999</v>
      </c>
      <c r="N450" s="4">
        <v>163.22999999999999</v>
      </c>
      <c r="O450" s="4">
        <v>95.1</v>
      </c>
      <c r="P450" s="4">
        <v>96.62</v>
      </c>
      <c r="Q450" s="4">
        <v>96.62</v>
      </c>
      <c r="R450" s="4">
        <v>97.4</v>
      </c>
      <c r="S450" s="19">
        <v>424</v>
      </c>
      <c r="T450" s="19">
        <v>1684</v>
      </c>
      <c r="U450" s="19">
        <v>124</v>
      </c>
      <c r="V450" s="19">
        <v>420</v>
      </c>
      <c r="W450" s="19">
        <v>140</v>
      </c>
      <c r="X450" s="19">
        <v>1720</v>
      </c>
      <c r="Y450" s="19">
        <v>160</v>
      </c>
      <c r="Z450" s="19">
        <v>272</v>
      </c>
      <c r="AA450" s="14">
        <v>1</v>
      </c>
    </row>
    <row r="451" spans="1:27">
      <c r="A451" s="16">
        <v>46217.677083333336</v>
      </c>
      <c r="B451" s="17">
        <v>46217</v>
      </c>
      <c r="C451" s="18">
        <v>0.67708333333333337</v>
      </c>
      <c r="D451" t="s">
        <v>77</v>
      </c>
      <c r="E451" t="s">
        <v>143</v>
      </c>
      <c r="F451">
        <v>2</v>
      </c>
      <c r="G451" s="4">
        <v>81</v>
      </c>
      <c r="H451" s="4">
        <v>81</v>
      </c>
      <c r="I451" s="4">
        <v>84.05</v>
      </c>
      <c r="J451" s="4">
        <v>106.47</v>
      </c>
      <c r="K451" s="4">
        <v>106.47</v>
      </c>
      <c r="L451" s="4">
        <v>81.099999999999994</v>
      </c>
      <c r="M451" s="4">
        <v>115.3</v>
      </c>
      <c r="N451" s="4">
        <v>115.3</v>
      </c>
      <c r="O451" s="4">
        <v>93.07</v>
      </c>
      <c r="P451" s="4">
        <v>110.94</v>
      </c>
      <c r="Q451" s="4">
        <v>110.94</v>
      </c>
      <c r="R451" s="4">
        <v>104.63</v>
      </c>
      <c r="S451" s="19">
        <v>256</v>
      </c>
      <c r="T451" s="19">
        <v>1856</v>
      </c>
      <c r="U451" s="19">
        <v>176</v>
      </c>
      <c r="V451" s="19">
        <v>400</v>
      </c>
      <c r="W451" s="19">
        <v>112</v>
      </c>
      <c r="X451" s="19">
        <v>1632</v>
      </c>
      <c r="Y451" s="19">
        <v>276</v>
      </c>
      <c r="Z451" s="19">
        <v>328</v>
      </c>
      <c r="AA451" s="14">
        <v>1</v>
      </c>
    </row>
    <row r="452" spans="1:27">
      <c r="A452" s="16">
        <v>46217.6875</v>
      </c>
      <c r="B452" s="17">
        <v>46217</v>
      </c>
      <c r="C452" s="18">
        <v>0.6875</v>
      </c>
      <c r="D452" t="s">
        <v>77</v>
      </c>
      <c r="E452" t="s">
        <v>143</v>
      </c>
      <c r="F452">
        <v>2</v>
      </c>
      <c r="G452" s="4">
        <v>113</v>
      </c>
      <c r="H452" s="4">
        <v>113</v>
      </c>
      <c r="I452" s="4">
        <v>81.77</v>
      </c>
      <c r="J452" s="4">
        <v>96</v>
      </c>
      <c r="K452" s="4">
        <v>96</v>
      </c>
      <c r="L452" s="4">
        <v>81.48</v>
      </c>
      <c r="M452" s="4">
        <v>106.8</v>
      </c>
      <c r="N452" s="4">
        <v>106.8</v>
      </c>
      <c r="O452" s="4">
        <v>97.9</v>
      </c>
      <c r="P452" s="4">
        <v>108.88</v>
      </c>
      <c r="Q452" s="4">
        <v>108.88</v>
      </c>
      <c r="R452" s="4">
        <v>109.3</v>
      </c>
      <c r="S452" s="19">
        <v>280</v>
      </c>
      <c r="T452" s="19">
        <v>1732</v>
      </c>
      <c r="U452" s="19">
        <v>92</v>
      </c>
      <c r="V452" s="19">
        <v>324</v>
      </c>
      <c r="W452" s="19">
        <v>108</v>
      </c>
      <c r="X452" s="19">
        <v>1816</v>
      </c>
      <c r="Y452" s="19">
        <v>168</v>
      </c>
      <c r="Z452" s="19">
        <v>264</v>
      </c>
      <c r="AA452" s="14">
        <v>1</v>
      </c>
    </row>
    <row r="453" spans="1:27">
      <c r="A453" s="16">
        <v>46217.697916666664</v>
      </c>
      <c r="B453" s="17">
        <v>46217</v>
      </c>
      <c r="C453" s="18">
        <v>0.69791666666666663</v>
      </c>
      <c r="D453" t="s">
        <v>77</v>
      </c>
      <c r="E453" t="s">
        <v>143</v>
      </c>
      <c r="F453">
        <v>2</v>
      </c>
      <c r="G453" s="4">
        <v>103.2</v>
      </c>
      <c r="H453" s="4">
        <v>103.2</v>
      </c>
      <c r="I453" s="4">
        <v>95.05</v>
      </c>
      <c r="J453" s="4">
        <v>109</v>
      </c>
      <c r="K453" s="4">
        <v>109</v>
      </c>
      <c r="L453" s="4">
        <v>65.8</v>
      </c>
      <c r="M453" s="4">
        <v>109.53</v>
      </c>
      <c r="N453" s="4">
        <v>109.53</v>
      </c>
      <c r="O453" s="4">
        <v>96.8</v>
      </c>
      <c r="P453" s="4">
        <v>98.7</v>
      </c>
      <c r="Q453" s="4">
        <v>98.7</v>
      </c>
      <c r="R453" s="4">
        <v>90.95</v>
      </c>
      <c r="S453" s="19">
        <v>224</v>
      </c>
      <c r="T453" s="19">
        <v>1812</v>
      </c>
      <c r="U453" s="19">
        <v>136</v>
      </c>
      <c r="V453" s="19">
        <v>328</v>
      </c>
      <c r="W453" s="19">
        <v>88</v>
      </c>
      <c r="X453" s="19">
        <v>1892</v>
      </c>
      <c r="Y453" s="19">
        <v>160</v>
      </c>
      <c r="Z453" s="19">
        <v>268</v>
      </c>
      <c r="AA453" s="14">
        <v>1</v>
      </c>
    </row>
    <row r="454" spans="1:27">
      <c r="A454" s="16">
        <v>46217.708333333336</v>
      </c>
      <c r="B454" s="17">
        <v>46217</v>
      </c>
      <c r="C454" s="18">
        <v>0.70833333333333337</v>
      </c>
      <c r="D454" t="s">
        <v>77</v>
      </c>
      <c r="E454" t="s">
        <v>143</v>
      </c>
      <c r="F454">
        <v>2</v>
      </c>
      <c r="G454" s="4">
        <v>110.3</v>
      </c>
      <c r="H454" s="4">
        <v>110.3</v>
      </c>
      <c r="I454" s="4">
        <v>86.03</v>
      </c>
      <c r="J454" s="4">
        <v>63.94</v>
      </c>
      <c r="K454" s="4">
        <v>63.94</v>
      </c>
      <c r="L454" s="4">
        <v>95.52</v>
      </c>
      <c r="M454" s="4">
        <v>105.75</v>
      </c>
      <c r="N454" s="4">
        <v>105.75</v>
      </c>
      <c r="O454" s="4">
        <v>96.6</v>
      </c>
      <c r="P454" s="4">
        <v>64.400000000000006</v>
      </c>
      <c r="Q454" s="4">
        <v>64.400000000000006</v>
      </c>
      <c r="R454" s="4">
        <v>92.3</v>
      </c>
      <c r="S454" s="19">
        <v>232</v>
      </c>
      <c r="T454" s="19">
        <v>2044</v>
      </c>
      <c r="U454" s="19">
        <v>240</v>
      </c>
      <c r="V454" s="19">
        <v>376</v>
      </c>
      <c r="W454" s="19">
        <v>56</v>
      </c>
      <c r="X454" s="19">
        <v>2240</v>
      </c>
      <c r="Y454" s="19">
        <v>164</v>
      </c>
      <c r="Z454" s="19">
        <v>276</v>
      </c>
      <c r="AA454" s="14">
        <v>1</v>
      </c>
    </row>
    <row r="455" spans="1:27">
      <c r="A455" s="16">
        <v>46217.71875</v>
      </c>
      <c r="B455" s="17">
        <v>46217</v>
      </c>
      <c r="C455" s="18">
        <v>0.71875</v>
      </c>
      <c r="D455" t="s">
        <v>77</v>
      </c>
      <c r="E455" t="s">
        <v>143</v>
      </c>
      <c r="F455">
        <v>2</v>
      </c>
      <c r="G455" s="4">
        <v>97.67</v>
      </c>
      <c r="H455" s="4">
        <v>97.67</v>
      </c>
      <c r="I455" s="4">
        <v>96.5</v>
      </c>
      <c r="J455" s="4">
        <v>84.2</v>
      </c>
      <c r="K455" s="4">
        <v>84.2</v>
      </c>
      <c r="L455" s="4">
        <v>88.3</v>
      </c>
      <c r="M455" s="4">
        <v>117.2</v>
      </c>
      <c r="N455" s="4">
        <v>117.2</v>
      </c>
      <c r="O455" s="4">
        <v>94.77</v>
      </c>
      <c r="P455" s="4">
        <v>88.92</v>
      </c>
      <c r="Q455" s="4">
        <v>88.92</v>
      </c>
      <c r="R455" s="4">
        <v>0</v>
      </c>
      <c r="S455" s="19">
        <v>148</v>
      </c>
      <c r="T455" s="19">
        <v>1928</v>
      </c>
      <c r="U455" s="19">
        <v>120</v>
      </c>
      <c r="V455" s="19">
        <v>368</v>
      </c>
      <c r="W455" s="19">
        <v>104</v>
      </c>
      <c r="X455" s="19">
        <v>1920</v>
      </c>
      <c r="Y455" s="19">
        <v>164</v>
      </c>
      <c r="Z455" s="19">
        <v>268</v>
      </c>
      <c r="AA455" s="14">
        <v>1</v>
      </c>
    </row>
    <row r="456" spans="1:27">
      <c r="A456" s="16">
        <v>46217.729166666664</v>
      </c>
      <c r="B456" s="17">
        <v>46217</v>
      </c>
      <c r="C456" s="18">
        <v>0.72916666666666663</v>
      </c>
      <c r="D456" t="s">
        <v>77</v>
      </c>
      <c r="E456" t="s">
        <v>143</v>
      </c>
      <c r="F456">
        <v>2</v>
      </c>
      <c r="G456" s="4">
        <v>102.72</v>
      </c>
      <c r="H456" s="4">
        <v>102.72</v>
      </c>
      <c r="I456" s="4">
        <v>93.45</v>
      </c>
      <c r="J456" s="4">
        <v>118.55</v>
      </c>
      <c r="K456" s="4">
        <v>118.55</v>
      </c>
      <c r="L456" s="4">
        <v>96.33</v>
      </c>
      <c r="M456" s="4">
        <v>116.8</v>
      </c>
      <c r="N456" s="4">
        <v>116.8</v>
      </c>
      <c r="O456" s="4">
        <v>96.83</v>
      </c>
      <c r="P456" s="4">
        <v>101.55</v>
      </c>
      <c r="Q456" s="4">
        <v>101.55</v>
      </c>
      <c r="R456" s="4">
        <v>0</v>
      </c>
      <c r="S456" s="19">
        <v>200</v>
      </c>
      <c r="T456" s="19">
        <v>1904</v>
      </c>
      <c r="U456" s="19">
        <v>132</v>
      </c>
      <c r="V456" s="19">
        <v>356</v>
      </c>
      <c r="W456" s="19">
        <v>40</v>
      </c>
      <c r="X456" s="19">
        <v>1940</v>
      </c>
      <c r="Y456" s="19">
        <v>188</v>
      </c>
      <c r="Z456" s="19">
        <v>248</v>
      </c>
      <c r="AA456" s="14">
        <v>1</v>
      </c>
    </row>
    <row r="457" spans="1:27">
      <c r="A457" s="16">
        <v>46217.739583333336</v>
      </c>
      <c r="B457" s="17">
        <v>46217</v>
      </c>
      <c r="C457" s="18">
        <v>0.73958333333333337</v>
      </c>
      <c r="D457" t="s">
        <v>77</v>
      </c>
      <c r="E457" t="s">
        <v>143</v>
      </c>
      <c r="F457">
        <v>2</v>
      </c>
      <c r="G457" s="4">
        <v>96.8</v>
      </c>
      <c r="H457" s="4">
        <v>96.8</v>
      </c>
      <c r="I457" s="4">
        <v>0</v>
      </c>
      <c r="J457" s="4">
        <v>106.93</v>
      </c>
      <c r="K457" s="4">
        <v>106.93</v>
      </c>
      <c r="L457" s="4">
        <v>93.9</v>
      </c>
      <c r="M457" s="4">
        <v>112.2</v>
      </c>
      <c r="N457" s="4">
        <v>112.2</v>
      </c>
      <c r="O457" s="4">
        <v>98</v>
      </c>
      <c r="P457" s="4">
        <v>74.17</v>
      </c>
      <c r="Q457" s="4">
        <v>74.17</v>
      </c>
      <c r="R457" s="4">
        <v>0</v>
      </c>
      <c r="S457" s="19">
        <v>148</v>
      </c>
      <c r="T457" s="19">
        <v>1876</v>
      </c>
      <c r="U457" s="19">
        <v>168</v>
      </c>
      <c r="V457" s="19">
        <v>332</v>
      </c>
      <c r="W457" s="19">
        <v>84</v>
      </c>
      <c r="X457" s="19">
        <v>2108</v>
      </c>
      <c r="Y457" s="19">
        <v>152</v>
      </c>
      <c r="Z457" s="19">
        <v>256</v>
      </c>
      <c r="AA457" s="14">
        <v>1</v>
      </c>
    </row>
    <row r="458" spans="1:27">
      <c r="A458" s="16">
        <v>46217.75</v>
      </c>
      <c r="B458" s="17">
        <v>46217</v>
      </c>
      <c r="C458" s="18">
        <v>0.75</v>
      </c>
      <c r="D458" t="s">
        <v>77</v>
      </c>
      <c r="E458" t="s">
        <v>143</v>
      </c>
      <c r="F458">
        <v>2</v>
      </c>
      <c r="G458" s="4">
        <v>102.87</v>
      </c>
      <c r="H458" s="4">
        <v>102.87</v>
      </c>
      <c r="I458" s="4">
        <v>94.2</v>
      </c>
      <c r="J458" s="4">
        <v>96.85</v>
      </c>
      <c r="K458" s="4">
        <v>96.85</v>
      </c>
      <c r="L458" s="4">
        <v>92.48</v>
      </c>
      <c r="M458" s="4">
        <v>110.67</v>
      </c>
      <c r="N458" s="4">
        <v>110.67</v>
      </c>
      <c r="O458" s="4">
        <v>94.87</v>
      </c>
      <c r="P458" s="4">
        <v>74.97</v>
      </c>
      <c r="Q458" s="4">
        <v>74.97</v>
      </c>
      <c r="R458" s="4">
        <v>97.8</v>
      </c>
      <c r="S458" s="19">
        <v>200</v>
      </c>
      <c r="T458" s="19">
        <v>1844</v>
      </c>
      <c r="U458" s="19">
        <v>112</v>
      </c>
      <c r="V458" s="19">
        <v>376</v>
      </c>
      <c r="W458" s="19">
        <v>68</v>
      </c>
      <c r="X458" s="19">
        <v>2180</v>
      </c>
      <c r="Y458" s="19">
        <v>148</v>
      </c>
      <c r="Z458" s="19">
        <v>300</v>
      </c>
      <c r="AA458" s="14">
        <v>1</v>
      </c>
    </row>
    <row r="459" spans="1:27">
      <c r="A459" s="16">
        <v>46217.760416666664</v>
      </c>
      <c r="B459" s="17">
        <v>46217</v>
      </c>
      <c r="C459" s="18">
        <v>0.76041666666666663</v>
      </c>
      <c r="D459" t="s">
        <v>77</v>
      </c>
      <c r="E459" t="s">
        <v>143</v>
      </c>
      <c r="F459">
        <v>2</v>
      </c>
      <c r="G459" s="4">
        <v>108.87</v>
      </c>
      <c r="H459" s="4">
        <v>108.87</v>
      </c>
      <c r="I459" s="4">
        <v>90.27</v>
      </c>
      <c r="J459" s="4">
        <v>107.66</v>
      </c>
      <c r="K459" s="4">
        <v>107.66</v>
      </c>
      <c r="L459" s="4">
        <v>96.63</v>
      </c>
      <c r="M459" s="4">
        <v>116</v>
      </c>
      <c r="N459" s="4">
        <v>116</v>
      </c>
      <c r="O459" s="4">
        <v>98.37</v>
      </c>
      <c r="P459" s="4">
        <v>64</v>
      </c>
      <c r="Q459" s="4">
        <v>64</v>
      </c>
      <c r="R459" s="4">
        <v>97.63</v>
      </c>
      <c r="S459" s="19">
        <v>124</v>
      </c>
      <c r="T459" s="19">
        <v>1892</v>
      </c>
      <c r="U459" s="19">
        <v>132</v>
      </c>
      <c r="V459" s="19">
        <v>360</v>
      </c>
      <c r="W459" s="19">
        <v>100</v>
      </c>
      <c r="X459" s="19">
        <v>2024</v>
      </c>
      <c r="Y459" s="19">
        <v>164</v>
      </c>
      <c r="Z459" s="19">
        <v>232</v>
      </c>
      <c r="AA459" s="14">
        <v>1</v>
      </c>
    </row>
    <row r="460" spans="1:27">
      <c r="A460" s="16">
        <v>46217.770833333336</v>
      </c>
      <c r="B460" s="17">
        <v>46217</v>
      </c>
      <c r="C460" s="18">
        <v>0.77083333333333337</v>
      </c>
      <c r="D460" t="s">
        <v>77</v>
      </c>
      <c r="E460" t="s">
        <v>143</v>
      </c>
      <c r="F460">
        <v>2</v>
      </c>
      <c r="G460" s="4">
        <v>111.05</v>
      </c>
      <c r="H460" s="4">
        <v>111.05</v>
      </c>
      <c r="I460" s="4">
        <v>0</v>
      </c>
      <c r="J460" s="4">
        <v>75.83</v>
      </c>
      <c r="K460" s="4">
        <v>75.83</v>
      </c>
      <c r="L460" s="4">
        <v>84.06</v>
      </c>
      <c r="M460" s="4">
        <v>113.27</v>
      </c>
      <c r="N460" s="4">
        <v>113.27</v>
      </c>
      <c r="O460" s="4">
        <v>88.2</v>
      </c>
      <c r="P460" s="4">
        <v>73.75</v>
      </c>
      <c r="Q460" s="4">
        <v>73.75</v>
      </c>
      <c r="R460" s="4">
        <v>92.95</v>
      </c>
      <c r="S460" s="19">
        <v>196</v>
      </c>
      <c r="T460" s="19">
        <v>1904</v>
      </c>
      <c r="U460" s="19">
        <v>92</v>
      </c>
      <c r="V460" s="19">
        <v>288</v>
      </c>
      <c r="W460" s="19">
        <v>84</v>
      </c>
      <c r="X460" s="19">
        <v>2056</v>
      </c>
      <c r="Y460" s="19">
        <v>128</v>
      </c>
      <c r="Z460" s="19">
        <v>204</v>
      </c>
      <c r="AA460" s="14">
        <v>1</v>
      </c>
    </row>
    <row r="461" spans="1:27">
      <c r="A461" s="16">
        <v>46217.78125</v>
      </c>
      <c r="B461" s="17">
        <v>46217</v>
      </c>
      <c r="C461" s="18">
        <v>0.78125</v>
      </c>
      <c r="D461" t="s">
        <v>77</v>
      </c>
      <c r="E461" t="s">
        <v>143</v>
      </c>
      <c r="F461">
        <v>2</v>
      </c>
      <c r="G461" s="4">
        <v>106.22</v>
      </c>
      <c r="H461" s="4">
        <v>106.22</v>
      </c>
      <c r="I461" s="4">
        <v>91.1</v>
      </c>
      <c r="J461" s="4">
        <v>100.1</v>
      </c>
      <c r="K461" s="4">
        <v>100.1</v>
      </c>
      <c r="L461" s="4">
        <v>81.7</v>
      </c>
      <c r="M461" s="4">
        <v>105.22</v>
      </c>
      <c r="N461" s="4">
        <v>105.22</v>
      </c>
      <c r="O461" s="4">
        <v>95.5</v>
      </c>
      <c r="P461" s="4">
        <v>87.36</v>
      </c>
      <c r="Q461" s="4">
        <v>87.36</v>
      </c>
      <c r="R461" s="4">
        <v>85.53</v>
      </c>
      <c r="S461" s="19">
        <v>172</v>
      </c>
      <c r="T461" s="19">
        <v>2008</v>
      </c>
      <c r="U461" s="19">
        <v>104</v>
      </c>
      <c r="V461" s="19">
        <v>328</v>
      </c>
      <c r="W461" s="19">
        <v>96</v>
      </c>
      <c r="X461" s="19">
        <v>1864</v>
      </c>
      <c r="Y461" s="19">
        <v>244</v>
      </c>
      <c r="Z461" s="19">
        <v>280</v>
      </c>
      <c r="AA461" s="14">
        <v>1</v>
      </c>
    </row>
    <row r="462" spans="1:27">
      <c r="A462" s="16">
        <v>46217.791666666664</v>
      </c>
      <c r="B462" s="17">
        <v>46217</v>
      </c>
      <c r="C462" s="18">
        <v>0.79166666666666663</v>
      </c>
      <c r="D462" t="s">
        <v>77</v>
      </c>
      <c r="E462" t="s">
        <v>143</v>
      </c>
      <c r="F462">
        <v>2</v>
      </c>
      <c r="G462" s="4">
        <v>110.38</v>
      </c>
      <c r="H462" s="4">
        <v>110.38</v>
      </c>
      <c r="I462" s="4">
        <v>79.33</v>
      </c>
      <c r="J462" s="4">
        <v>93.63</v>
      </c>
      <c r="K462" s="4">
        <v>93.63</v>
      </c>
      <c r="L462" s="4">
        <v>72.92</v>
      </c>
      <c r="M462" s="4">
        <v>114.04</v>
      </c>
      <c r="N462" s="4">
        <v>114.04</v>
      </c>
      <c r="O462" s="4">
        <v>78.099999999999994</v>
      </c>
      <c r="P462" s="4">
        <v>46.35</v>
      </c>
      <c r="Q462" s="4">
        <v>46.35</v>
      </c>
      <c r="R462" s="4">
        <v>112.05</v>
      </c>
      <c r="S462" s="19">
        <v>192</v>
      </c>
      <c r="T462" s="19">
        <v>1888</v>
      </c>
      <c r="U462" s="19">
        <v>88</v>
      </c>
      <c r="V462" s="19">
        <v>356</v>
      </c>
      <c r="W462" s="19">
        <v>112</v>
      </c>
      <c r="X462" s="19">
        <v>1832</v>
      </c>
      <c r="Y462" s="19">
        <v>156</v>
      </c>
      <c r="Z462" s="19">
        <v>232</v>
      </c>
      <c r="AA462" s="14">
        <v>1</v>
      </c>
    </row>
    <row r="463" spans="1:27">
      <c r="A463" s="16">
        <v>46217.802083333336</v>
      </c>
      <c r="B463" s="17">
        <v>46217</v>
      </c>
      <c r="C463" s="18">
        <v>0.80208333333333337</v>
      </c>
      <c r="D463" t="s">
        <v>77</v>
      </c>
      <c r="E463" t="s">
        <v>143</v>
      </c>
      <c r="F463">
        <v>2</v>
      </c>
      <c r="G463" s="4">
        <v>100.6</v>
      </c>
      <c r="H463" s="4">
        <v>100.6</v>
      </c>
      <c r="I463" s="4">
        <v>69.95</v>
      </c>
      <c r="J463" s="4">
        <v>73.08</v>
      </c>
      <c r="K463" s="4">
        <v>73.08</v>
      </c>
      <c r="L463" s="4">
        <v>51</v>
      </c>
      <c r="M463" s="4">
        <v>86.1</v>
      </c>
      <c r="N463" s="4">
        <v>86.1</v>
      </c>
      <c r="O463" s="4">
        <v>96.6</v>
      </c>
      <c r="P463" s="4">
        <v>75.03</v>
      </c>
      <c r="Q463" s="4">
        <v>75.03</v>
      </c>
      <c r="R463" s="4">
        <v>79.16</v>
      </c>
      <c r="S463" s="19">
        <v>272</v>
      </c>
      <c r="T463" s="19">
        <v>1704</v>
      </c>
      <c r="U463" s="19">
        <v>68</v>
      </c>
      <c r="V463" s="19">
        <v>332</v>
      </c>
      <c r="W463" s="19">
        <v>84</v>
      </c>
      <c r="X463" s="19">
        <v>1720</v>
      </c>
      <c r="Y463" s="19">
        <v>276</v>
      </c>
      <c r="Z463" s="19">
        <v>244</v>
      </c>
      <c r="AA463" s="14">
        <v>1</v>
      </c>
    </row>
    <row r="464" spans="1:27">
      <c r="A464" s="16">
        <v>46217.8125</v>
      </c>
      <c r="B464" s="17">
        <v>46217</v>
      </c>
      <c r="C464" s="18">
        <v>0.8125</v>
      </c>
      <c r="D464" t="s">
        <v>77</v>
      </c>
      <c r="E464" t="s">
        <v>143</v>
      </c>
      <c r="F464">
        <v>2</v>
      </c>
      <c r="G464" s="4">
        <v>87.62</v>
      </c>
      <c r="H464" s="4">
        <v>87.62</v>
      </c>
      <c r="I464" s="4">
        <v>61.65</v>
      </c>
      <c r="J464" s="4">
        <v>49.7</v>
      </c>
      <c r="K464" s="4">
        <v>49.7</v>
      </c>
      <c r="L464" s="4">
        <v>77.150000000000006</v>
      </c>
      <c r="M464" s="4">
        <v>95.43</v>
      </c>
      <c r="N464" s="4">
        <v>95.43</v>
      </c>
      <c r="O464" s="4">
        <v>82.07</v>
      </c>
      <c r="P464" s="4">
        <v>105</v>
      </c>
      <c r="Q464" s="4">
        <v>105</v>
      </c>
      <c r="R464" s="4">
        <v>85.1</v>
      </c>
      <c r="S464" s="19">
        <v>116</v>
      </c>
      <c r="T464" s="19">
        <v>1752</v>
      </c>
      <c r="U464" s="19">
        <v>128</v>
      </c>
      <c r="V464" s="19">
        <v>272</v>
      </c>
      <c r="W464" s="19">
        <v>84</v>
      </c>
      <c r="X464" s="19">
        <v>1784</v>
      </c>
      <c r="Y464" s="19">
        <v>268</v>
      </c>
      <c r="Z464" s="19">
        <v>156</v>
      </c>
      <c r="AA464" s="14">
        <v>1</v>
      </c>
    </row>
    <row r="465" spans="1:27">
      <c r="A465" s="16">
        <v>46217.822916666664</v>
      </c>
      <c r="B465" s="17">
        <v>46217</v>
      </c>
      <c r="C465" s="18">
        <v>0.82291666666666663</v>
      </c>
      <c r="D465" t="s">
        <v>77</v>
      </c>
      <c r="E465" t="s">
        <v>143</v>
      </c>
      <c r="F465">
        <v>2</v>
      </c>
      <c r="G465" s="4">
        <v>109</v>
      </c>
      <c r="H465" s="4">
        <v>109</v>
      </c>
      <c r="I465" s="4">
        <v>50.9</v>
      </c>
      <c r="J465" s="4">
        <v>80.5</v>
      </c>
      <c r="K465" s="4">
        <v>80.5</v>
      </c>
      <c r="L465" s="4">
        <v>72.5</v>
      </c>
      <c r="M465" s="4">
        <v>84.05</v>
      </c>
      <c r="N465" s="4">
        <v>84.05</v>
      </c>
      <c r="O465" s="4">
        <v>83.87</v>
      </c>
      <c r="P465" s="4">
        <v>45.9</v>
      </c>
      <c r="Q465" s="4">
        <v>45.9</v>
      </c>
      <c r="R465" s="4">
        <v>85.7</v>
      </c>
      <c r="S465" s="19">
        <v>204</v>
      </c>
      <c r="T465" s="19">
        <v>1784</v>
      </c>
      <c r="U465" s="19">
        <v>120</v>
      </c>
      <c r="V465" s="19">
        <v>248</v>
      </c>
      <c r="W465" s="19">
        <v>92</v>
      </c>
      <c r="X465" s="19">
        <v>1800</v>
      </c>
      <c r="Y465" s="19">
        <v>128</v>
      </c>
      <c r="Z465" s="19">
        <v>192</v>
      </c>
      <c r="AA465" s="14">
        <v>0</v>
      </c>
    </row>
    <row r="466" spans="1:27">
      <c r="A466" s="16">
        <v>46217.833333333336</v>
      </c>
      <c r="B466" s="17">
        <v>46217</v>
      </c>
      <c r="C466" s="18">
        <v>0.83333333333333337</v>
      </c>
      <c r="D466" t="s">
        <v>77</v>
      </c>
      <c r="E466" t="s">
        <v>143</v>
      </c>
      <c r="F466">
        <v>2</v>
      </c>
      <c r="G466" s="4">
        <v>84.72</v>
      </c>
      <c r="H466" s="4">
        <v>84.72</v>
      </c>
      <c r="I466" s="4">
        <v>58.58</v>
      </c>
      <c r="J466" s="4">
        <v>81.180000000000007</v>
      </c>
      <c r="K466" s="4">
        <v>81.180000000000007</v>
      </c>
      <c r="L466" s="4">
        <v>72.02</v>
      </c>
      <c r="M466" s="4">
        <v>74.28</v>
      </c>
      <c r="N466" s="4">
        <v>74.28</v>
      </c>
      <c r="O466" s="4">
        <v>73.02</v>
      </c>
      <c r="P466" s="4">
        <v>84.82</v>
      </c>
      <c r="Q466" s="4">
        <v>84.82</v>
      </c>
      <c r="R466" s="4">
        <v>81.47</v>
      </c>
      <c r="S466" s="19">
        <v>228</v>
      </c>
      <c r="T466" s="19">
        <v>1792</v>
      </c>
      <c r="U466" s="19">
        <v>120</v>
      </c>
      <c r="V466" s="19">
        <v>212</v>
      </c>
      <c r="W466" s="19">
        <v>68</v>
      </c>
      <c r="X466" s="19">
        <v>1480</v>
      </c>
      <c r="Y466" s="19">
        <v>188</v>
      </c>
      <c r="Z466" s="19">
        <v>160</v>
      </c>
      <c r="AA466" s="14">
        <v>1</v>
      </c>
    </row>
    <row r="467" spans="1:27">
      <c r="A467" s="16">
        <v>46217.84375</v>
      </c>
      <c r="B467" s="17">
        <v>46217</v>
      </c>
      <c r="C467" s="18">
        <v>0.84375</v>
      </c>
      <c r="D467" t="s">
        <v>77</v>
      </c>
      <c r="E467" t="s">
        <v>143</v>
      </c>
      <c r="F467">
        <v>2</v>
      </c>
      <c r="G467" s="4">
        <v>79.930000000000007</v>
      </c>
      <c r="H467" s="4">
        <v>79.930000000000007</v>
      </c>
      <c r="I467" s="4">
        <v>48.03</v>
      </c>
      <c r="J467" s="4">
        <v>78.22</v>
      </c>
      <c r="K467" s="4">
        <v>78.22</v>
      </c>
      <c r="L467" s="4">
        <v>63.16</v>
      </c>
      <c r="M467" s="4">
        <v>106.93</v>
      </c>
      <c r="N467" s="4">
        <v>106.93</v>
      </c>
      <c r="O467" s="4">
        <v>73.900000000000006</v>
      </c>
      <c r="P467" s="4">
        <v>52.17</v>
      </c>
      <c r="Q467" s="4">
        <v>52.17</v>
      </c>
      <c r="R467" s="4">
        <v>74.36</v>
      </c>
      <c r="S467" s="19">
        <v>180</v>
      </c>
      <c r="T467" s="19">
        <v>1464</v>
      </c>
      <c r="U467" s="19">
        <v>116</v>
      </c>
      <c r="V467" s="19">
        <v>404</v>
      </c>
      <c r="W467" s="19">
        <v>72</v>
      </c>
      <c r="X467" s="19">
        <v>1460</v>
      </c>
      <c r="Y467" s="19">
        <v>128</v>
      </c>
      <c r="Z467" s="19">
        <v>220</v>
      </c>
      <c r="AA467" s="14">
        <v>1</v>
      </c>
    </row>
    <row r="468" spans="1:27">
      <c r="A468" s="16">
        <v>46217.854166666664</v>
      </c>
      <c r="B468" s="17">
        <v>46217</v>
      </c>
      <c r="C468" s="18">
        <v>0.85416666666666663</v>
      </c>
      <c r="D468" t="s">
        <v>77</v>
      </c>
      <c r="E468" t="s">
        <v>143</v>
      </c>
      <c r="F468">
        <v>2</v>
      </c>
      <c r="G468" s="4">
        <v>71.180000000000007</v>
      </c>
      <c r="H468" s="4">
        <v>71.180000000000007</v>
      </c>
      <c r="I468" s="4">
        <v>51.9</v>
      </c>
      <c r="J468" s="4">
        <v>59.88</v>
      </c>
      <c r="K468" s="4">
        <v>59.88</v>
      </c>
      <c r="L468" s="4">
        <v>66.040000000000006</v>
      </c>
      <c r="M468" s="4">
        <v>98.2</v>
      </c>
      <c r="N468" s="4">
        <v>98.2</v>
      </c>
      <c r="O468" s="4">
        <v>79.97</v>
      </c>
      <c r="P468" s="4">
        <v>55.34</v>
      </c>
      <c r="Q468" s="4">
        <v>55.34</v>
      </c>
      <c r="R468" s="4">
        <v>95.27</v>
      </c>
      <c r="S468" s="19">
        <v>228</v>
      </c>
      <c r="T468" s="19">
        <v>1432</v>
      </c>
      <c r="U468" s="19">
        <v>116</v>
      </c>
      <c r="V468" s="19">
        <v>292</v>
      </c>
      <c r="W468" s="19">
        <v>80</v>
      </c>
      <c r="X468" s="19">
        <v>1440</v>
      </c>
      <c r="Y468" s="19">
        <v>268</v>
      </c>
      <c r="Z468" s="19">
        <v>132</v>
      </c>
      <c r="AA468" s="14">
        <v>1</v>
      </c>
    </row>
    <row r="469" spans="1:27">
      <c r="A469" s="16">
        <v>46217.864583333336</v>
      </c>
      <c r="B469" s="17">
        <v>46217</v>
      </c>
      <c r="C469" s="18">
        <v>0.86458333333333337</v>
      </c>
      <c r="D469" t="s">
        <v>77</v>
      </c>
      <c r="E469" t="s">
        <v>143</v>
      </c>
      <c r="F469">
        <v>2</v>
      </c>
      <c r="G469" s="4">
        <v>100.98</v>
      </c>
      <c r="H469" s="4">
        <v>100.98</v>
      </c>
      <c r="I469" s="4">
        <v>61.23</v>
      </c>
      <c r="J469" s="4">
        <v>66.400000000000006</v>
      </c>
      <c r="K469" s="4">
        <v>66.400000000000006</v>
      </c>
      <c r="L469" s="4">
        <v>68.94</v>
      </c>
      <c r="M469" s="4">
        <v>91</v>
      </c>
      <c r="N469" s="4">
        <v>91</v>
      </c>
      <c r="O469" s="4">
        <v>71.67</v>
      </c>
      <c r="P469" s="4">
        <v>71.66</v>
      </c>
      <c r="Q469" s="4">
        <v>71.66</v>
      </c>
      <c r="R469" s="4">
        <v>87.87</v>
      </c>
      <c r="S469" s="19">
        <v>144</v>
      </c>
      <c r="T469" s="19">
        <v>1512</v>
      </c>
      <c r="U469" s="19">
        <v>164</v>
      </c>
      <c r="V469" s="19">
        <v>256</v>
      </c>
      <c r="W469" s="19">
        <v>72</v>
      </c>
      <c r="X469" s="19">
        <v>1508</v>
      </c>
      <c r="Y469" s="19">
        <v>224</v>
      </c>
      <c r="Z469" s="19">
        <v>168</v>
      </c>
      <c r="AA469" s="14">
        <v>1</v>
      </c>
    </row>
    <row r="470" spans="1:27">
      <c r="A470" s="16">
        <v>46217.875</v>
      </c>
      <c r="B470" s="17">
        <v>46217</v>
      </c>
      <c r="C470" s="18">
        <v>0.875</v>
      </c>
      <c r="D470" t="s">
        <v>77</v>
      </c>
      <c r="E470" t="s">
        <v>143</v>
      </c>
      <c r="F470">
        <v>2</v>
      </c>
      <c r="G470" s="4">
        <v>84.12</v>
      </c>
      <c r="H470" s="4">
        <v>84.12</v>
      </c>
      <c r="I470" s="4">
        <v>45.3</v>
      </c>
      <c r="J470" s="4">
        <v>59.58</v>
      </c>
      <c r="K470" s="4">
        <v>59.58</v>
      </c>
      <c r="L470" s="4">
        <v>65.680000000000007</v>
      </c>
      <c r="M470" s="4">
        <v>88.34</v>
      </c>
      <c r="N470" s="4">
        <v>88.34</v>
      </c>
      <c r="O470" s="4">
        <v>64.91</v>
      </c>
      <c r="P470" s="4">
        <v>67.08</v>
      </c>
      <c r="Q470" s="4">
        <v>67.08</v>
      </c>
      <c r="R470" s="4">
        <v>83.78</v>
      </c>
      <c r="S470" s="19">
        <v>144</v>
      </c>
      <c r="T470" s="19">
        <v>1500</v>
      </c>
      <c r="U470" s="19">
        <v>84</v>
      </c>
      <c r="V470" s="19">
        <v>216</v>
      </c>
      <c r="W470" s="19">
        <v>64</v>
      </c>
      <c r="X470" s="19">
        <v>1544</v>
      </c>
      <c r="Y470" s="19">
        <v>156</v>
      </c>
      <c r="Z470" s="19">
        <v>180</v>
      </c>
      <c r="AA470" s="14">
        <v>1</v>
      </c>
    </row>
    <row r="471" spans="1:27">
      <c r="A471" s="16">
        <v>46217.885416666664</v>
      </c>
      <c r="B471" s="17">
        <v>46217</v>
      </c>
      <c r="C471" s="18">
        <v>0.88541666666666663</v>
      </c>
      <c r="D471" t="s">
        <v>77</v>
      </c>
      <c r="E471" t="s">
        <v>143</v>
      </c>
      <c r="F471">
        <v>2</v>
      </c>
      <c r="G471" s="4">
        <v>75.42</v>
      </c>
      <c r="H471" s="4">
        <v>75.42</v>
      </c>
      <c r="I471" s="4">
        <v>51.86</v>
      </c>
      <c r="J471" s="4">
        <v>40.72</v>
      </c>
      <c r="K471" s="4">
        <v>40.72</v>
      </c>
      <c r="L471" s="4">
        <v>74.17</v>
      </c>
      <c r="M471" s="4">
        <v>95.05</v>
      </c>
      <c r="N471" s="4">
        <v>95.05</v>
      </c>
      <c r="O471" s="4">
        <v>75</v>
      </c>
      <c r="P471" s="4">
        <v>74.400000000000006</v>
      </c>
      <c r="Q471" s="4">
        <v>74.400000000000006</v>
      </c>
      <c r="R471" s="4">
        <v>93.57</v>
      </c>
      <c r="S471" s="19">
        <v>248</v>
      </c>
      <c r="T471" s="19">
        <v>1372</v>
      </c>
      <c r="U471" s="19">
        <v>88</v>
      </c>
      <c r="V471" s="19">
        <v>164</v>
      </c>
      <c r="W471" s="19">
        <v>88</v>
      </c>
      <c r="X471" s="19">
        <v>1764</v>
      </c>
      <c r="Y471" s="19">
        <v>140</v>
      </c>
      <c r="Z471" s="19">
        <v>144</v>
      </c>
      <c r="AA471" s="14">
        <v>1</v>
      </c>
    </row>
    <row r="472" spans="1:27">
      <c r="A472" s="16">
        <v>46217.895833333336</v>
      </c>
      <c r="B472" s="17">
        <v>46217</v>
      </c>
      <c r="C472" s="18">
        <v>0.89583333333333337</v>
      </c>
      <c r="D472" t="s">
        <v>77</v>
      </c>
      <c r="E472" t="s">
        <v>143</v>
      </c>
      <c r="F472">
        <v>2</v>
      </c>
      <c r="G472" s="4">
        <v>54.16</v>
      </c>
      <c r="H472" s="4">
        <v>54.16</v>
      </c>
      <c r="I472" s="4">
        <v>56.22</v>
      </c>
      <c r="J472" s="4">
        <v>68.52</v>
      </c>
      <c r="K472" s="4">
        <v>68.52</v>
      </c>
      <c r="L472" s="4">
        <v>62.97</v>
      </c>
      <c r="M472" s="4">
        <v>67.17</v>
      </c>
      <c r="N472" s="4">
        <v>67.17</v>
      </c>
      <c r="O472" s="4">
        <v>73.63</v>
      </c>
      <c r="P472" s="4">
        <v>42.7</v>
      </c>
      <c r="Q472" s="4">
        <v>42.7</v>
      </c>
      <c r="R472" s="4">
        <v>86.03</v>
      </c>
      <c r="S472" s="19">
        <v>288</v>
      </c>
      <c r="T472" s="19">
        <v>1244</v>
      </c>
      <c r="U472" s="19">
        <v>64</v>
      </c>
      <c r="V472" s="19">
        <v>288</v>
      </c>
      <c r="W472" s="19">
        <v>84</v>
      </c>
      <c r="X472" s="19">
        <v>1716</v>
      </c>
      <c r="Y472" s="19">
        <v>120</v>
      </c>
      <c r="Z472" s="19">
        <v>120</v>
      </c>
      <c r="AA472" s="14">
        <v>1</v>
      </c>
    </row>
    <row r="473" spans="1:27">
      <c r="A473" s="16">
        <v>46217.90625</v>
      </c>
      <c r="B473" s="17">
        <v>46217</v>
      </c>
      <c r="C473" s="18">
        <v>0.90625</v>
      </c>
      <c r="D473" t="s">
        <v>77</v>
      </c>
      <c r="E473" t="s">
        <v>143</v>
      </c>
      <c r="F473">
        <v>2</v>
      </c>
      <c r="G473" s="4">
        <v>87.56</v>
      </c>
      <c r="H473" s="4">
        <v>87.56</v>
      </c>
      <c r="I473" s="4">
        <v>37.369999999999997</v>
      </c>
      <c r="J473" s="4">
        <v>89.15</v>
      </c>
      <c r="K473" s="4">
        <v>89.15</v>
      </c>
      <c r="L473" s="4">
        <v>65.61</v>
      </c>
      <c r="M473" s="4">
        <v>79.680000000000007</v>
      </c>
      <c r="N473" s="4">
        <v>79.680000000000007</v>
      </c>
      <c r="O473" s="4">
        <v>70.150000000000006</v>
      </c>
      <c r="P473" s="4">
        <v>71.12</v>
      </c>
      <c r="Q473" s="4">
        <v>71.12</v>
      </c>
      <c r="R473" s="4">
        <v>90.58</v>
      </c>
      <c r="S473" s="19">
        <v>244</v>
      </c>
      <c r="T473" s="19">
        <v>1176</v>
      </c>
      <c r="U473" s="19">
        <v>16</v>
      </c>
      <c r="V473" s="19">
        <v>212</v>
      </c>
      <c r="W473" s="19">
        <v>52</v>
      </c>
      <c r="X473" s="19">
        <v>1172</v>
      </c>
      <c r="Y473" s="19">
        <v>164</v>
      </c>
      <c r="Z473" s="19">
        <v>132</v>
      </c>
      <c r="AA473" s="14">
        <v>0</v>
      </c>
    </row>
    <row r="474" spans="1:27">
      <c r="A474" s="16">
        <v>46217.916666666664</v>
      </c>
      <c r="B474" s="17">
        <v>46217</v>
      </c>
      <c r="C474" s="18">
        <v>0.91666666666666663</v>
      </c>
      <c r="D474" t="s">
        <v>77</v>
      </c>
      <c r="E474" t="s">
        <v>143</v>
      </c>
      <c r="F474">
        <v>2</v>
      </c>
      <c r="G474" s="4">
        <v>65.650000000000006</v>
      </c>
      <c r="H474" s="4">
        <v>65.650000000000006</v>
      </c>
      <c r="I474" s="4">
        <v>51.22</v>
      </c>
      <c r="J474" s="4">
        <v>75.45</v>
      </c>
      <c r="K474" s="4">
        <v>75.45</v>
      </c>
      <c r="L474" s="4">
        <v>64.91</v>
      </c>
      <c r="M474" s="4">
        <v>86.42</v>
      </c>
      <c r="N474" s="4">
        <v>86.42</v>
      </c>
      <c r="O474" s="4">
        <v>66.12</v>
      </c>
      <c r="P474" s="4">
        <v>67.75</v>
      </c>
      <c r="Q474" s="4">
        <v>67.75</v>
      </c>
      <c r="R474" s="4">
        <v>74.989999999999995</v>
      </c>
      <c r="S474" s="19">
        <v>144</v>
      </c>
      <c r="T474" s="19">
        <v>1032</v>
      </c>
      <c r="U474" s="19">
        <v>40</v>
      </c>
      <c r="V474" s="19">
        <v>200</v>
      </c>
      <c r="W474" s="19">
        <v>64</v>
      </c>
      <c r="X474" s="19">
        <v>1300</v>
      </c>
      <c r="Y474" s="19">
        <v>144</v>
      </c>
      <c r="Z474" s="19">
        <v>136</v>
      </c>
      <c r="AA474" s="14">
        <v>1</v>
      </c>
    </row>
    <row r="475" spans="1:27">
      <c r="A475" s="16">
        <v>46217.927083333336</v>
      </c>
      <c r="B475" s="17">
        <v>46217</v>
      </c>
      <c r="C475" s="18">
        <v>0.92708333333333337</v>
      </c>
      <c r="D475" t="s">
        <v>77</v>
      </c>
      <c r="E475" t="s">
        <v>143</v>
      </c>
      <c r="F475">
        <v>2</v>
      </c>
      <c r="G475" s="4">
        <v>47.38</v>
      </c>
      <c r="H475" s="4">
        <v>47.38</v>
      </c>
      <c r="I475" s="4">
        <v>41.22</v>
      </c>
      <c r="J475" s="4">
        <v>38.36</v>
      </c>
      <c r="K475" s="4">
        <v>38.36</v>
      </c>
      <c r="L475" s="4">
        <v>43.85</v>
      </c>
      <c r="M475" s="4">
        <v>37.729999999999997</v>
      </c>
      <c r="N475" s="4">
        <v>37.729999999999997</v>
      </c>
      <c r="O475" s="4">
        <v>47.27</v>
      </c>
      <c r="P475" s="4">
        <v>41.56</v>
      </c>
      <c r="Q475" s="4">
        <v>41.56</v>
      </c>
      <c r="R475" s="4">
        <v>41.4</v>
      </c>
      <c r="S475" s="19">
        <v>108</v>
      </c>
      <c r="T475" s="19">
        <v>1056</v>
      </c>
      <c r="U475" s="19">
        <v>44</v>
      </c>
      <c r="V475" s="19">
        <v>224</v>
      </c>
      <c r="W475" s="19">
        <v>92</v>
      </c>
      <c r="X475" s="19">
        <v>1088</v>
      </c>
      <c r="Y475" s="19">
        <v>96</v>
      </c>
      <c r="Z475" s="19">
        <v>120</v>
      </c>
      <c r="AA475" s="14">
        <v>0</v>
      </c>
    </row>
    <row r="476" spans="1:27">
      <c r="A476" s="16">
        <v>46217.9375</v>
      </c>
      <c r="B476" s="17">
        <v>46217</v>
      </c>
      <c r="C476" s="18">
        <v>0.9375</v>
      </c>
      <c r="D476" t="s">
        <v>77</v>
      </c>
      <c r="E476" t="s">
        <v>143</v>
      </c>
      <c r="F476">
        <v>2</v>
      </c>
      <c r="G476" s="4">
        <v>32.54</v>
      </c>
      <c r="H476" s="4">
        <v>32.54</v>
      </c>
      <c r="I476" s="4">
        <v>25.84</v>
      </c>
      <c r="J476" s="4">
        <v>34.56</v>
      </c>
      <c r="K476" s="4">
        <v>34.56</v>
      </c>
      <c r="L476" s="4">
        <v>33.11</v>
      </c>
      <c r="M476" s="4">
        <v>35.25</v>
      </c>
      <c r="N476" s="4">
        <v>35.25</v>
      </c>
      <c r="O476" s="4">
        <v>29.7</v>
      </c>
      <c r="P476" s="4">
        <v>41.93</v>
      </c>
      <c r="Q476" s="4">
        <v>41.93</v>
      </c>
      <c r="R476" s="4">
        <v>37.07</v>
      </c>
      <c r="S476" s="19">
        <v>156</v>
      </c>
      <c r="T476" s="19">
        <v>1020</v>
      </c>
      <c r="U476" s="19">
        <v>44</v>
      </c>
      <c r="V476" s="19">
        <v>200</v>
      </c>
      <c r="W476" s="19">
        <v>104</v>
      </c>
      <c r="X476" s="19">
        <v>1036</v>
      </c>
      <c r="Y476" s="19">
        <v>144</v>
      </c>
      <c r="Z476" s="19">
        <v>112</v>
      </c>
      <c r="AA476" s="14">
        <v>0</v>
      </c>
    </row>
    <row r="477" spans="1:27">
      <c r="A477" s="16">
        <v>46217.947916666664</v>
      </c>
      <c r="B477" s="17">
        <v>46217</v>
      </c>
      <c r="C477" s="18">
        <v>0.94791666666666663</v>
      </c>
      <c r="D477" t="s">
        <v>77</v>
      </c>
      <c r="E477" t="s">
        <v>143</v>
      </c>
      <c r="F477">
        <v>2</v>
      </c>
      <c r="G477" s="4">
        <v>35.01</v>
      </c>
      <c r="H477" s="4">
        <v>35.01</v>
      </c>
      <c r="I477" s="4">
        <v>25.12</v>
      </c>
      <c r="J477" s="4">
        <v>23.95</v>
      </c>
      <c r="K477" s="4">
        <v>23.95</v>
      </c>
      <c r="L477" s="4">
        <v>22.77</v>
      </c>
      <c r="M477" s="4">
        <v>29.39</v>
      </c>
      <c r="N477" s="4">
        <v>29.39</v>
      </c>
      <c r="O477" s="4">
        <v>29.32</v>
      </c>
      <c r="P477" s="4">
        <v>26.4</v>
      </c>
      <c r="Q477" s="4">
        <v>26.4</v>
      </c>
      <c r="R477" s="4">
        <v>30.28</v>
      </c>
      <c r="S477" s="19">
        <v>136</v>
      </c>
      <c r="T477" s="19">
        <v>940</v>
      </c>
      <c r="U477" s="19">
        <v>100</v>
      </c>
      <c r="V477" s="19">
        <v>168</v>
      </c>
      <c r="W477" s="19">
        <v>80</v>
      </c>
      <c r="X477" s="19">
        <v>1008</v>
      </c>
      <c r="Y477" s="19">
        <v>88</v>
      </c>
      <c r="Z477" s="19">
        <v>144</v>
      </c>
      <c r="AA477" s="14">
        <v>1</v>
      </c>
    </row>
    <row r="478" spans="1:27">
      <c r="A478" s="16">
        <v>46217.958333333336</v>
      </c>
      <c r="B478" s="17">
        <v>46217</v>
      </c>
      <c r="C478" s="18">
        <v>0.95833333333333337</v>
      </c>
      <c r="D478" t="s">
        <v>77</v>
      </c>
      <c r="E478" t="s">
        <v>143</v>
      </c>
      <c r="F478">
        <v>2</v>
      </c>
      <c r="G478" s="4">
        <v>26</v>
      </c>
      <c r="H478" s="4">
        <v>26</v>
      </c>
      <c r="I478" s="4">
        <v>28.22</v>
      </c>
      <c r="J478" s="4">
        <v>26.56</v>
      </c>
      <c r="K478" s="4">
        <v>26.56</v>
      </c>
      <c r="L478" s="4">
        <v>27.21</v>
      </c>
      <c r="M478" s="4">
        <v>34.78</v>
      </c>
      <c r="N478" s="4">
        <v>34.78</v>
      </c>
      <c r="O478" s="4">
        <v>30.56</v>
      </c>
      <c r="P478" s="4">
        <v>39.11</v>
      </c>
      <c r="Q478" s="4">
        <v>39.11</v>
      </c>
      <c r="R478" s="4">
        <v>30.58</v>
      </c>
      <c r="S478" s="19">
        <v>80</v>
      </c>
      <c r="T478" s="19">
        <v>700</v>
      </c>
      <c r="U478" s="19">
        <v>32</v>
      </c>
      <c r="V478" s="19">
        <v>148</v>
      </c>
      <c r="W478" s="19">
        <v>56</v>
      </c>
      <c r="X478" s="19">
        <v>1028</v>
      </c>
      <c r="Y478" s="19">
        <v>100</v>
      </c>
      <c r="Z478" s="19">
        <v>124</v>
      </c>
      <c r="AA478" s="14">
        <v>0</v>
      </c>
    </row>
    <row r="479" spans="1:27">
      <c r="A479" s="16">
        <v>46217.96875</v>
      </c>
      <c r="B479" s="17">
        <v>46217</v>
      </c>
      <c r="C479" s="18">
        <v>0.96875</v>
      </c>
      <c r="D479" t="s">
        <v>77</v>
      </c>
      <c r="E479" t="s">
        <v>143</v>
      </c>
      <c r="F479">
        <v>2</v>
      </c>
      <c r="G479" s="4">
        <v>39.619999999999997</v>
      </c>
      <c r="H479" s="4">
        <v>39.619999999999997</v>
      </c>
      <c r="I479" s="4">
        <v>20.440000000000001</v>
      </c>
      <c r="J479" s="4">
        <v>39.450000000000003</v>
      </c>
      <c r="K479" s="4">
        <v>39.450000000000003</v>
      </c>
      <c r="L479" s="4">
        <v>23.11</v>
      </c>
      <c r="M479" s="4">
        <v>32.549999999999997</v>
      </c>
      <c r="N479" s="4">
        <v>32.549999999999997</v>
      </c>
      <c r="O479" s="4">
        <v>20.72</v>
      </c>
      <c r="P479" s="4">
        <v>26.83</v>
      </c>
      <c r="Q479" s="4">
        <v>26.83</v>
      </c>
      <c r="R479" s="4">
        <v>29.02</v>
      </c>
      <c r="S479" s="19">
        <v>72</v>
      </c>
      <c r="T479" s="19">
        <v>640</v>
      </c>
      <c r="U479" s="19">
        <v>48</v>
      </c>
      <c r="V479" s="19">
        <v>188</v>
      </c>
      <c r="W479" s="19">
        <v>60</v>
      </c>
      <c r="X479" s="19">
        <v>992</v>
      </c>
      <c r="Y479" s="19">
        <v>64</v>
      </c>
      <c r="Z479" s="19">
        <v>76</v>
      </c>
      <c r="AA479" s="14">
        <v>0</v>
      </c>
    </row>
    <row r="480" spans="1:27">
      <c r="A480" s="16">
        <v>46217.979166666664</v>
      </c>
      <c r="B480" s="17">
        <v>46217</v>
      </c>
      <c r="C480" s="18">
        <v>0.97916666666666663</v>
      </c>
      <c r="D480" t="s">
        <v>77</v>
      </c>
      <c r="E480" t="s">
        <v>143</v>
      </c>
      <c r="F480">
        <v>2</v>
      </c>
      <c r="G480" s="4">
        <v>28.92</v>
      </c>
      <c r="H480" s="4">
        <v>28.92</v>
      </c>
      <c r="I480" s="4">
        <v>23.59</v>
      </c>
      <c r="J480" s="4">
        <v>30.89</v>
      </c>
      <c r="K480" s="4">
        <v>30.89</v>
      </c>
      <c r="L480" s="4">
        <v>23.72</v>
      </c>
      <c r="M480" s="4">
        <v>26.11</v>
      </c>
      <c r="N480" s="4">
        <v>26.11</v>
      </c>
      <c r="O480" s="4">
        <v>20.32</v>
      </c>
      <c r="P480" s="4">
        <v>24.93</v>
      </c>
      <c r="Q480" s="4">
        <v>24.93</v>
      </c>
      <c r="R480" s="4">
        <v>30.63</v>
      </c>
      <c r="S480" s="19">
        <v>80</v>
      </c>
      <c r="T480" s="19">
        <v>560</v>
      </c>
      <c r="U480" s="19">
        <v>56</v>
      </c>
      <c r="V480" s="19">
        <v>104</v>
      </c>
      <c r="W480" s="19">
        <v>36</v>
      </c>
      <c r="X480" s="19">
        <v>888</v>
      </c>
      <c r="Y480" s="19">
        <v>44</v>
      </c>
      <c r="Z480" s="19">
        <v>100</v>
      </c>
      <c r="AA480" s="14">
        <v>1</v>
      </c>
    </row>
    <row r="481" spans="1:27">
      <c r="A481" s="16">
        <v>46217.989583333336</v>
      </c>
      <c r="B481" s="17">
        <v>46217</v>
      </c>
      <c r="C481" s="18">
        <v>0.98958333333333337</v>
      </c>
      <c r="D481" t="s">
        <v>77</v>
      </c>
      <c r="E481" t="s">
        <v>143</v>
      </c>
      <c r="F481">
        <v>2</v>
      </c>
      <c r="G481" s="4">
        <v>24.73</v>
      </c>
      <c r="H481" s="4">
        <v>24.73</v>
      </c>
      <c r="I481" s="4">
        <v>21.22</v>
      </c>
      <c r="J481" s="4">
        <v>16.54</v>
      </c>
      <c r="K481" s="4">
        <v>16.54</v>
      </c>
      <c r="L481" s="4">
        <v>28.69</v>
      </c>
      <c r="M481" s="4">
        <v>32.700000000000003</v>
      </c>
      <c r="N481" s="4">
        <v>32.700000000000003</v>
      </c>
      <c r="O481" s="4">
        <v>17.91</v>
      </c>
      <c r="P481" s="4">
        <v>32.979999999999997</v>
      </c>
      <c r="Q481" s="4">
        <v>32.979999999999997</v>
      </c>
      <c r="R481" s="4">
        <v>23.5</v>
      </c>
      <c r="S481" s="19">
        <v>36</v>
      </c>
      <c r="T481" s="19">
        <v>608</v>
      </c>
      <c r="U481" s="19">
        <v>20</v>
      </c>
      <c r="V481" s="19">
        <v>80</v>
      </c>
      <c r="W481" s="19">
        <v>36</v>
      </c>
      <c r="X481" s="19">
        <v>852</v>
      </c>
      <c r="Y481" s="19">
        <v>156</v>
      </c>
      <c r="Z481" s="19">
        <v>60</v>
      </c>
      <c r="AA481" s="14">
        <v>0</v>
      </c>
    </row>
    <row r="482" spans="1:27">
      <c r="A482" s="16">
        <v>46218</v>
      </c>
      <c r="B482" s="17">
        <v>46218</v>
      </c>
      <c r="C482" s="18">
        <v>0</v>
      </c>
      <c r="D482" t="s">
        <v>78</v>
      </c>
      <c r="E482" t="s">
        <v>143</v>
      </c>
      <c r="F482">
        <v>3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19">
        <v>24</v>
      </c>
      <c r="T482" s="19">
        <v>460</v>
      </c>
      <c r="U482" s="19">
        <v>8</v>
      </c>
      <c r="V482" s="19">
        <v>76</v>
      </c>
      <c r="W482" s="19">
        <v>52</v>
      </c>
      <c r="X482" s="19">
        <v>632</v>
      </c>
      <c r="Y482" s="19">
        <v>32</v>
      </c>
      <c r="Z482" s="19">
        <v>56</v>
      </c>
      <c r="AA482" s="14">
        <v>1</v>
      </c>
    </row>
    <row r="483" spans="1:27">
      <c r="A483" s="16">
        <v>46218.010416666664</v>
      </c>
      <c r="B483" s="17">
        <v>46218</v>
      </c>
      <c r="C483" s="18">
        <v>1.0416666666666666E-2</v>
      </c>
      <c r="D483" t="s">
        <v>78</v>
      </c>
      <c r="E483" t="s">
        <v>143</v>
      </c>
      <c r="F483">
        <v>3</v>
      </c>
      <c r="G483" s="4">
        <v>17.149999999999999</v>
      </c>
      <c r="H483" s="4">
        <v>17.149999999999999</v>
      </c>
      <c r="I483" s="4">
        <v>12.05</v>
      </c>
      <c r="J483" s="4">
        <v>28</v>
      </c>
      <c r="K483" s="4">
        <v>28</v>
      </c>
      <c r="L483" s="4">
        <v>12.72</v>
      </c>
      <c r="M483" s="4">
        <v>13.12</v>
      </c>
      <c r="N483" s="4">
        <v>13.12</v>
      </c>
      <c r="O483" s="4">
        <v>10.32</v>
      </c>
      <c r="P483" s="4">
        <v>10.55</v>
      </c>
      <c r="Q483" s="4">
        <v>10.55</v>
      </c>
      <c r="R483" s="4">
        <v>26.98</v>
      </c>
      <c r="S483" s="19">
        <v>24</v>
      </c>
      <c r="T483" s="19">
        <v>468</v>
      </c>
      <c r="U483" s="19">
        <v>16</v>
      </c>
      <c r="V483" s="19">
        <v>132</v>
      </c>
      <c r="W483" s="19">
        <v>48</v>
      </c>
      <c r="X483" s="19">
        <v>628</v>
      </c>
      <c r="Y483" s="19">
        <v>60</v>
      </c>
      <c r="Z483" s="19">
        <v>72</v>
      </c>
      <c r="AA483" s="14">
        <v>1</v>
      </c>
    </row>
    <row r="484" spans="1:27">
      <c r="A484" s="16">
        <v>46218.020833333336</v>
      </c>
      <c r="B484" s="17">
        <v>46218</v>
      </c>
      <c r="C484" s="18">
        <v>2.0833333333333332E-2</v>
      </c>
      <c r="D484" t="s">
        <v>78</v>
      </c>
      <c r="E484" t="s">
        <v>143</v>
      </c>
      <c r="F484">
        <v>3</v>
      </c>
      <c r="G484" s="4">
        <v>35.75</v>
      </c>
      <c r="H484" s="4">
        <v>35.75</v>
      </c>
      <c r="I484" s="4">
        <v>15.55</v>
      </c>
      <c r="J484" s="4">
        <v>42.53</v>
      </c>
      <c r="K484" s="4">
        <v>42.53</v>
      </c>
      <c r="L484" s="4">
        <v>18.43</v>
      </c>
      <c r="M484" s="4">
        <v>20.07</v>
      </c>
      <c r="N484" s="4">
        <v>20.07</v>
      </c>
      <c r="O484" s="4">
        <v>14.58</v>
      </c>
      <c r="P484" s="4">
        <v>27.42</v>
      </c>
      <c r="Q484" s="4">
        <v>27.42</v>
      </c>
      <c r="R484" s="4">
        <v>16.32</v>
      </c>
      <c r="S484" s="19">
        <v>28</v>
      </c>
      <c r="T484" s="19">
        <v>244</v>
      </c>
      <c r="U484" s="19">
        <v>4</v>
      </c>
      <c r="V484" s="19">
        <v>128</v>
      </c>
      <c r="W484" s="19">
        <v>28</v>
      </c>
      <c r="X484" s="19">
        <v>620</v>
      </c>
      <c r="Y484" s="19">
        <v>44</v>
      </c>
      <c r="Z484" s="19">
        <v>36</v>
      </c>
      <c r="AA484" s="14">
        <v>0</v>
      </c>
    </row>
    <row r="485" spans="1:27">
      <c r="A485" s="16">
        <v>46218.03125</v>
      </c>
      <c r="B485" s="17">
        <v>46218</v>
      </c>
      <c r="C485" s="18">
        <v>3.125E-2</v>
      </c>
      <c r="D485" t="s">
        <v>78</v>
      </c>
      <c r="E485" t="s">
        <v>143</v>
      </c>
      <c r="F485">
        <v>3</v>
      </c>
      <c r="G485" s="4">
        <v>12.03</v>
      </c>
      <c r="H485" s="4">
        <v>12.03</v>
      </c>
      <c r="I485" s="4">
        <v>6.55</v>
      </c>
      <c r="J485" s="4">
        <v>0</v>
      </c>
      <c r="K485" s="4">
        <v>0</v>
      </c>
      <c r="L485" s="4">
        <v>10.69</v>
      </c>
      <c r="M485" s="4">
        <v>18.8</v>
      </c>
      <c r="N485" s="4">
        <v>18.8</v>
      </c>
      <c r="O485" s="4">
        <v>16.3</v>
      </c>
      <c r="P485" s="4">
        <v>15.13</v>
      </c>
      <c r="Q485" s="4">
        <v>15.13</v>
      </c>
      <c r="R485" s="4">
        <v>12.96</v>
      </c>
      <c r="S485" s="19">
        <v>16</v>
      </c>
      <c r="T485" s="19">
        <v>332</v>
      </c>
      <c r="U485" s="19">
        <v>0</v>
      </c>
      <c r="V485" s="19">
        <v>52</v>
      </c>
      <c r="W485" s="19">
        <v>44</v>
      </c>
      <c r="X485" s="19">
        <v>524</v>
      </c>
      <c r="Y485" s="19">
        <v>44</v>
      </c>
      <c r="Z485" s="19">
        <v>12</v>
      </c>
      <c r="AA485" s="14">
        <v>1</v>
      </c>
    </row>
    <row r="486" spans="1:27">
      <c r="A486" s="16">
        <v>46218.041666666664</v>
      </c>
      <c r="B486" s="17">
        <v>46218</v>
      </c>
      <c r="C486" s="18">
        <v>4.1666666666666664E-2</v>
      </c>
      <c r="D486" t="s">
        <v>78</v>
      </c>
      <c r="E486" t="s">
        <v>143</v>
      </c>
      <c r="F486">
        <v>3</v>
      </c>
      <c r="G486" s="4">
        <v>15.75</v>
      </c>
      <c r="H486" s="4">
        <v>15.75</v>
      </c>
      <c r="I486" s="4">
        <v>11.43</v>
      </c>
      <c r="J486" s="4">
        <v>0</v>
      </c>
      <c r="K486" s="4">
        <v>0</v>
      </c>
      <c r="L486" s="4">
        <v>12</v>
      </c>
      <c r="M486" s="4">
        <v>25.57</v>
      </c>
      <c r="N486" s="4">
        <v>25.57</v>
      </c>
      <c r="O486" s="4">
        <v>16.2</v>
      </c>
      <c r="P486" s="4">
        <v>30.6</v>
      </c>
      <c r="Q486" s="4">
        <v>30.6</v>
      </c>
      <c r="R486" s="4">
        <v>16</v>
      </c>
      <c r="S486" s="19">
        <v>12</v>
      </c>
      <c r="T486" s="19">
        <v>200</v>
      </c>
      <c r="U486" s="19">
        <v>4</v>
      </c>
      <c r="V486" s="19">
        <v>68</v>
      </c>
      <c r="W486" s="19">
        <v>28</v>
      </c>
      <c r="X486" s="19">
        <v>632</v>
      </c>
      <c r="Y486" s="19">
        <v>84</v>
      </c>
      <c r="Z486" s="19">
        <v>24</v>
      </c>
      <c r="AA486" s="14">
        <v>0</v>
      </c>
    </row>
    <row r="487" spans="1:27">
      <c r="A487" s="16">
        <v>46218.052083333336</v>
      </c>
      <c r="B487" s="17">
        <v>46218</v>
      </c>
      <c r="C487" s="18">
        <v>5.2083333333333336E-2</v>
      </c>
      <c r="D487" t="s">
        <v>78</v>
      </c>
      <c r="E487" t="s">
        <v>143</v>
      </c>
      <c r="F487">
        <v>3</v>
      </c>
      <c r="G487" s="4">
        <v>19.899999999999999</v>
      </c>
      <c r="H487" s="4">
        <v>19.899999999999999</v>
      </c>
      <c r="I487" s="4">
        <v>8.18</v>
      </c>
      <c r="J487" s="4">
        <v>0</v>
      </c>
      <c r="K487" s="4">
        <v>0</v>
      </c>
      <c r="L487" s="4">
        <v>13.48</v>
      </c>
      <c r="M487" s="4">
        <v>16.14</v>
      </c>
      <c r="N487" s="4">
        <v>16.14</v>
      </c>
      <c r="O487" s="4">
        <v>11.44</v>
      </c>
      <c r="P487" s="4">
        <v>10.9</v>
      </c>
      <c r="Q487" s="4">
        <v>10.9</v>
      </c>
      <c r="R487" s="4">
        <v>11.73</v>
      </c>
      <c r="S487" s="19">
        <v>84</v>
      </c>
      <c r="T487" s="19">
        <v>240</v>
      </c>
      <c r="U487" s="19">
        <v>0</v>
      </c>
      <c r="V487" s="19">
        <v>68</v>
      </c>
      <c r="W487" s="19">
        <v>44</v>
      </c>
      <c r="X487" s="19">
        <v>560</v>
      </c>
      <c r="Y487" s="19">
        <v>28</v>
      </c>
      <c r="Z487" s="19">
        <v>24</v>
      </c>
      <c r="AA487" s="14">
        <v>0</v>
      </c>
    </row>
    <row r="488" spans="1:27">
      <c r="A488" s="16">
        <v>46218.0625</v>
      </c>
      <c r="B488" s="17">
        <v>46218</v>
      </c>
      <c r="C488" s="18">
        <v>6.25E-2</v>
      </c>
      <c r="D488" t="s">
        <v>78</v>
      </c>
      <c r="E488" t="s">
        <v>143</v>
      </c>
      <c r="F488">
        <v>3</v>
      </c>
      <c r="G488" s="4">
        <v>8.1999999999999993</v>
      </c>
      <c r="H488" s="4">
        <v>8.1999999999999993</v>
      </c>
      <c r="I488" s="4">
        <v>0</v>
      </c>
      <c r="J488" s="4">
        <v>0</v>
      </c>
      <c r="K488" s="4">
        <v>0</v>
      </c>
      <c r="L488" s="4">
        <v>11.74</v>
      </c>
      <c r="M488" s="4">
        <v>15.26</v>
      </c>
      <c r="N488" s="4">
        <v>15.26</v>
      </c>
      <c r="O488" s="4">
        <v>4.93</v>
      </c>
      <c r="P488" s="4">
        <v>0</v>
      </c>
      <c r="Q488" s="4">
        <v>0</v>
      </c>
      <c r="R488" s="4">
        <v>8.1</v>
      </c>
      <c r="S488" s="19">
        <v>28</v>
      </c>
      <c r="T488" s="19">
        <v>244</v>
      </c>
      <c r="U488" s="19">
        <v>8</v>
      </c>
      <c r="V488" s="19">
        <v>32</v>
      </c>
      <c r="W488" s="19">
        <v>40</v>
      </c>
      <c r="X488" s="19">
        <v>424</v>
      </c>
      <c r="Y488" s="19">
        <v>76</v>
      </c>
      <c r="Z488" s="19">
        <v>12</v>
      </c>
      <c r="AA488" s="14">
        <v>0</v>
      </c>
    </row>
    <row r="489" spans="1:27">
      <c r="A489" s="16">
        <v>46218.072916666664</v>
      </c>
      <c r="B489" s="17">
        <v>46218</v>
      </c>
      <c r="C489" s="18">
        <v>7.2916666666666671E-2</v>
      </c>
      <c r="D489" t="s">
        <v>78</v>
      </c>
      <c r="E489" t="s">
        <v>143</v>
      </c>
      <c r="F489">
        <v>3</v>
      </c>
      <c r="G489" s="4">
        <v>22.83</v>
      </c>
      <c r="H489" s="4">
        <v>22.83</v>
      </c>
      <c r="I489" s="4">
        <v>4.05</v>
      </c>
      <c r="J489" s="4">
        <v>7.3</v>
      </c>
      <c r="K489" s="4">
        <v>7.3</v>
      </c>
      <c r="L489" s="4">
        <v>9.44</v>
      </c>
      <c r="M489" s="4">
        <v>18.66</v>
      </c>
      <c r="N489" s="4">
        <v>18.66</v>
      </c>
      <c r="O489" s="4">
        <v>1.75</v>
      </c>
      <c r="P489" s="4">
        <v>23.38</v>
      </c>
      <c r="Q489" s="4">
        <v>23.38</v>
      </c>
      <c r="R489" s="4">
        <v>19.899999999999999</v>
      </c>
      <c r="S489" s="19">
        <v>0</v>
      </c>
      <c r="T489" s="19">
        <v>168</v>
      </c>
      <c r="U489" s="19">
        <v>12</v>
      </c>
      <c r="V489" s="19">
        <v>24</v>
      </c>
      <c r="W489" s="19">
        <v>24</v>
      </c>
      <c r="X489" s="19">
        <v>548</v>
      </c>
      <c r="Y489" s="19">
        <v>52</v>
      </c>
      <c r="Z489" s="19">
        <v>32</v>
      </c>
      <c r="AA489" s="14">
        <v>0</v>
      </c>
    </row>
    <row r="490" spans="1:27">
      <c r="A490" s="16">
        <v>46218.083333333336</v>
      </c>
      <c r="B490" s="17">
        <v>46218</v>
      </c>
      <c r="C490" s="18">
        <v>8.3333333333333329E-2</v>
      </c>
      <c r="D490" t="s">
        <v>78</v>
      </c>
      <c r="E490" t="s">
        <v>143</v>
      </c>
      <c r="F490">
        <v>3</v>
      </c>
      <c r="G490" s="4">
        <v>0</v>
      </c>
      <c r="H490" s="4">
        <v>0</v>
      </c>
      <c r="I490" s="4">
        <v>10.1</v>
      </c>
      <c r="J490" s="4">
        <v>6.1</v>
      </c>
      <c r="K490" s="4">
        <v>6.1</v>
      </c>
      <c r="L490" s="4">
        <v>16.399999999999999</v>
      </c>
      <c r="M490" s="4">
        <v>14.87</v>
      </c>
      <c r="N490" s="4">
        <v>14.87</v>
      </c>
      <c r="O490" s="4">
        <v>4.4000000000000004</v>
      </c>
      <c r="P490" s="4">
        <v>16.93</v>
      </c>
      <c r="Q490" s="4">
        <v>16.93</v>
      </c>
      <c r="R490" s="4">
        <v>20.94</v>
      </c>
      <c r="S490" s="19">
        <v>24</v>
      </c>
      <c r="T490" s="19">
        <v>156</v>
      </c>
      <c r="U490" s="19">
        <v>0</v>
      </c>
      <c r="V490" s="19">
        <v>76</v>
      </c>
      <c r="W490" s="19">
        <v>28</v>
      </c>
      <c r="X490" s="19">
        <v>548</v>
      </c>
      <c r="Y490" s="19">
        <v>8</v>
      </c>
      <c r="Z490" s="19">
        <v>8</v>
      </c>
      <c r="AA490" s="14">
        <v>0</v>
      </c>
    </row>
    <row r="491" spans="1:27">
      <c r="A491" s="16">
        <v>46218.09375</v>
      </c>
      <c r="B491" s="17">
        <v>46218</v>
      </c>
      <c r="C491" s="18">
        <v>9.375E-2</v>
      </c>
      <c r="D491" t="s">
        <v>78</v>
      </c>
      <c r="E491" t="s">
        <v>143</v>
      </c>
      <c r="F491">
        <v>3</v>
      </c>
      <c r="G491" s="4">
        <v>0</v>
      </c>
      <c r="H491" s="4">
        <v>0</v>
      </c>
      <c r="I491" s="4">
        <v>5.2</v>
      </c>
      <c r="J491" s="4">
        <v>0</v>
      </c>
      <c r="K491" s="4">
        <v>0</v>
      </c>
      <c r="L491" s="4">
        <v>8.4499999999999993</v>
      </c>
      <c r="M491" s="4">
        <v>14.38</v>
      </c>
      <c r="N491" s="4">
        <v>14.38</v>
      </c>
      <c r="O491" s="4">
        <v>6.28</v>
      </c>
      <c r="P491" s="4">
        <v>19.7</v>
      </c>
      <c r="Q491" s="4">
        <v>19.7</v>
      </c>
      <c r="R491" s="4">
        <v>6.1</v>
      </c>
      <c r="S491" s="19">
        <v>28</v>
      </c>
      <c r="T491" s="19">
        <v>288</v>
      </c>
      <c r="U491" s="19">
        <v>0</v>
      </c>
      <c r="V491" s="19">
        <v>28</v>
      </c>
      <c r="W491" s="19">
        <v>24</v>
      </c>
      <c r="X491" s="19">
        <v>572</v>
      </c>
      <c r="Y491" s="19">
        <v>40</v>
      </c>
      <c r="Z491" s="19">
        <v>4</v>
      </c>
      <c r="AA491" s="14">
        <v>0</v>
      </c>
    </row>
    <row r="492" spans="1:27">
      <c r="A492" s="16">
        <v>46218.104166666664</v>
      </c>
      <c r="B492" s="17">
        <v>46218</v>
      </c>
      <c r="C492" s="18">
        <v>0.10416666666666667</v>
      </c>
      <c r="D492" t="s">
        <v>78</v>
      </c>
      <c r="E492" t="s">
        <v>143</v>
      </c>
      <c r="F492">
        <v>3</v>
      </c>
      <c r="G492" s="4">
        <v>7.57</v>
      </c>
      <c r="H492" s="4">
        <v>7.57</v>
      </c>
      <c r="I492" s="4">
        <v>1.9</v>
      </c>
      <c r="J492" s="4">
        <v>0</v>
      </c>
      <c r="K492" s="4">
        <v>0</v>
      </c>
      <c r="L492" s="4">
        <v>9.1300000000000008</v>
      </c>
      <c r="M492" s="4">
        <v>6.3</v>
      </c>
      <c r="N492" s="4">
        <v>6.3</v>
      </c>
      <c r="O492" s="4">
        <v>0.9</v>
      </c>
      <c r="P492" s="4">
        <v>9.1</v>
      </c>
      <c r="Q492" s="4">
        <v>9.1</v>
      </c>
      <c r="R492" s="4">
        <v>34.9</v>
      </c>
      <c r="S492" s="19">
        <v>24</v>
      </c>
      <c r="T492" s="19">
        <v>312</v>
      </c>
      <c r="U492" s="19">
        <v>4</v>
      </c>
      <c r="V492" s="19">
        <v>32</v>
      </c>
      <c r="W492" s="19">
        <v>32</v>
      </c>
      <c r="X492" s="19">
        <v>564</v>
      </c>
      <c r="Y492" s="19">
        <v>48</v>
      </c>
      <c r="Z492" s="19">
        <v>28</v>
      </c>
      <c r="AA492" s="14">
        <v>0</v>
      </c>
    </row>
    <row r="493" spans="1:27">
      <c r="A493" s="16">
        <v>46218.114583333336</v>
      </c>
      <c r="B493" s="17">
        <v>46218</v>
      </c>
      <c r="C493" s="18">
        <v>0.11458333333333333</v>
      </c>
      <c r="D493" t="s">
        <v>78</v>
      </c>
      <c r="E493" t="s">
        <v>143</v>
      </c>
      <c r="F493">
        <v>3</v>
      </c>
      <c r="G493" s="4">
        <v>10.95</v>
      </c>
      <c r="H493" s="4">
        <v>10.95</v>
      </c>
      <c r="I493" s="4">
        <v>1.9</v>
      </c>
      <c r="J493" s="4">
        <v>6.1</v>
      </c>
      <c r="K493" s="4">
        <v>6.1</v>
      </c>
      <c r="L493" s="4">
        <v>9.3000000000000007</v>
      </c>
      <c r="M493" s="4">
        <v>11.53</v>
      </c>
      <c r="N493" s="4">
        <v>11.53</v>
      </c>
      <c r="O493" s="4">
        <v>2.2200000000000002</v>
      </c>
      <c r="P493" s="4">
        <v>17.899999999999999</v>
      </c>
      <c r="Q493" s="4">
        <v>17.899999999999999</v>
      </c>
      <c r="R493" s="4">
        <v>10.77</v>
      </c>
      <c r="S493" s="19">
        <v>0</v>
      </c>
      <c r="T493" s="19">
        <v>48</v>
      </c>
      <c r="U493" s="19">
        <v>8</v>
      </c>
      <c r="V493" s="19">
        <v>32</v>
      </c>
      <c r="W493" s="19">
        <v>0</v>
      </c>
      <c r="X493" s="19">
        <v>476</v>
      </c>
      <c r="Y493" s="19">
        <v>8</v>
      </c>
      <c r="Z493" s="19">
        <v>8</v>
      </c>
      <c r="AA493" s="14">
        <v>0</v>
      </c>
    </row>
    <row r="494" spans="1:27">
      <c r="A494" s="16">
        <v>46218.125</v>
      </c>
      <c r="B494" s="17">
        <v>46218</v>
      </c>
      <c r="C494" s="18">
        <v>0.125</v>
      </c>
      <c r="D494" t="s">
        <v>78</v>
      </c>
      <c r="E494" t="s">
        <v>143</v>
      </c>
      <c r="F494">
        <v>3</v>
      </c>
      <c r="G494" s="4">
        <v>0</v>
      </c>
      <c r="H494" s="4">
        <v>0</v>
      </c>
      <c r="I494" s="4">
        <v>0</v>
      </c>
      <c r="J494" s="4">
        <v>4.4000000000000004</v>
      </c>
      <c r="K494" s="4">
        <v>4.4000000000000004</v>
      </c>
      <c r="L494" s="4">
        <v>8.02</v>
      </c>
      <c r="M494" s="4">
        <v>0</v>
      </c>
      <c r="N494" s="4">
        <v>0</v>
      </c>
      <c r="O494" s="4">
        <v>1.95</v>
      </c>
      <c r="P494" s="4">
        <v>0</v>
      </c>
      <c r="Q494" s="4">
        <v>0</v>
      </c>
      <c r="R494" s="4">
        <v>8.65</v>
      </c>
      <c r="S494" s="19">
        <v>4</v>
      </c>
      <c r="T494" s="19">
        <v>168</v>
      </c>
      <c r="U494" s="19">
        <v>0</v>
      </c>
      <c r="V494" s="19">
        <v>20</v>
      </c>
      <c r="W494" s="19">
        <v>20</v>
      </c>
      <c r="X494" s="19">
        <v>596</v>
      </c>
      <c r="Y494" s="19">
        <v>8</v>
      </c>
      <c r="Z494" s="19">
        <v>4</v>
      </c>
      <c r="AA494" s="14">
        <v>0</v>
      </c>
    </row>
    <row r="495" spans="1:27">
      <c r="A495" s="16">
        <v>46218.135416666664</v>
      </c>
      <c r="B495" s="17">
        <v>46218</v>
      </c>
      <c r="C495" s="18">
        <v>0.13541666666666666</v>
      </c>
      <c r="D495" t="s">
        <v>78</v>
      </c>
      <c r="E495" t="s">
        <v>143</v>
      </c>
      <c r="F495">
        <v>3</v>
      </c>
      <c r="G495" s="4">
        <v>6.1</v>
      </c>
      <c r="H495" s="4">
        <v>6.1</v>
      </c>
      <c r="I495" s="4">
        <v>0</v>
      </c>
      <c r="J495" s="4">
        <v>0</v>
      </c>
      <c r="K495" s="4">
        <v>0</v>
      </c>
      <c r="L495" s="4">
        <v>10.4</v>
      </c>
      <c r="M495" s="4">
        <v>12.7</v>
      </c>
      <c r="N495" s="4">
        <v>12.7</v>
      </c>
      <c r="O495" s="4">
        <v>2.15</v>
      </c>
      <c r="P495" s="4">
        <v>14.7</v>
      </c>
      <c r="Q495" s="4">
        <v>14.7</v>
      </c>
      <c r="R495" s="4">
        <v>51.1</v>
      </c>
      <c r="S495" s="19">
        <v>16</v>
      </c>
      <c r="T495" s="19">
        <v>164</v>
      </c>
      <c r="U495" s="19">
        <v>4</v>
      </c>
      <c r="V495" s="19">
        <v>36</v>
      </c>
      <c r="W495" s="19">
        <v>8</v>
      </c>
      <c r="X495" s="19">
        <v>372</v>
      </c>
      <c r="Y495" s="19">
        <v>28</v>
      </c>
      <c r="Z495" s="19">
        <v>12</v>
      </c>
      <c r="AA495" s="14">
        <v>0</v>
      </c>
    </row>
    <row r="496" spans="1:27">
      <c r="A496" s="16">
        <v>46218.145833333336</v>
      </c>
      <c r="B496" s="17">
        <v>46218</v>
      </c>
      <c r="C496" s="18">
        <v>0.14583333333333334</v>
      </c>
      <c r="D496" t="s">
        <v>78</v>
      </c>
      <c r="E496" t="s">
        <v>143</v>
      </c>
      <c r="F496">
        <v>3</v>
      </c>
      <c r="G496" s="4">
        <v>8.17</v>
      </c>
      <c r="H496" s="4">
        <v>8.17</v>
      </c>
      <c r="I496" s="4">
        <v>0</v>
      </c>
      <c r="J496" s="4">
        <v>0</v>
      </c>
      <c r="K496" s="4">
        <v>0</v>
      </c>
      <c r="L496" s="4">
        <v>15.25</v>
      </c>
      <c r="M496" s="4">
        <v>27.65</v>
      </c>
      <c r="N496" s="4">
        <v>27.65</v>
      </c>
      <c r="O496" s="4">
        <v>7.55</v>
      </c>
      <c r="P496" s="4">
        <v>51.3</v>
      </c>
      <c r="Q496" s="4">
        <v>51.3</v>
      </c>
      <c r="R496" s="4">
        <v>16.399999999999999</v>
      </c>
      <c r="S496" s="19">
        <v>4</v>
      </c>
      <c r="T496" s="19">
        <v>208</v>
      </c>
      <c r="U496" s="19">
        <v>4</v>
      </c>
      <c r="V496" s="19">
        <v>32</v>
      </c>
      <c r="W496" s="19">
        <v>36</v>
      </c>
      <c r="X496" s="19">
        <v>616</v>
      </c>
      <c r="Y496" s="19">
        <v>20</v>
      </c>
      <c r="Z496" s="19">
        <v>16</v>
      </c>
      <c r="AA496" s="14">
        <v>0</v>
      </c>
    </row>
    <row r="497" spans="1:27">
      <c r="A497" s="16">
        <v>46218.15625</v>
      </c>
      <c r="B497" s="17">
        <v>46218</v>
      </c>
      <c r="C497" s="18">
        <v>0.15625</v>
      </c>
      <c r="D497" t="s">
        <v>78</v>
      </c>
      <c r="E497" t="s">
        <v>143</v>
      </c>
      <c r="F497">
        <v>3</v>
      </c>
      <c r="G497" s="4">
        <v>6.1</v>
      </c>
      <c r="H497" s="4">
        <v>6.1</v>
      </c>
      <c r="I497" s="4">
        <v>9.1999999999999993</v>
      </c>
      <c r="J497" s="4">
        <v>27.5</v>
      </c>
      <c r="K497" s="4">
        <v>27.5</v>
      </c>
      <c r="L497" s="4">
        <v>7.47</v>
      </c>
      <c r="M497" s="4">
        <v>7.84</v>
      </c>
      <c r="N497" s="4">
        <v>7.84</v>
      </c>
      <c r="O497" s="4">
        <v>6.1</v>
      </c>
      <c r="P497" s="4">
        <v>18.05</v>
      </c>
      <c r="Q497" s="4">
        <v>18.05</v>
      </c>
      <c r="R497" s="4">
        <v>14.53</v>
      </c>
      <c r="S497" s="19">
        <v>4</v>
      </c>
      <c r="T497" s="19">
        <v>272</v>
      </c>
      <c r="U497" s="19">
        <v>12</v>
      </c>
      <c r="V497" s="19">
        <v>52</v>
      </c>
      <c r="W497" s="19">
        <v>12</v>
      </c>
      <c r="X497" s="19">
        <v>648</v>
      </c>
      <c r="Y497" s="19">
        <v>20</v>
      </c>
      <c r="Z497" s="19">
        <v>8</v>
      </c>
      <c r="AA497" s="14">
        <v>0</v>
      </c>
    </row>
    <row r="498" spans="1:27">
      <c r="A498" s="16">
        <v>46218.166666666664</v>
      </c>
      <c r="B498" s="17">
        <v>46218</v>
      </c>
      <c r="C498" s="18">
        <v>0.16666666666666666</v>
      </c>
      <c r="D498" t="s">
        <v>78</v>
      </c>
      <c r="E498" t="s">
        <v>143</v>
      </c>
      <c r="F498">
        <v>3</v>
      </c>
      <c r="G498" s="4">
        <v>42.7</v>
      </c>
      <c r="H498" s="4">
        <v>42.7</v>
      </c>
      <c r="I498" s="4">
        <v>5.7</v>
      </c>
      <c r="J498" s="4">
        <v>6.3</v>
      </c>
      <c r="K498" s="4">
        <v>6.3</v>
      </c>
      <c r="L498" s="4">
        <v>5.73</v>
      </c>
      <c r="M498" s="4">
        <v>30.7</v>
      </c>
      <c r="N498" s="4">
        <v>30.7</v>
      </c>
      <c r="O498" s="4">
        <v>1.1000000000000001</v>
      </c>
      <c r="P498" s="4">
        <v>27.7</v>
      </c>
      <c r="Q498" s="4">
        <v>27.7</v>
      </c>
      <c r="R498" s="4">
        <v>6.55</v>
      </c>
      <c r="S498" s="19">
        <v>20</v>
      </c>
      <c r="T498" s="19">
        <v>352</v>
      </c>
      <c r="U498" s="19">
        <v>4</v>
      </c>
      <c r="V498" s="19">
        <v>28</v>
      </c>
      <c r="W498" s="19">
        <v>24</v>
      </c>
      <c r="X498" s="19">
        <v>508</v>
      </c>
      <c r="Y498" s="19">
        <v>16</v>
      </c>
      <c r="Z498" s="19">
        <v>28</v>
      </c>
      <c r="AA498" s="14">
        <v>0</v>
      </c>
    </row>
    <row r="499" spans="1:27">
      <c r="A499" s="16">
        <v>46218.177083333336</v>
      </c>
      <c r="B499" s="17">
        <v>46218</v>
      </c>
      <c r="C499" s="18">
        <v>0.17708333333333334</v>
      </c>
      <c r="D499" t="s">
        <v>78</v>
      </c>
      <c r="E499" t="s">
        <v>143</v>
      </c>
      <c r="F499">
        <v>3</v>
      </c>
      <c r="G499" s="4">
        <v>6.1</v>
      </c>
      <c r="H499" s="4">
        <v>6.1</v>
      </c>
      <c r="I499" s="4">
        <v>2.6</v>
      </c>
      <c r="J499" s="4">
        <v>0</v>
      </c>
      <c r="K499" s="4">
        <v>0</v>
      </c>
      <c r="L499" s="4">
        <v>9.9</v>
      </c>
      <c r="M499" s="4">
        <v>8.17</v>
      </c>
      <c r="N499" s="4">
        <v>8.17</v>
      </c>
      <c r="O499" s="4">
        <v>0.86</v>
      </c>
      <c r="P499" s="4">
        <v>11.15</v>
      </c>
      <c r="Q499" s="4">
        <v>11.15</v>
      </c>
      <c r="R499" s="4">
        <v>15.67</v>
      </c>
      <c r="S499" s="19">
        <v>16</v>
      </c>
      <c r="T499" s="19">
        <v>216</v>
      </c>
      <c r="U499" s="19">
        <v>8</v>
      </c>
      <c r="V499" s="19">
        <v>24</v>
      </c>
      <c r="W499" s="19">
        <v>20</v>
      </c>
      <c r="X499" s="19">
        <v>668</v>
      </c>
      <c r="Y499" s="19">
        <v>4</v>
      </c>
      <c r="Z499" s="19">
        <v>28</v>
      </c>
      <c r="AA499" s="14">
        <v>0</v>
      </c>
    </row>
    <row r="500" spans="1:27">
      <c r="A500" s="16">
        <v>46218.1875</v>
      </c>
      <c r="B500" s="17">
        <v>46218</v>
      </c>
      <c r="C500" s="18">
        <v>0.1875</v>
      </c>
      <c r="D500" t="s">
        <v>78</v>
      </c>
      <c r="E500" t="s">
        <v>143</v>
      </c>
      <c r="F500">
        <v>3</v>
      </c>
      <c r="G500" s="4">
        <v>3.95</v>
      </c>
      <c r="H500" s="4">
        <v>3.95</v>
      </c>
      <c r="I500" s="4">
        <v>12.5</v>
      </c>
      <c r="J500" s="4">
        <v>35.299999999999997</v>
      </c>
      <c r="K500" s="4">
        <v>35.299999999999997</v>
      </c>
      <c r="L500" s="4">
        <v>12.58</v>
      </c>
      <c r="M500" s="4">
        <v>22.13</v>
      </c>
      <c r="N500" s="4">
        <v>22.13</v>
      </c>
      <c r="O500" s="4">
        <v>3.28</v>
      </c>
      <c r="P500" s="4">
        <v>6.5</v>
      </c>
      <c r="Q500" s="4">
        <v>6.5</v>
      </c>
      <c r="R500" s="4">
        <v>14.08</v>
      </c>
      <c r="S500" s="19">
        <v>16</v>
      </c>
      <c r="T500" s="19">
        <v>308</v>
      </c>
      <c r="U500" s="19">
        <v>0</v>
      </c>
      <c r="V500" s="19">
        <v>28</v>
      </c>
      <c r="W500" s="19">
        <v>20</v>
      </c>
      <c r="X500" s="19">
        <v>824</v>
      </c>
      <c r="Y500" s="19">
        <v>32</v>
      </c>
      <c r="Z500" s="19">
        <v>48</v>
      </c>
      <c r="AA500" s="14">
        <v>0</v>
      </c>
    </row>
    <row r="501" spans="1:27">
      <c r="A501" s="16">
        <v>46218.197916666664</v>
      </c>
      <c r="B501" s="17">
        <v>46218</v>
      </c>
      <c r="C501" s="18">
        <v>0.19791666666666666</v>
      </c>
      <c r="D501" t="s">
        <v>78</v>
      </c>
      <c r="E501" t="s">
        <v>143</v>
      </c>
      <c r="F501">
        <v>3</v>
      </c>
      <c r="G501" s="4">
        <v>10.73</v>
      </c>
      <c r="H501" s="4">
        <v>10.73</v>
      </c>
      <c r="I501" s="4">
        <v>1.55</v>
      </c>
      <c r="J501" s="4">
        <v>0</v>
      </c>
      <c r="K501" s="4">
        <v>0</v>
      </c>
      <c r="L501" s="4">
        <v>7.67</v>
      </c>
      <c r="M501" s="4">
        <v>24.96</v>
      </c>
      <c r="N501" s="4">
        <v>24.96</v>
      </c>
      <c r="O501" s="4">
        <v>0.77</v>
      </c>
      <c r="P501" s="4">
        <v>14.1</v>
      </c>
      <c r="Q501" s="4">
        <v>14.1</v>
      </c>
      <c r="R501" s="4">
        <v>11.61</v>
      </c>
      <c r="S501" s="19">
        <v>24</v>
      </c>
      <c r="T501" s="19">
        <v>464</v>
      </c>
      <c r="U501" s="19">
        <v>8</v>
      </c>
      <c r="V501" s="19">
        <v>48</v>
      </c>
      <c r="W501" s="19">
        <v>28</v>
      </c>
      <c r="X501" s="19">
        <v>764</v>
      </c>
      <c r="Y501" s="19">
        <v>20</v>
      </c>
      <c r="Z501" s="19">
        <v>116</v>
      </c>
      <c r="AA501" s="14">
        <v>0</v>
      </c>
    </row>
    <row r="502" spans="1:27">
      <c r="A502" s="16">
        <v>46218.208333333336</v>
      </c>
      <c r="B502" s="17">
        <v>46218</v>
      </c>
      <c r="C502" s="18">
        <v>0.20833333333333334</v>
      </c>
      <c r="D502" t="s">
        <v>78</v>
      </c>
      <c r="E502" t="s">
        <v>143</v>
      </c>
      <c r="F502">
        <v>3</v>
      </c>
      <c r="G502" s="4">
        <v>6.43</v>
      </c>
      <c r="H502" s="4">
        <v>6.43</v>
      </c>
      <c r="I502" s="4">
        <v>10.1</v>
      </c>
      <c r="J502" s="4">
        <v>19.8</v>
      </c>
      <c r="K502" s="4">
        <v>19.8</v>
      </c>
      <c r="L502" s="4">
        <v>11.88</v>
      </c>
      <c r="M502" s="4">
        <v>17.77</v>
      </c>
      <c r="N502" s="4">
        <v>17.77</v>
      </c>
      <c r="O502" s="4">
        <v>10.92</v>
      </c>
      <c r="P502" s="4">
        <v>8.1</v>
      </c>
      <c r="Q502" s="4">
        <v>8.1</v>
      </c>
      <c r="R502" s="4">
        <v>17.63</v>
      </c>
      <c r="S502" s="19">
        <v>112</v>
      </c>
      <c r="T502" s="19">
        <v>428</v>
      </c>
      <c r="U502" s="19">
        <v>8</v>
      </c>
      <c r="V502" s="19">
        <v>28</v>
      </c>
      <c r="W502" s="19">
        <v>48</v>
      </c>
      <c r="X502" s="19">
        <v>856</v>
      </c>
      <c r="Y502" s="19">
        <v>44</v>
      </c>
      <c r="Z502" s="19">
        <v>56</v>
      </c>
      <c r="AA502" s="14">
        <v>0</v>
      </c>
    </row>
    <row r="503" spans="1:27">
      <c r="A503" s="16">
        <v>46218.21875</v>
      </c>
      <c r="B503" s="17">
        <v>46218</v>
      </c>
      <c r="C503" s="18">
        <v>0.21875</v>
      </c>
      <c r="D503" t="s">
        <v>78</v>
      </c>
      <c r="E503" t="s">
        <v>143</v>
      </c>
      <c r="F503">
        <v>3</v>
      </c>
      <c r="G503" s="4">
        <v>3.8</v>
      </c>
      <c r="H503" s="4">
        <v>3.8</v>
      </c>
      <c r="I503" s="4">
        <v>10.1</v>
      </c>
      <c r="J503" s="4">
        <v>0</v>
      </c>
      <c r="K503" s="4">
        <v>0</v>
      </c>
      <c r="L503" s="4">
        <v>13.1</v>
      </c>
      <c r="M503" s="4">
        <v>19.059999999999999</v>
      </c>
      <c r="N503" s="4">
        <v>19.059999999999999</v>
      </c>
      <c r="O503" s="4">
        <v>9.0399999999999991</v>
      </c>
      <c r="P503" s="4">
        <v>19.07</v>
      </c>
      <c r="Q503" s="4">
        <v>19.07</v>
      </c>
      <c r="R503" s="4">
        <v>18.260000000000002</v>
      </c>
      <c r="S503" s="19">
        <v>36</v>
      </c>
      <c r="T503" s="19">
        <v>628</v>
      </c>
      <c r="U503" s="19">
        <v>20</v>
      </c>
      <c r="V503" s="19">
        <v>144</v>
      </c>
      <c r="W503" s="19">
        <v>64</v>
      </c>
      <c r="X503" s="19">
        <v>820</v>
      </c>
      <c r="Y503" s="19">
        <v>28</v>
      </c>
      <c r="Z503" s="19">
        <v>108</v>
      </c>
      <c r="AA503" s="14">
        <v>0</v>
      </c>
    </row>
    <row r="504" spans="1:27">
      <c r="A504" s="16">
        <v>46218.229166666664</v>
      </c>
      <c r="B504" s="17">
        <v>46218</v>
      </c>
      <c r="C504" s="18">
        <v>0.22916666666666666</v>
      </c>
      <c r="D504" t="s">
        <v>78</v>
      </c>
      <c r="E504" t="s">
        <v>143</v>
      </c>
      <c r="F504">
        <v>3</v>
      </c>
      <c r="G504" s="4">
        <v>21.1</v>
      </c>
      <c r="H504" s="4">
        <v>21.1</v>
      </c>
      <c r="I504" s="4">
        <v>7.56</v>
      </c>
      <c r="J504" s="4">
        <v>42.37</v>
      </c>
      <c r="K504" s="4">
        <v>42.37</v>
      </c>
      <c r="L504" s="4">
        <v>16.14</v>
      </c>
      <c r="M504" s="4">
        <v>19.059999999999999</v>
      </c>
      <c r="N504" s="4">
        <v>19.059999999999999</v>
      </c>
      <c r="O504" s="4">
        <v>11.46</v>
      </c>
      <c r="P504" s="4">
        <v>35.369999999999997</v>
      </c>
      <c r="Q504" s="4">
        <v>35.369999999999997</v>
      </c>
      <c r="R504" s="4">
        <v>19.48</v>
      </c>
      <c r="S504" s="19">
        <v>24</v>
      </c>
      <c r="T504" s="19">
        <v>748</v>
      </c>
      <c r="U504" s="19">
        <v>20</v>
      </c>
      <c r="V504" s="19">
        <v>64</v>
      </c>
      <c r="W504" s="19">
        <v>72</v>
      </c>
      <c r="X504" s="19">
        <v>1104</v>
      </c>
      <c r="Y504" s="19">
        <v>36</v>
      </c>
      <c r="Z504" s="19">
        <v>112</v>
      </c>
      <c r="AA504" s="14">
        <v>1</v>
      </c>
    </row>
    <row r="505" spans="1:27">
      <c r="A505" s="16">
        <v>46218.239583333336</v>
      </c>
      <c r="B505" s="17">
        <v>46218</v>
      </c>
      <c r="C505" s="18">
        <v>0.23958333333333334</v>
      </c>
      <c r="D505" t="s">
        <v>78</v>
      </c>
      <c r="E505" t="s">
        <v>143</v>
      </c>
      <c r="F505">
        <v>3</v>
      </c>
      <c r="G505" s="4">
        <v>42.45</v>
      </c>
      <c r="H505" s="4">
        <v>42.45</v>
      </c>
      <c r="I505" s="4">
        <v>16.28</v>
      </c>
      <c r="J505" s="4">
        <v>50.1</v>
      </c>
      <c r="K505" s="4">
        <v>50.1</v>
      </c>
      <c r="L505" s="4">
        <v>18.82</v>
      </c>
      <c r="M505" s="4">
        <v>25.23</v>
      </c>
      <c r="N505" s="4">
        <v>25.23</v>
      </c>
      <c r="O505" s="4">
        <v>24.31</v>
      </c>
      <c r="P505" s="4">
        <v>20.03</v>
      </c>
      <c r="Q505" s="4">
        <v>20.03</v>
      </c>
      <c r="R505" s="4">
        <v>22.39</v>
      </c>
      <c r="S505" s="19">
        <v>96</v>
      </c>
      <c r="T505" s="19">
        <v>944</v>
      </c>
      <c r="U505" s="19">
        <v>24</v>
      </c>
      <c r="V505" s="19">
        <v>140</v>
      </c>
      <c r="W505" s="19">
        <v>72</v>
      </c>
      <c r="X505" s="19">
        <v>1400</v>
      </c>
      <c r="Y505" s="19">
        <v>120</v>
      </c>
      <c r="Z505" s="19">
        <v>132</v>
      </c>
      <c r="AA505" s="14">
        <v>0</v>
      </c>
    </row>
    <row r="506" spans="1:27">
      <c r="A506" s="16">
        <v>46218.25</v>
      </c>
      <c r="B506" s="17">
        <v>46218</v>
      </c>
      <c r="C506" s="18">
        <v>0.25</v>
      </c>
      <c r="D506" t="s">
        <v>78</v>
      </c>
      <c r="E506" t="s">
        <v>143</v>
      </c>
      <c r="F506">
        <v>3</v>
      </c>
      <c r="G506" s="4">
        <v>24.87</v>
      </c>
      <c r="H506" s="4">
        <v>24.87</v>
      </c>
      <c r="I506" s="4">
        <v>17.260000000000002</v>
      </c>
      <c r="J506" s="4">
        <v>23.4</v>
      </c>
      <c r="K506" s="4">
        <v>23.4</v>
      </c>
      <c r="L506" s="4">
        <v>29.27</v>
      </c>
      <c r="M506" s="4">
        <v>26.6</v>
      </c>
      <c r="N506" s="4">
        <v>26.6</v>
      </c>
      <c r="O506" s="4">
        <v>20.14</v>
      </c>
      <c r="P506" s="4">
        <v>22.81</v>
      </c>
      <c r="Q506" s="4">
        <v>22.81</v>
      </c>
      <c r="R506" s="4">
        <v>31.88</v>
      </c>
      <c r="S506" s="19">
        <v>24</v>
      </c>
      <c r="T506" s="19">
        <v>956</v>
      </c>
      <c r="U506" s="19">
        <v>84</v>
      </c>
      <c r="V506" s="19">
        <v>216</v>
      </c>
      <c r="W506" s="19">
        <v>88</v>
      </c>
      <c r="X506" s="19">
        <v>1056</v>
      </c>
      <c r="Y506" s="19">
        <v>116</v>
      </c>
      <c r="Z506" s="19">
        <v>112</v>
      </c>
      <c r="AA506" s="14">
        <v>1</v>
      </c>
    </row>
    <row r="507" spans="1:27">
      <c r="A507" s="16">
        <v>46218.260416666664</v>
      </c>
      <c r="B507" s="17">
        <v>46218</v>
      </c>
      <c r="C507" s="18">
        <v>0.26041666666666669</v>
      </c>
      <c r="D507" t="s">
        <v>78</v>
      </c>
      <c r="E507" t="s">
        <v>143</v>
      </c>
      <c r="F507">
        <v>3</v>
      </c>
      <c r="G507" s="4">
        <v>23.53</v>
      </c>
      <c r="H507" s="4">
        <v>23.53</v>
      </c>
      <c r="I507" s="4">
        <v>18.850000000000001</v>
      </c>
      <c r="J507" s="4">
        <v>14.63</v>
      </c>
      <c r="K507" s="4">
        <v>14.63</v>
      </c>
      <c r="L507" s="4">
        <v>27.49</v>
      </c>
      <c r="M507" s="4">
        <v>32.28</v>
      </c>
      <c r="N507" s="4">
        <v>32.28</v>
      </c>
      <c r="O507" s="4">
        <v>20.45</v>
      </c>
      <c r="P507" s="4">
        <v>34.82</v>
      </c>
      <c r="Q507" s="4">
        <v>34.82</v>
      </c>
      <c r="R507" s="4">
        <v>26.4</v>
      </c>
      <c r="S507" s="19">
        <v>204</v>
      </c>
      <c r="T507" s="19">
        <v>880</v>
      </c>
      <c r="U507" s="19">
        <v>52</v>
      </c>
      <c r="V507" s="19">
        <v>120</v>
      </c>
      <c r="W507" s="19">
        <v>72</v>
      </c>
      <c r="X507" s="19">
        <v>1032</v>
      </c>
      <c r="Y507" s="19">
        <v>160</v>
      </c>
      <c r="Z507" s="19">
        <v>144</v>
      </c>
      <c r="AA507" s="14">
        <v>1</v>
      </c>
    </row>
    <row r="508" spans="1:27">
      <c r="A508" s="16">
        <v>46218.270833333336</v>
      </c>
      <c r="B508" s="17">
        <v>46218</v>
      </c>
      <c r="C508" s="18">
        <v>0.27083333333333331</v>
      </c>
      <c r="D508" t="s">
        <v>78</v>
      </c>
      <c r="E508" t="s">
        <v>143</v>
      </c>
      <c r="F508">
        <v>3</v>
      </c>
      <c r="G508" s="4">
        <v>37.020000000000003</v>
      </c>
      <c r="H508" s="4">
        <v>37.020000000000003</v>
      </c>
      <c r="I508" s="4">
        <v>25.29</v>
      </c>
      <c r="J508" s="4">
        <v>34.159999999999997</v>
      </c>
      <c r="K508" s="4">
        <v>34.159999999999997</v>
      </c>
      <c r="L508" s="4">
        <v>18.89</v>
      </c>
      <c r="M508" s="4">
        <v>38.130000000000003</v>
      </c>
      <c r="N508" s="4">
        <v>38.130000000000003</v>
      </c>
      <c r="O508" s="4">
        <v>30.91</v>
      </c>
      <c r="P508" s="4">
        <v>47.93</v>
      </c>
      <c r="Q508" s="4">
        <v>47.93</v>
      </c>
      <c r="R508" s="4">
        <v>26.8</v>
      </c>
      <c r="S508" s="19">
        <v>44</v>
      </c>
      <c r="T508" s="19">
        <v>1044</v>
      </c>
      <c r="U508" s="19">
        <v>16</v>
      </c>
      <c r="V508" s="19">
        <v>152</v>
      </c>
      <c r="W508" s="19">
        <v>64</v>
      </c>
      <c r="X508" s="19">
        <v>1360</v>
      </c>
      <c r="Y508" s="19">
        <v>216</v>
      </c>
      <c r="Z508" s="19">
        <v>136</v>
      </c>
      <c r="AA508" s="14">
        <v>1</v>
      </c>
    </row>
    <row r="509" spans="1:27">
      <c r="A509" s="16">
        <v>46218.28125</v>
      </c>
      <c r="B509" s="17">
        <v>46218</v>
      </c>
      <c r="C509" s="18">
        <v>0.28125</v>
      </c>
      <c r="D509" t="s">
        <v>78</v>
      </c>
      <c r="E509" t="s">
        <v>143</v>
      </c>
      <c r="F509">
        <v>3</v>
      </c>
      <c r="G509" s="4">
        <v>69.599999999999994</v>
      </c>
      <c r="H509" s="4">
        <v>69.599999999999994</v>
      </c>
      <c r="I509" s="4">
        <v>33.97</v>
      </c>
      <c r="J509" s="4">
        <v>41.8</v>
      </c>
      <c r="K509" s="4">
        <v>41.8</v>
      </c>
      <c r="L509" s="4">
        <v>61.67</v>
      </c>
      <c r="M509" s="4">
        <v>81.47</v>
      </c>
      <c r="N509" s="4">
        <v>81.47</v>
      </c>
      <c r="O509" s="4">
        <v>50.88</v>
      </c>
      <c r="P509" s="4">
        <v>56</v>
      </c>
      <c r="Q509" s="4">
        <v>56</v>
      </c>
      <c r="R509" s="4">
        <v>75.33</v>
      </c>
      <c r="S509" s="19">
        <v>212</v>
      </c>
      <c r="T509" s="19">
        <v>1288</v>
      </c>
      <c r="U509" s="19">
        <v>36</v>
      </c>
      <c r="V509" s="19">
        <v>204</v>
      </c>
      <c r="W509" s="19">
        <v>44</v>
      </c>
      <c r="X509" s="19">
        <v>1420</v>
      </c>
      <c r="Y509" s="19">
        <v>76</v>
      </c>
      <c r="Z509" s="19">
        <v>160</v>
      </c>
      <c r="AA509" s="14">
        <v>1</v>
      </c>
    </row>
    <row r="510" spans="1:27">
      <c r="A510" s="16">
        <v>46218.291666666664</v>
      </c>
      <c r="B510" s="17">
        <v>46218</v>
      </c>
      <c r="C510" s="18">
        <v>0.29166666666666669</v>
      </c>
      <c r="D510" t="s">
        <v>78</v>
      </c>
      <c r="E510" t="s">
        <v>143</v>
      </c>
      <c r="F510">
        <v>3</v>
      </c>
      <c r="G510" s="4">
        <v>79.599999999999994</v>
      </c>
      <c r="H510" s="4">
        <v>79.599999999999994</v>
      </c>
      <c r="I510" s="4">
        <v>46.2</v>
      </c>
      <c r="J510" s="4">
        <v>108.55</v>
      </c>
      <c r="K510" s="4">
        <v>108.55</v>
      </c>
      <c r="L510" s="4">
        <v>72.099999999999994</v>
      </c>
      <c r="M510" s="4">
        <v>90.84</v>
      </c>
      <c r="N510" s="4">
        <v>90.84</v>
      </c>
      <c r="O510" s="4">
        <v>53.54</v>
      </c>
      <c r="P510" s="4">
        <v>69.17</v>
      </c>
      <c r="Q510" s="4">
        <v>69.17</v>
      </c>
      <c r="R510" s="4">
        <v>89.9</v>
      </c>
      <c r="S510" s="19">
        <v>304</v>
      </c>
      <c r="T510" s="19">
        <v>912</v>
      </c>
      <c r="U510" s="19">
        <v>28</v>
      </c>
      <c r="V510" s="19">
        <v>180</v>
      </c>
      <c r="W510" s="19">
        <v>32</v>
      </c>
      <c r="X510" s="19">
        <v>1060</v>
      </c>
      <c r="Y510" s="19">
        <v>136</v>
      </c>
      <c r="Z510" s="19">
        <v>104</v>
      </c>
      <c r="AA510" s="14">
        <v>1</v>
      </c>
    </row>
    <row r="511" spans="1:27">
      <c r="A511" s="16">
        <v>46218.302083333336</v>
      </c>
      <c r="B511" s="17">
        <v>46218</v>
      </c>
      <c r="C511" s="18">
        <v>0.30208333333333331</v>
      </c>
      <c r="D511" t="s">
        <v>78</v>
      </c>
      <c r="E511" t="s">
        <v>143</v>
      </c>
      <c r="F511">
        <v>3</v>
      </c>
      <c r="G511" s="4">
        <v>38.35</v>
      </c>
      <c r="H511" s="4">
        <v>38.35</v>
      </c>
      <c r="I511" s="4">
        <v>44.5</v>
      </c>
      <c r="J511" s="4">
        <v>70.03</v>
      </c>
      <c r="K511" s="4">
        <v>70.03</v>
      </c>
      <c r="L511" s="4">
        <v>54.08</v>
      </c>
      <c r="M511" s="4">
        <v>97.94</v>
      </c>
      <c r="N511" s="4">
        <v>97.94</v>
      </c>
      <c r="O511" s="4">
        <v>49.02</v>
      </c>
      <c r="P511" s="4">
        <v>78.56</v>
      </c>
      <c r="Q511" s="4">
        <v>78.56</v>
      </c>
      <c r="R511" s="4">
        <v>84.37</v>
      </c>
      <c r="S511" s="19">
        <v>80</v>
      </c>
      <c r="T511" s="19">
        <v>1172</v>
      </c>
      <c r="U511" s="19">
        <v>32</v>
      </c>
      <c r="V511" s="19">
        <v>308</v>
      </c>
      <c r="W511" s="19">
        <v>52</v>
      </c>
      <c r="X511" s="19">
        <v>1604</v>
      </c>
      <c r="Y511" s="19">
        <v>140</v>
      </c>
      <c r="Z511" s="19">
        <v>160</v>
      </c>
      <c r="AA511" s="14">
        <v>1</v>
      </c>
    </row>
    <row r="512" spans="1:27">
      <c r="A512" s="16">
        <v>46218.3125</v>
      </c>
      <c r="B512" s="17">
        <v>46218</v>
      </c>
      <c r="C512" s="18">
        <v>0.3125</v>
      </c>
      <c r="D512" t="s">
        <v>78</v>
      </c>
      <c r="E512" t="s">
        <v>143</v>
      </c>
      <c r="F512">
        <v>3</v>
      </c>
      <c r="G512" s="4">
        <v>93.6</v>
      </c>
      <c r="H512" s="4">
        <v>93.6</v>
      </c>
      <c r="I512" s="4">
        <v>38.549999999999997</v>
      </c>
      <c r="J512" s="4">
        <v>52.83</v>
      </c>
      <c r="K512" s="4">
        <v>52.83</v>
      </c>
      <c r="L512" s="4">
        <v>46.63</v>
      </c>
      <c r="M512" s="4">
        <v>84.38</v>
      </c>
      <c r="N512" s="4">
        <v>84.38</v>
      </c>
      <c r="O512" s="4">
        <v>63.87</v>
      </c>
      <c r="P512" s="4">
        <v>41.65</v>
      </c>
      <c r="Q512" s="4">
        <v>41.65</v>
      </c>
      <c r="R512" s="4">
        <v>83.3</v>
      </c>
      <c r="S512" s="19">
        <v>104</v>
      </c>
      <c r="T512" s="19">
        <v>1032</v>
      </c>
      <c r="U512" s="19">
        <v>36</v>
      </c>
      <c r="V512" s="19">
        <v>280</v>
      </c>
      <c r="W512" s="19">
        <v>48</v>
      </c>
      <c r="X512" s="19">
        <v>1380</v>
      </c>
      <c r="Y512" s="19">
        <v>148</v>
      </c>
      <c r="Z512" s="19">
        <v>72</v>
      </c>
      <c r="AA512" s="14">
        <v>1</v>
      </c>
    </row>
    <row r="513" spans="1:27">
      <c r="A513" s="16">
        <v>46218.322916666664</v>
      </c>
      <c r="B513" s="17">
        <v>46218</v>
      </c>
      <c r="C513" s="18">
        <v>0.32291666666666669</v>
      </c>
      <c r="D513" t="s">
        <v>78</v>
      </c>
      <c r="E513" t="s">
        <v>143</v>
      </c>
      <c r="F513">
        <v>3</v>
      </c>
      <c r="G513" s="4">
        <v>56.1</v>
      </c>
      <c r="H513" s="4">
        <v>56.1</v>
      </c>
      <c r="I513" s="4">
        <v>51.55</v>
      </c>
      <c r="J513" s="4">
        <v>81.599999999999994</v>
      </c>
      <c r="K513" s="4">
        <v>81.599999999999994</v>
      </c>
      <c r="L513" s="4">
        <v>61.38</v>
      </c>
      <c r="M513" s="4">
        <v>95.47</v>
      </c>
      <c r="N513" s="4">
        <v>95.47</v>
      </c>
      <c r="O513" s="4">
        <v>76.47</v>
      </c>
      <c r="P513" s="4">
        <v>116.05</v>
      </c>
      <c r="Q513" s="4">
        <v>116.05</v>
      </c>
      <c r="R513" s="4">
        <v>93.35</v>
      </c>
      <c r="S513" s="19">
        <v>196</v>
      </c>
      <c r="T513" s="19">
        <v>1500</v>
      </c>
      <c r="U513" s="19">
        <v>72</v>
      </c>
      <c r="V513" s="19">
        <v>336</v>
      </c>
      <c r="W513" s="19">
        <v>56</v>
      </c>
      <c r="X513" s="19">
        <v>1768</v>
      </c>
      <c r="Y513" s="19">
        <v>156</v>
      </c>
      <c r="Z513" s="19">
        <v>136</v>
      </c>
      <c r="AA513" s="14">
        <v>1</v>
      </c>
    </row>
    <row r="514" spans="1:27">
      <c r="A514" s="16">
        <v>46218.333333333336</v>
      </c>
      <c r="B514" s="17">
        <v>46218</v>
      </c>
      <c r="C514" s="18">
        <v>0.33333333333333331</v>
      </c>
      <c r="D514" t="s">
        <v>78</v>
      </c>
      <c r="E514" t="s">
        <v>143</v>
      </c>
      <c r="F514">
        <v>3</v>
      </c>
      <c r="G514" s="4">
        <v>88.16</v>
      </c>
      <c r="H514" s="4">
        <v>88.16</v>
      </c>
      <c r="I514" s="4">
        <v>63.1</v>
      </c>
      <c r="J514" s="4">
        <v>67.03</v>
      </c>
      <c r="K514" s="4">
        <v>67.03</v>
      </c>
      <c r="L514" s="4">
        <v>52.44</v>
      </c>
      <c r="M514" s="4">
        <v>104.16</v>
      </c>
      <c r="N514" s="4">
        <v>104.16</v>
      </c>
      <c r="O514" s="4">
        <v>76.5</v>
      </c>
      <c r="P514" s="4">
        <v>75.12</v>
      </c>
      <c r="Q514" s="4">
        <v>75.12</v>
      </c>
      <c r="R514" s="4">
        <v>78.45</v>
      </c>
      <c r="S514" s="19">
        <v>120</v>
      </c>
      <c r="T514" s="19">
        <v>1260</v>
      </c>
      <c r="U514" s="19">
        <v>60</v>
      </c>
      <c r="V514" s="19">
        <v>408</v>
      </c>
      <c r="W514" s="19">
        <v>88</v>
      </c>
      <c r="X514" s="19">
        <v>1152</v>
      </c>
      <c r="Y514" s="19">
        <v>176</v>
      </c>
      <c r="Z514" s="19">
        <v>136</v>
      </c>
      <c r="AA514" s="14">
        <v>1</v>
      </c>
    </row>
    <row r="515" spans="1:27">
      <c r="A515" s="16">
        <v>46218.34375</v>
      </c>
      <c r="B515" s="17">
        <v>46218</v>
      </c>
      <c r="C515" s="18">
        <v>0.34375</v>
      </c>
      <c r="D515" t="s">
        <v>78</v>
      </c>
      <c r="E515" t="s">
        <v>143</v>
      </c>
      <c r="F515">
        <v>3</v>
      </c>
      <c r="G515" s="4">
        <v>78.239999999999995</v>
      </c>
      <c r="H515" s="4">
        <v>78.239999999999995</v>
      </c>
      <c r="I515" s="4">
        <v>67.53</v>
      </c>
      <c r="J515" s="4">
        <v>67.22</v>
      </c>
      <c r="K515" s="4">
        <v>67.22</v>
      </c>
      <c r="L515" s="4">
        <v>66.040000000000006</v>
      </c>
      <c r="M515" s="4">
        <v>92.9</v>
      </c>
      <c r="N515" s="4">
        <v>92.9</v>
      </c>
      <c r="O515" s="4">
        <v>65.7</v>
      </c>
      <c r="P515" s="4">
        <v>72.84</v>
      </c>
      <c r="Q515" s="4">
        <v>72.84</v>
      </c>
      <c r="R515" s="4">
        <v>89.7</v>
      </c>
      <c r="S515" s="19">
        <v>284</v>
      </c>
      <c r="T515" s="19">
        <v>1072</v>
      </c>
      <c r="U515" s="19">
        <v>60</v>
      </c>
      <c r="V515" s="19">
        <v>328</v>
      </c>
      <c r="W515" s="19">
        <v>64</v>
      </c>
      <c r="X515" s="19">
        <v>1428</v>
      </c>
      <c r="Y515" s="19">
        <v>116</v>
      </c>
      <c r="Z515" s="19">
        <v>160</v>
      </c>
      <c r="AA515" s="14">
        <v>1</v>
      </c>
    </row>
    <row r="516" spans="1:27">
      <c r="A516" s="16">
        <v>46218.354166666664</v>
      </c>
      <c r="B516" s="17">
        <v>46218</v>
      </c>
      <c r="C516" s="18">
        <v>0.35416666666666669</v>
      </c>
      <c r="D516" t="s">
        <v>78</v>
      </c>
      <c r="E516" t="s">
        <v>143</v>
      </c>
      <c r="F516">
        <v>3</v>
      </c>
      <c r="G516" s="4">
        <v>54.92</v>
      </c>
      <c r="H516" s="4">
        <v>54.92</v>
      </c>
      <c r="I516" s="4">
        <v>36.07</v>
      </c>
      <c r="J516" s="4">
        <v>68.099999999999994</v>
      </c>
      <c r="K516" s="4">
        <v>68.099999999999994</v>
      </c>
      <c r="L516" s="4">
        <v>51.65</v>
      </c>
      <c r="M516" s="4">
        <v>90.28</v>
      </c>
      <c r="N516" s="4">
        <v>90.28</v>
      </c>
      <c r="O516" s="4">
        <v>99.92</v>
      </c>
      <c r="P516" s="4">
        <v>56.82</v>
      </c>
      <c r="Q516" s="4">
        <v>56.82</v>
      </c>
      <c r="R516" s="4">
        <v>86.13</v>
      </c>
      <c r="S516" s="19">
        <v>124</v>
      </c>
      <c r="T516" s="19">
        <v>1092</v>
      </c>
      <c r="U516" s="19">
        <v>72</v>
      </c>
      <c r="V516" s="19">
        <v>392</v>
      </c>
      <c r="W516" s="19">
        <v>68</v>
      </c>
      <c r="X516" s="19">
        <v>1272</v>
      </c>
      <c r="Y516" s="19">
        <v>176</v>
      </c>
      <c r="Z516" s="19">
        <v>128</v>
      </c>
      <c r="AA516" s="14">
        <v>1</v>
      </c>
    </row>
    <row r="517" spans="1:27">
      <c r="A517" s="16">
        <v>46218.364583333336</v>
      </c>
      <c r="B517" s="17">
        <v>46218</v>
      </c>
      <c r="C517" s="18">
        <v>0.36458333333333331</v>
      </c>
      <c r="D517" t="s">
        <v>78</v>
      </c>
      <c r="E517" t="s">
        <v>143</v>
      </c>
      <c r="F517">
        <v>3</v>
      </c>
      <c r="G517" s="4">
        <v>59.67</v>
      </c>
      <c r="H517" s="4">
        <v>59.67</v>
      </c>
      <c r="I517" s="4">
        <v>69.5</v>
      </c>
      <c r="J517" s="4">
        <v>28.77</v>
      </c>
      <c r="K517" s="4">
        <v>28.77</v>
      </c>
      <c r="L517" s="4">
        <v>48.88</v>
      </c>
      <c r="M517" s="4">
        <v>113.5</v>
      </c>
      <c r="N517" s="4">
        <v>113.5</v>
      </c>
      <c r="O517" s="4">
        <v>76.180000000000007</v>
      </c>
      <c r="P517" s="4">
        <v>74.7</v>
      </c>
      <c r="Q517" s="4">
        <v>74.7</v>
      </c>
      <c r="R517" s="4">
        <v>89.92</v>
      </c>
      <c r="S517" s="19">
        <v>208</v>
      </c>
      <c r="T517" s="19">
        <v>1400</v>
      </c>
      <c r="U517" s="19">
        <v>104</v>
      </c>
      <c r="V517" s="19">
        <v>360</v>
      </c>
      <c r="W517" s="19">
        <v>44</v>
      </c>
      <c r="X517" s="19">
        <v>1828</v>
      </c>
      <c r="Y517" s="19">
        <v>164</v>
      </c>
      <c r="Z517" s="19">
        <v>240</v>
      </c>
      <c r="AA517" s="14">
        <v>1</v>
      </c>
    </row>
    <row r="518" spans="1:27">
      <c r="A518" s="16">
        <v>46218.375</v>
      </c>
      <c r="B518" s="17">
        <v>46218</v>
      </c>
      <c r="C518" s="18">
        <v>0.375</v>
      </c>
      <c r="D518" t="s">
        <v>78</v>
      </c>
      <c r="E518" t="s">
        <v>143</v>
      </c>
      <c r="F518">
        <v>3</v>
      </c>
      <c r="G518" s="4">
        <v>90.08</v>
      </c>
      <c r="H518" s="4">
        <v>90.08</v>
      </c>
      <c r="I518" s="4">
        <v>77.400000000000006</v>
      </c>
      <c r="J518" s="4">
        <v>79.88</v>
      </c>
      <c r="K518" s="4">
        <v>79.88</v>
      </c>
      <c r="L518" s="4">
        <v>55.55</v>
      </c>
      <c r="M518" s="4">
        <v>99.55</v>
      </c>
      <c r="N518" s="4">
        <v>99.55</v>
      </c>
      <c r="O518" s="4">
        <v>80.73</v>
      </c>
      <c r="P518" s="4">
        <v>71.400000000000006</v>
      </c>
      <c r="Q518" s="4">
        <v>71.400000000000006</v>
      </c>
      <c r="R518" s="4">
        <v>90.97</v>
      </c>
      <c r="S518" s="19">
        <v>248</v>
      </c>
      <c r="T518" s="19">
        <v>1368</v>
      </c>
      <c r="U518" s="19">
        <v>60</v>
      </c>
      <c r="V518" s="19">
        <v>372</v>
      </c>
      <c r="W518" s="19">
        <v>52</v>
      </c>
      <c r="X518" s="19">
        <v>1804</v>
      </c>
      <c r="Y518" s="19">
        <v>248</v>
      </c>
      <c r="Z518" s="19">
        <v>224</v>
      </c>
      <c r="AA518" s="14">
        <v>1</v>
      </c>
    </row>
    <row r="519" spans="1:27">
      <c r="A519" s="16">
        <v>46218.385416666664</v>
      </c>
      <c r="B519" s="17">
        <v>46218</v>
      </c>
      <c r="C519" s="18">
        <v>0.38541666666666669</v>
      </c>
      <c r="D519" t="s">
        <v>78</v>
      </c>
      <c r="E519" t="s">
        <v>143</v>
      </c>
      <c r="F519">
        <v>3</v>
      </c>
      <c r="G519" s="4">
        <v>82.17</v>
      </c>
      <c r="H519" s="4">
        <v>82.17</v>
      </c>
      <c r="I519" s="4">
        <v>77.599999999999994</v>
      </c>
      <c r="J519" s="4">
        <v>107.1</v>
      </c>
      <c r="K519" s="4">
        <v>107.1</v>
      </c>
      <c r="L519" s="4">
        <v>59.93</v>
      </c>
      <c r="M519" s="4">
        <v>93.3</v>
      </c>
      <c r="N519" s="4">
        <v>93.3</v>
      </c>
      <c r="O519" s="4">
        <v>74.98</v>
      </c>
      <c r="P519" s="4">
        <v>47.11</v>
      </c>
      <c r="Q519" s="4">
        <v>47.11</v>
      </c>
      <c r="R519" s="4">
        <v>85.17</v>
      </c>
      <c r="S519" s="19">
        <v>220</v>
      </c>
      <c r="T519" s="19">
        <v>1380</v>
      </c>
      <c r="U519" s="19">
        <v>128</v>
      </c>
      <c r="V519" s="19">
        <v>308</v>
      </c>
      <c r="W519" s="19">
        <v>88</v>
      </c>
      <c r="X519" s="19">
        <v>1444</v>
      </c>
      <c r="Y519" s="19">
        <v>144</v>
      </c>
      <c r="Z519" s="19">
        <v>148</v>
      </c>
      <c r="AA519" s="14">
        <v>1</v>
      </c>
    </row>
    <row r="520" spans="1:27">
      <c r="A520" s="16">
        <v>46218.395833333336</v>
      </c>
      <c r="B520" s="17">
        <v>46218</v>
      </c>
      <c r="C520" s="18">
        <v>0.39583333333333331</v>
      </c>
      <c r="D520" t="s">
        <v>78</v>
      </c>
      <c r="E520" t="s">
        <v>143</v>
      </c>
      <c r="F520">
        <v>3</v>
      </c>
      <c r="G520" s="4">
        <v>91.93</v>
      </c>
      <c r="H520" s="4">
        <v>91.93</v>
      </c>
      <c r="I520" s="4">
        <v>75.17</v>
      </c>
      <c r="J520" s="4">
        <v>71</v>
      </c>
      <c r="K520" s="4">
        <v>71</v>
      </c>
      <c r="L520" s="4">
        <v>33.9</v>
      </c>
      <c r="M520" s="4">
        <v>97.44</v>
      </c>
      <c r="N520" s="4">
        <v>97.44</v>
      </c>
      <c r="O520" s="4">
        <v>76.459999999999994</v>
      </c>
      <c r="P520" s="4">
        <v>71.540000000000006</v>
      </c>
      <c r="Q520" s="4">
        <v>71.540000000000006</v>
      </c>
      <c r="R520" s="4">
        <v>75.64</v>
      </c>
      <c r="S520" s="19">
        <v>372</v>
      </c>
      <c r="T520" s="19">
        <v>1420</v>
      </c>
      <c r="U520" s="19">
        <v>104</v>
      </c>
      <c r="V520" s="19">
        <v>296</v>
      </c>
      <c r="W520" s="19">
        <v>52</v>
      </c>
      <c r="X520" s="19">
        <v>1744</v>
      </c>
      <c r="Y520" s="19">
        <v>164</v>
      </c>
      <c r="Z520" s="19">
        <v>196</v>
      </c>
      <c r="AA520" s="14">
        <v>1</v>
      </c>
    </row>
    <row r="521" spans="1:27">
      <c r="A521" s="16">
        <v>46218.40625</v>
      </c>
      <c r="B521" s="17">
        <v>46218</v>
      </c>
      <c r="C521" s="18">
        <v>0.40625</v>
      </c>
      <c r="D521" t="s">
        <v>78</v>
      </c>
      <c r="E521" t="s">
        <v>143</v>
      </c>
      <c r="F521">
        <v>3</v>
      </c>
      <c r="G521" s="4">
        <v>69.28</v>
      </c>
      <c r="H521" s="4">
        <v>69.28</v>
      </c>
      <c r="I521" s="4">
        <v>71.900000000000006</v>
      </c>
      <c r="J521" s="4">
        <v>59.17</v>
      </c>
      <c r="K521" s="4">
        <v>59.17</v>
      </c>
      <c r="L521" s="4">
        <v>51.38</v>
      </c>
      <c r="M521" s="4">
        <v>83.53</v>
      </c>
      <c r="N521" s="4">
        <v>83.53</v>
      </c>
      <c r="O521" s="4">
        <v>73.959999999999994</v>
      </c>
      <c r="P521" s="4">
        <v>64.92</v>
      </c>
      <c r="Q521" s="4">
        <v>64.92</v>
      </c>
      <c r="R521" s="4">
        <v>71.73</v>
      </c>
      <c r="S521" s="19">
        <v>120</v>
      </c>
      <c r="T521" s="19">
        <v>1396</v>
      </c>
      <c r="U521" s="19">
        <v>96</v>
      </c>
      <c r="V521" s="19">
        <v>264</v>
      </c>
      <c r="W521" s="19">
        <v>84</v>
      </c>
      <c r="X521" s="19">
        <v>1764</v>
      </c>
      <c r="Y521" s="19">
        <v>168</v>
      </c>
      <c r="Z521" s="19">
        <v>180</v>
      </c>
      <c r="AA521" s="14">
        <v>1</v>
      </c>
    </row>
    <row r="522" spans="1:27">
      <c r="A522" s="16">
        <v>46218.416666666664</v>
      </c>
      <c r="B522" s="17">
        <v>46218</v>
      </c>
      <c r="C522" s="18">
        <v>0.41666666666666669</v>
      </c>
      <c r="D522" t="s">
        <v>78</v>
      </c>
      <c r="E522" t="s">
        <v>143</v>
      </c>
      <c r="F522">
        <v>3</v>
      </c>
      <c r="G522" s="4">
        <v>98.9</v>
      </c>
      <c r="H522" s="4">
        <v>98.9</v>
      </c>
      <c r="I522" s="4">
        <v>70.680000000000007</v>
      </c>
      <c r="J522" s="4">
        <v>75.69</v>
      </c>
      <c r="K522" s="4">
        <v>75.69</v>
      </c>
      <c r="L522" s="4">
        <v>79.08</v>
      </c>
      <c r="M522" s="4">
        <v>85.86</v>
      </c>
      <c r="N522" s="4">
        <v>85.86</v>
      </c>
      <c r="O522" s="4">
        <v>78.260000000000005</v>
      </c>
      <c r="P522" s="4">
        <v>81.069999999999993</v>
      </c>
      <c r="Q522" s="4">
        <v>81.069999999999993</v>
      </c>
      <c r="R522" s="4">
        <v>97.26</v>
      </c>
      <c r="S522" s="19">
        <v>264</v>
      </c>
      <c r="T522" s="19">
        <v>1332</v>
      </c>
      <c r="U522" s="19">
        <v>144</v>
      </c>
      <c r="V522" s="19">
        <v>368</v>
      </c>
      <c r="W522" s="19">
        <v>88</v>
      </c>
      <c r="X522" s="19">
        <v>1620</v>
      </c>
      <c r="Y522" s="19">
        <v>240</v>
      </c>
      <c r="Z522" s="19">
        <v>204</v>
      </c>
      <c r="AA522" s="14">
        <v>1</v>
      </c>
    </row>
    <row r="523" spans="1:27">
      <c r="A523" s="16">
        <v>46218.427083333336</v>
      </c>
      <c r="B523" s="17">
        <v>46218</v>
      </c>
      <c r="C523" s="18">
        <v>0.42708333333333331</v>
      </c>
      <c r="D523" t="s">
        <v>78</v>
      </c>
      <c r="E523" t="s">
        <v>143</v>
      </c>
      <c r="F523">
        <v>3</v>
      </c>
      <c r="G523" s="4">
        <v>86.19</v>
      </c>
      <c r="H523" s="4">
        <v>86.19</v>
      </c>
      <c r="I523" s="4">
        <v>75.75</v>
      </c>
      <c r="J523" s="4">
        <v>102.23</v>
      </c>
      <c r="K523" s="4">
        <v>102.23</v>
      </c>
      <c r="L523" s="4">
        <v>78.13</v>
      </c>
      <c r="M523" s="4">
        <v>101.2</v>
      </c>
      <c r="N523" s="4">
        <v>101.2</v>
      </c>
      <c r="O523" s="4">
        <v>81.88</v>
      </c>
      <c r="P523" s="4">
        <v>38.409999999999997</v>
      </c>
      <c r="Q523" s="4">
        <v>38.409999999999997</v>
      </c>
      <c r="R523" s="4">
        <v>82.93</v>
      </c>
      <c r="S523" s="19">
        <v>260</v>
      </c>
      <c r="T523" s="19">
        <v>1244</v>
      </c>
      <c r="U523" s="19">
        <v>88</v>
      </c>
      <c r="V523" s="19">
        <v>340</v>
      </c>
      <c r="W523" s="19">
        <v>68</v>
      </c>
      <c r="X523" s="19">
        <v>1740</v>
      </c>
      <c r="Y523" s="19">
        <v>140</v>
      </c>
      <c r="Z523" s="19">
        <v>136</v>
      </c>
      <c r="AA523" s="14">
        <v>1</v>
      </c>
    </row>
    <row r="524" spans="1:27">
      <c r="A524" s="16">
        <v>46218.4375</v>
      </c>
      <c r="B524" s="17">
        <v>46218</v>
      </c>
      <c r="C524" s="18">
        <v>0.4375</v>
      </c>
      <c r="D524" t="s">
        <v>78</v>
      </c>
      <c r="E524" t="s">
        <v>143</v>
      </c>
      <c r="F524">
        <v>3</v>
      </c>
      <c r="G524" s="4">
        <v>96.58</v>
      </c>
      <c r="H524" s="4">
        <v>96.58</v>
      </c>
      <c r="I524" s="4">
        <v>63.7</v>
      </c>
      <c r="J524" s="4">
        <v>82.58</v>
      </c>
      <c r="K524" s="4">
        <v>82.58</v>
      </c>
      <c r="L524" s="4">
        <v>71.48</v>
      </c>
      <c r="M524" s="4">
        <v>98.61</v>
      </c>
      <c r="N524" s="4">
        <v>98.61</v>
      </c>
      <c r="O524" s="4">
        <v>83.52</v>
      </c>
      <c r="P524" s="4">
        <v>55.6</v>
      </c>
      <c r="Q524" s="4">
        <v>55.6</v>
      </c>
      <c r="R524" s="4">
        <v>81.260000000000005</v>
      </c>
      <c r="S524" s="19">
        <v>196</v>
      </c>
      <c r="T524" s="19">
        <v>1320</v>
      </c>
      <c r="U524" s="19">
        <v>112</v>
      </c>
      <c r="V524" s="19">
        <v>272</v>
      </c>
      <c r="W524" s="19">
        <v>56</v>
      </c>
      <c r="X524" s="19">
        <v>1404</v>
      </c>
      <c r="Y524" s="19">
        <v>188</v>
      </c>
      <c r="Z524" s="19">
        <v>148</v>
      </c>
      <c r="AA524" s="14">
        <v>1</v>
      </c>
    </row>
    <row r="525" spans="1:27">
      <c r="A525" s="16">
        <v>46218.447916666664</v>
      </c>
      <c r="B525" s="17">
        <v>46218</v>
      </c>
      <c r="C525" s="18">
        <v>0.44791666666666669</v>
      </c>
      <c r="D525" t="s">
        <v>78</v>
      </c>
      <c r="E525" t="s">
        <v>143</v>
      </c>
      <c r="F525">
        <v>3</v>
      </c>
      <c r="G525" s="4">
        <v>103.53</v>
      </c>
      <c r="H525" s="4">
        <v>103.53</v>
      </c>
      <c r="I525" s="4">
        <v>56.63</v>
      </c>
      <c r="J525" s="4">
        <v>55.86</v>
      </c>
      <c r="K525" s="4">
        <v>55.86</v>
      </c>
      <c r="L525" s="4">
        <v>87.37</v>
      </c>
      <c r="M525" s="4">
        <v>100</v>
      </c>
      <c r="N525" s="4">
        <v>100</v>
      </c>
      <c r="O525" s="4">
        <v>75.97</v>
      </c>
      <c r="P525" s="4">
        <v>69.78</v>
      </c>
      <c r="Q525" s="4">
        <v>69.78</v>
      </c>
      <c r="R525" s="4">
        <v>90.23</v>
      </c>
      <c r="S525" s="19">
        <v>224</v>
      </c>
      <c r="T525" s="19">
        <v>1316</v>
      </c>
      <c r="U525" s="19">
        <v>96</v>
      </c>
      <c r="V525" s="19">
        <v>348</v>
      </c>
      <c r="W525" s="19">
        <v>52</v>
      </c>
      <c r="X525" s="19">
        <v>1520</v>
      </c>
      <c r="Y525" s="19">
        <v>216</v>
      </c>
      <c r="Z525" s="19">
        <v>248</v>
      </c>
      <c r="AA525" s="14">
        <v>1</v>
      </c>
    </row>
    <row r="526" spans="1:27">
      <c r="A526" s="16">
        <v>46218.458333333336</v>
      </c>
      <c r="B526" s="17">
        <v>46218</v>
      </c>
      <c r="C526" s="18">
        <v>0.45833333333333331</v>
      </c>
      <c r="D526" t="s">
        <v>78</v>
      </c>
      <c r="E526" t="s">
        <v>143</v>
      </c>
      <c r="F526">
        <v>3</v>
      </c>
      <c r="G526" s="4">
        <v>78.55</v>
      </c>
      <c r="H526" s="4">
        <v>78.55</v>
      </c>
      <c r="I526" s="4">
        <v>69.97</v>
      </c>
      <c r="J526" s="4">
        <v>85.15</v>
      </c>
      <c r="K526" s="4">
        <v>85.15</v>
      </c>
      <c r="L526" s="4">
        <v>70.87</v>
      </c>
      <c r="M526" s="4">
        <v>79.97</v>
      </c>
      <c r="N526" s="4">
        <v>79.97</v>
      </c>
      <c r="O526" s="4">
        <v>149.6</v>
      </c>
      <c r="P526" s="4">
        <v>67.5</v>
      </c>
      <c r="Q526" s="4">
        <v>67.5</v>
      </c>
      <c r="R526" s="4">
        <v>95.92</v>
      </c>
      <c r="S526" s="19">
        <v>144</v>
      </c>
      <c r="T526" s="19">
        <v>1628</v>
      </c>
      <c r="U526" s="19">
        <v>116</v>
      </c>
      <c r="V526" s="19">
        <v>316</v>
      </c>
      <c r="W526" s="19">
        <v>88</v>
      </c>
      <c r="X526" s="19">
        <v>1736</v>
      </c>
      <c r="Y526" s="19">
        <v>148</v>
      </c>
      <c r="Z526" s="19">
        <v>248</v>
      </c>
      <c r="AA526" s="14">
        <v>1</v>
      </c>
    </row>
    <row r="527" spans="1:27">
      <c r="A527" s="16">
        <v>46218.46875</v>
      </c>
      <c r="B527" s="17">
        <v>46218</v>
      </c>
      <c r="C527" s="18">
        <v>0.46875</v>
      </c>
      <c r="D527" t="s">
        <v>78</v>
      </c>
      <c r="E527" t="s">
        <v>143</v>
      </c>
      <c r="F527">
        <v>3</v>
      </c>
      <c r="G527" s="4">
        <v>60.1</v>
      </c>
      <c r="H527" s="4">
        <v>60.1</v>
      </c>
      <c r="I527" s="4">
        <v>71.3</v>
      </c>
      <c r="J527" s="4">
        <v>82.2</v>
      </c>
      <c r="K527" s="4">
        <v>82.2</v>
      </c>
      <c r="L527" s="4">
        <v>74.5</v>
      </c>
      <c r="M527" s="4">
        <v>82.27</v>
      </c>
      <c r="N527" s="4">
        <v>82.27</v>
      </c>
      <c r="O527" s="4">
        <v>107.5</v>
      </c>
      <c r="P527" s="4">
        <v>82.24</v>
      </c>
      <c r="Q527" s="4">
        <v>82.24</v>
      </c>
      <c r="R527" s="4">
        <v>78.8</v>
      </c>
      <c r="S527" s="19">
        <v>252</v>
      </c>
      <c r="T527" s="19">
        <v>1496</v>
      </c>
      <c r="U527" s="19">
        <v>168</v>
      </c>
      <c r="V527" s="19">
        <v>352</v>
      </c>
      <c r="W527" s="19">
        <v>84</v>
      </c>
      <c r="X527" s="19">
        <v>1684</v>
      </c>
      <c r="Y527" s="19">
        <v>172</v>
      </c>
      <c r="Z527" s="19">
        <v>188</v>
      </c>
      <c r="AA527" s="14">
        <v>1</v>
      </c>
    </row>
    <row r="528" spans="1:27">
      <c r="A528" s="16">
        <v>46218.479166666664</v>
      </c>
      <c r="B528" s="17">
        <v>46218</v>
      </c>
      <c r="C528" s="18">
        <v>0.47916666666666669</v>
      </c>
      <c r="D528" t="s">
        <v>78</v>
      </c>
      <c r="E528" t="s">
        <v>143</v>
      </c>
      <c r="F528">
        <v>3</v>
      </c>
      <c r="G528" s="4">
        <v>80.53</v>
      </c>
      <c r="H528" s="4">
        <v>80.53</v>
      </c>
      <c r="I528" s="4">
        <v>69.8</v>
      </c>
      <c r="J528" s="4">
        <v>94.64</v>
      </c>
      <c r="K528" s="4">
        <v>94.64</v>
      </c>
      <c r="L528" s="4">
        <v>71.78</v>
      </c>
      <c r="M528" s="4">
        <v>86.45</v>
      </c>
      <c r="N528" s="4">
        <v>86.45</v>
      </c>
      <c r="O528" s="4">
        <v>89.7</v>
      </c>
      <c r="P528" s="4">
        <v>74.27</v>
      </c>
      <c r="Q528" s="4">
        <v>74.27</v>
      </c>
      <c r="R528" s="4">
        <v>90.72</v>
      </c>
      <c r="S528" s="19">
        <v>140</v>
      </c>
      <c r="T528" s="19">
        <v>1588</v>
      </c>
      <c r="U528" s="19">
        <v>132</v>
      </c>
      <c r="V528" s="19">
        <v>408</v>
      </c>
      <c r="W528" s="19">
        <v>64</v>
      </c>
      <c r="X528" s="19">
        <v>1572</v>
      </c>
      <c r="Y528" s="19">
        <v>192</v>
      </c>
      <c r="Z528" s="19">
        <v>292</v>
      </c>
      <c r="AA528" s="14">
        <v>1</v>
      </c>
    </row>
    <row r="529" spans="1:27">
      <c r="A529" s="16">
        <v>46218.489583333336</v>
      </c>
      <c r="B529" s="17">
        <v>46218</v>
      </c>
      <c r="C529" s="18">
        <v>0.48958333333333331</v>
      </c>
      <c r="D529" t="s">
        <v>78</v>
      </c>
      <c r="E529" t="s">
        <v>143</v>
      </c>
      <c r="F529">
        <v>3</v>
      </c>
      <c r="G529" s="4">
        <v>99.83</v>
      </c>
      <c r="H529" s="4">
        <v>99.83</v>
      </c>
      <c r="I529" s="4">
        <v>68.900000000000006</v>
      </c>
      <c r="J529" s="4">
        <v>92.74</v>
      </c>
      <c r="K529" s="4">
        <v>92.74</v>
      </c>
      <c r="L529" s="4">
        <v>77.92</v>
      </c>
      <c r="M529" s="4">
        <v>92.74</v>
      </c>
      <c r="N529" s="4">
        <v>92.74</v>
      </c>
      <c r="O529" s="4">
        <v>83</v>
      </c>
      <c r="P529" s="4">
        <v>97.91</v>
      </c>
      <c r="Q529" s="4">
        <v>97.91</v>
      </c>
      <c r="R529" s="4">
        <v>72.400000000000006</v>
      </c>
      <c r="S529" s="19">
        <v>256</v>
      </c>
      <c r="T529" s="19">
        <v>1516</v>
      </c>
      <c r="U529" s="19">
        <v>176</v>
      </c>
      <c r="V529" s="19">
        <v>284</v>
      </c>
      <c r="W529" s="19">
        <v>92</v>
      </c>
      <c r="X529" s="19">
        <v>1876</v>
      </c>
      <c r="Y529" s="19">
        <v>156</v>
      </c>
      <c r="Z529" s="19">
        <v>200</v>
      </c>
      <c r="AA529" s="14">
        <v>1</v>
      </c>
    </row>
    <row r="530" spans="1:27">
      <c r="A530" s="16">
        <v>46218.5</v>
      </c>
      <c r="B530" s="17">
        <v>46218</v>
      </c>
      <c r="C530" s="18">
        <v>0.5</v>
      </c>
      <c r="D530" t="s">
        <v>78</v>
      </c>
      <c r="E530" t="s">
        <v>143</v>
      </c>
      <c r="F530">
        <v>3</v>
      </c>
      <c r="G530" s="4">
        <v>84.08</v>
      </c>
      <c r="H530" s="4">
        <v>84.08</v>
      </c>
      <c r="I530" s="4">
        <v>62.9</v>
      </c>
      <c r="J530" s="4">
        <v>106.54</v>
      </c>
      <c r="K530" s="4">
        <v>106.54</v>
      </c>
      <c r="L530" s="4">
        <v>73.349999999999994</v>
      </c>
      <c r="M530" s="4">
        <v>87.42</v>
      </c>
      <c r="N530" s="4">
        <v>87.42</v>
      </c>
      <c r="O530" s="4">
        <v>84.2</v>
      </c>
      <c r="P530" s="4">
        <v>77</v>
      </c>
      <c r="Q530" s="4">
        <v>77</v>
      </c>
      <c r="R530" s="4">
        <v>80.08</v>
      </c>
      <c r="S530" s="19">
        <v>196</v>
      </c>
      <c r="T530" s="19">
        <v>1592</v>
      </c>
      <c r="U530" s="19">
        <v>128</v>
      </c>
      <c r="V530" s="19">
        <v>300</v>
      </c>
      <c r="W530" s="19">
        <v>108</v>
      </c>
      <c r="X530" s="19">
        <v>1576</v>
      </c>
      <c r="Y530" s="19">
        <v>316</v>
      </c>
      <c r="Z530" s="19">
        <v>232</v>
      </c>
      <c r="AA530" s="14">
        <v>1</v>
      </c>
    </row>
    <row r="531" spans="1:27">
      <c r="A531" s="16">
        <v>46218.510416666664</v>
      </c>
      <c r="B531" s="17">
        <v>46218</v>
      </c>
      <c r="C531" s="18">
        <v>0.51041666666666663</v>
      </c>
      <c r="D531" t="s">
        <v>78</v>
      </c>
      <c r="E531" t="s">
        <v>143</v>
      </c>
      <c r="F531">
        <v>3</v>
      </c>
      <c r="G531" s="4">
        <v>149.66999999999999</v>
      </c>
      <c r="H531" s="4">
        <v>149.66999999999999</v>
      </c>
      <c r="I531" s="4">
        <v>113.57</v>
      </c>
      <c r="J531" s="4">
        <v>102.34</v>
      </c>
      <c r="K531" s="4">
        <v>102.34</v>
      </c>
      <c r="L531" s="4">
        <v>75.260000000000005</v>
      </c>
      <c r="M531" s="4">
        <v>99.9</v>
      </c>
      <c r="N531" s="4">
        <v>99.9</v>
      </c>
      <c r="O531" s="4">
        <v>87</v>
      </c>
      <c r="P531" s="4">
        <v>67.14</v>
      </c>
      <c r="Q531" s="4">
        <v>67.14</v>
      </c>
      <c r="R531" s="4">
        <v>85.25</v>
      </c>
      <c r="S531" s="19">
        <v>140</v>
      </c>
      <c r="T531" s="19">
        <v>1620</v>
      </c>
      <c r="U531" s="19">
        <v>68</v>
      </c>
      <c r="V531" s="19">
        <v>388</v>
      </c>
      <c r="W531" s="19">
        <v>104</v>
      </c>
      <c r="X531" s="19">
        <v>1620</v>
      </c>
      <c r="Y531" s="19">
        <v>212</v>
      </c>
      <c r="Z531" s="19">
        <v>196</v>
      </c>
      <c r="AA531" s="14">
        <v>1</v>
      </c>
    </row>
    <row r="532" spans="1:27">
      <c r="A532" s="16">
        <v>46218.520833333336</v>
      </c>
      <c r="B532" s="17">
        <v>46218</v>
      </c>
      <c r="C532" s="18">
        <v>0.52083333333333337</v>
      </c>
      <c r="D532" t="s">
        <v>78</v>
      </c>
      <c r="E532" t="s">
        <v>143</v>
      </c>
      <c r="F532">
        <v>3</v>
      </c>
      <c r="G532" s="4">
        <v>87.92</v>
      </c>
      <c r="H532" s="4">
        <v>87.92</v>
      </c>
      <c r="I532" s="4">
        <v>65.349999999999994</v>
      </c>
      <c r="J532" s="4">
        <v>83.2</v>
      </c>
      <c r="K532" s="4">
        <v>83.2</v>
      </c>
      <c r="L532" s="4">
        <v>77.400000000000006</v>
      </c>
      <c r="M532" s="4">
        <v>100.56</v>
      </c>
      <c r="N532" s="4">
        <v>100.56</v>
      </c>
      <c r="O532" s="4">
        <v>81.069999999999993</v>
      </c>
      <c r="P532" s="4">
        <v>83.95</v>
      </c>
      <c r="Q532" s="4">
        <v>83.95</v>
      </c>
      <c r="R532" s="4">
        <v>89.95</v>
      </c>
      <c r="S532" s="19">
        <v>224</v>
      </c>
      <c r="T532" s="19">
        <v>1664</v>
      </c>
      <c r="U532" s="19">
        <v>104</v>
      </c>
      <c r="V532" s="19">
        <v>344</v>
      </c>
      <c r="W532" s="19">
        <v>64</v>
      </c>
      <c r="X532" s="19">
        <v>1712</v>
      </c>
      <c r="Y532" s="19">
        <v>140</v>
      </c>
      <c r="Z532" s="19">
        <v>256</v>
      </c>
      <c r="AA532" s="14">
        <v>1</v>
      </c>
    </row>
    <row r="533" spans="1:27">
      <c r="A533" s="16">
        <v>46218.53125</v>
      </c>
      <c r="B533" s="17">
        <v>46218</v>
      </c>
      <c r="C533" s="18">
        <v>0.53125</v>
      </c>
      <c r="D533" t="s">
        <v>78</v>
      </c>
      <c r="E533" t="s">
        <v>143</v>
      </c>
      <c r="F533">
        <v>3</v>
      </c>
      <c r="G533" s="4">
        <v>92.72</v>
      </c>
      <c r="H533" s="4">
        <v>92.72</v>
      </c>
      <c r="I533" s="4">
        <v>70.900000000000006</v>
      </c>
      <c r="J533" s="4">
        <v>101.02</v>
      </c>
      <c r="K533" s="4">
        <v>101.02</v>
      </c>
      <c r="L533" s="4">
        <v>71.180000000000007</v>
      </c>
      <c r="M533" s="4">
        <v>99.6</v>
      </c>
      <c r="N533" s="4">
        <v>99.6</v>
      </c>
      <c r="O533" s="4">
        <v>87.47</v>
      </c>
      <c r="P533" s="4">
        <v>121.22</v>
      </c>
      <c r="Q533" s="4">
        <v>121.22</v>
      </c>
      <c r="R533" s="4">
        <v>85.55</v>
      </c>
      <c r="S533" s="19">
        <v>184</v>
      </c>
      <c r="T533" s="19">
        <v>1884</v>
      </c>
      <c r="U533" s="19">
        <v>144</v>
      </c>
      <c r="V533" s="19">
        <v>272</v>
      </c>
      <c r="W533" s="19">
        <v>68</v>
      </c>
      <c r="X533" s="19">
        <v>1700</v>
      </c>
      <c r="Y533" s="19">
        <v>148</v>
      </c>
      <c r="Z533" s="19">
        <v>176</v>
      </c>
      <c r="AA533" s="14">
        <v>1</v>
      </c>
    </row>
    <row r="534" spans="1:27">
      <c r="A534" s="16">
        <v>46218.541666666664</v>
      </c>
      <c r="B534" s="17">
        <v>46218</v>
      </c>
      <c r="C534" s="18">
        <v>0.54166666666666663</v>
      </c>
      <c r="D534" t="s">
        <v>78</v>
      </c>
      <c r="E534" t="s">
        <v>143</v>
      </c>
      <c r="F534">
        <v>3</v>
      </c>
      <c r="G534" s="4">
        <v>94.63</v>
      </c>
      <c r="H534" s="4">
        <v>94.63</v>
      </c>
      <c r="I534" s="4">
        <v>78.900000000000006</v>
      </c>
      <c r="J534" s="4">
        <v>70.78</v>
      </c>
      <c r="K534" s="4">
        <v>70.78</v>
      </c>
      <c r="L534" s="4">
        <v>74.83</v>
      </c>
      <c r="M534" s="4">
        <v>99.17</v>
      </c>
      <c r="N534" s="4">
        <v>99.17</v>
      </c>
      <c r="O534" s="4">
        <v>89.2</v>
      </c>
      <c r="P534" s="4">
        <v>106.8</v>
      </c>
      <c r="Q534" s="4">
        <v>106.8</v>
      </c>
      <c r="R534" s="4">
        <v>88.23</v>
      </c>
      <c r="S534" s="19">
        <v>160</v>
      </c>
      <c r="T534" s="19">
        <v>1632</v>
      </c>
      <c r="U534" s="19">
        <v>104</v>
      </c>
      <c r="V534" s="19">
        <v>356</v>
      </c>
      <c r="W534" s="19">
        <v>52</v>
      </c>
      <c r="X534" s="19">
        <v>1764</v>
      </c>
      <c r="Y534" s="19">
        <v>188</v>
      </c>
      <c r="Z534" s="19">
        <v>228</v>
      </c>
      <c r="AA534" s="14">
        <v>1</v>
      </c>
    </row>
    <row r="535" spans="1:27">
      <c r="A535" s="16">
        <v>46218.552083333336</v>
      </c>
      <c r="B535" s="17">
        <v>46218</v>
      </c>
      <c r="C535" s="18">
        <v>0.55208333333333337</v>
      </c>
      <c r="D535" t="s">
        <v>78</v>
      </c>
      <c r="E535" t="s">
        <v>143</v>
      </c>
      <c r="F535">
        <v>3</v>
      </c>
      <c r="G535" s="4">
        <v>75.55</v>
      </c>
      <c r="H535" s="4">
        <v>75.55</v>
      </c>
      <c r="I535" s="4">
        <v>59</v>
      </c>
      <c r="J535" s="4">
        <v>89.34</v>
      </c>
      <c r="K535" s="4">
        <v>89.34</v>
      </c>
      <c r="L535" s="4">
        <v>66.77</v>
      </c>
      <c r="M535" s="4">
        <v>67.5</v>
      </c>
      <c r="N535" s="4">
        <v>67.5</v>
      </c>
      <c r="O535" s="4">
        <v>79.14</v>
      </c>
      <c r="P535" s="4">
        <v>100.57</v>
      </c>
      <c r="Q535" s="4">
        <v>100.57</v>
      </c>
      <c r="R535" s="4">
        <v>95.33</v>
      </c>
      <c r="S535" s="19">
        <v>312</v>
      </c>
      <c r="T535" s="19">
        <v>1444</v>
      </c>
      <c r="U535" s="19">
        <v>140</v>
      </c>
      <c r="V535" s="19">
        <v>328</v>
      </c>
      <c r="W535" s="19">
        <v>64</v>
      </c>
      <c r="X535" s="19">
        <v>1520</v>
      </c>
      <c r="Y535" s="19">
        <v>288</v>
      </c>
      <c r="Z535" s="19">
        <v>256</v>
      </c>
      <c r="AA535" s="14">
        <v>1</v>
      </c>
    </row>
    <row r="536" spans="1:27">
      <c r="A536" s="16">
        <v>46218.5625</v>
      </c>
      <c r="B536" s="17">
        <v>46218</v>
      </c>
      <c r="C536" s="18">
        <v>0.5625</v>
      </c>
      <c r="D536" t="s">
        <v>78</v>
      </c>
      <c r="E536" t="s">
        <v>143</v>
      </c>
      <c r="F536">
        <v>3</v>
      </c>
      <c r="G536" s="4">
        <v>71.33</v>
      </c>
      <c r="H536" s="4">
        <v>71.33</v>
      </c>
      <c r="I536" s="4">
        <v>53.23</v>
      </c>
      <c r="J536" s="4">
        <v>78.400000000000006</v>
      </c>
      <c r="K536" s="4">
        <v>78.400000000000006</v>
      </c>
      <c r="L536" s="4">
        <v>90.9</v>
      </c>
      <c r="M536" s="4">
        <v>169.15</v>
      </c>
      <c r="N536" s="4">
        <v>169.15</v>
      </c>
      <c r="O536" s="4">
        <v>86.45</v>
      </c>
      <c r="P536" s="4">
        <v>42.03</v>
      </c>
      <c r="Q536" s="4">
        <v>42.03</v>
      </c>
      <c r="R536" s="4">
        <v>71.760000000000005</v>
      </c>
      <c r="S536" s="19">
        <v>216</v>
      </c>
      <c r="T536" s="19">
        <v>1620</v>
      </c>
      <c r="U536" s="19">
        <v>184</v>
      </c>
      <c r="V536" s="19">
        <v>404</v>
      </c>
      <c r="W536" s="19">
        <v>84</v>
      </c>
      <c r="X536" s="19">
        <v>1696</v>
      </c>
      <c r="Y536" s="19">
        <v>208</v>
      </c>
      <c r="Z536" s="19">
        <v>216</v>
      </c>
      <c r="AA536" s="14">
        <v>1</v>
      </c>
    </row>
    <row r="537" spans="1:27">
      <c r="A537" s="16">
        <v>46218.572916666664</v>
      </c>
      <c r="B537" s="17">
        <v>46218</v>
      </c>
      <c r="C537" s="18">
        <v>0.57291666666666663</v>
      </c>
      <c r="D537" t="s">
        <v>78</v>
      </c>
      <c r="E537" t="s">
        <v>143</v>
      </c>
      <c r="F537">
        <v>3</v>
      </c>
      <c r="G537" s="4">
        <v>98.8</v>
      </c>
      <c r="H537" s="4">
        <v>98.8</v>
      </c>
      <c r="I537" s="4">
        <v>66.2</v>
      </c>
      <c r="J537" s="4">
        <v>56.96</v>
      </c>
      <c r="K537" s="4">
        <v>56.96</v>
      </c>
      <c r="L537" s="4">
        <v>75.3</v>
      </c>
      <c r="M537" s="4">
        <v>95.78</v>
      </c>
      <c r="N537" s="4">
        <v>95.78</v>
      </c>
      <c r="O537" s="4">
        <v>71.2</v>
      </c>
      <c r="P537" s="4">
        <v>42.9</v>
      </c>
      <c r="Q537" s="4">
        <v>42.9</v>
      </c>
      <c r="R537" s="4">
        <v>81.14</v>
      </c>
      <c r="S537" s="19">
        <v>204</v>
      </c>
      <c r="T537" s="19">
        <v>1656</v>
      </c>
      <c r="U537" s="19">
        <v>124</v>
      </c>
      <c r="V537" s="19">
        <v>288</v>
      </c>
      <c r="W537" s="19">
        <v>60</v>
      </c>
      <c r="X537" s="19">
        <v>1424</v>
      </c>
      <c r="Y537" s="19">
        <v>216</v>
      </c>
      <c r="Z537" s="19">
        <v>184</v>
      </c>
      <c r="AA537" s="14">
        <v>1</v>
      </c>
    </row>
    <row r="538" spans="1:27">
      <c r="A538" s="16">
        <v>46218.583333333336</v>
      </c>
      <c r="B538" s="17">
        <v>46218</v>
      </c>
      <c r="C538" s="18">
        <v>0.58333333333333337</v>
      </c>
      <c r="D538" t="s">
        <v>78</v>
      </c>
      <c r="E538" t="s">
        <v>143</v>
      </c>
      <c r="F538">
        <v>3</v>
      </c>
      <c r="G538" s="4">
        <v>64.22</v>
      </c>
      <c r="H538" s="4">
        <v>64.22</v>
      </c>
      <c r="I538" s="4">
        <v>79.599999999999994</v>
      </c>
      <c r="J538" s="4">
        <v>108</v>
      </c>
      <c r="K538" s="4">
        <v>108</v>
      </c>
      <c r="L538" s="4">
        <v>62.68</v>
      </c>
      <c r="M538" s="4">
        <v>92.42</v>
      </c>
      <c r="N538" s="4">
        <v>92.42</v>
      </c>
      <c r="O538" s="4">
        <v>83.22</v>
      </c>
      <c r="P538" s="4">
        <v>75.66</v>
      </c>
      <c r="Q538" s="4">
        <v>75.66</v>
      </c>
      <c r="R538" s="4">
        <v>87.7</v>
      </c>
      <c r="S538" s="19">
        <v>136</v>
      </c>
      <c r="T538" s="19">
        <v>1700</v>
      </c>
      <c r="U538" s="19">
        <v>188</v>
      </c>
      <c r="V538" s="19">
        <v>360</v>
      </c>
      <c r="W538" s="19">
        <v>136</v>
      </c>
      <c r="X538" s="19">
        <v>1712</v>
      </c>
      <c r="Y538" s="19">
        <v>168</v>
      </c>
      <c r="Z538" s="19">
        <v>336</v>
      </c>
      <c r="AA538" s="14">
        <v>1</v>
      </c>
    </row>
    <row r="539" spans="1:27">
      <c r="A539" s="16">
        <v>46218.59375</v>
      </c>
      <c r="B539" s="17">
        <v>46218</v>
      </c>
      <c r="C539" s="18">
        <v>0.59375</v>
      </c>
      <c r="D539" t="s">
        <v>78</v>
      </c>
      <c r="E539" t="s">
        <v>143</v>
      </c>
      <c r="F539">
        <v>3</v>
      </c>
      <c r="G539" s="4">
        <v>88.44</v>
      </c>
      <c r="H539" s="4">
        <v>88.44</v>
      </c>
      <c r="I539" s="4">
        <v>65.14</v>
      </c>
      <c r="J539" s="4">
        <v>73.59</v>
      </c>
      <c r="K539" s="4">
        <v>73.59</v>
      </c>
      <c r="L539" s="4">
        <v>51.38</v>
      </c>
      <c r="M539" s="4">
        <v>76.83</v>
      </c>
      <c r="N539" s="4">
        <v>76.83</v>
      </c>
      <c r="O539" s="4">
        <v>85.8</v>
      </c>
      <c r="P539" s="4">
        <v>79.06</v>
      </c>
      <c r="Q539" s="4">
        <v>79.06</v>
      </c>
      <c r="R539" s="4">
        <v>81.099999999999994</v>
      </c>
      <c r="S539" s="19">
        <v>244</v>
      </c>
      <c r="T539" s="19">
        <v>1552</v>
      </c>
      <c r="U539" s="19">
        <v>76</v>
      </c>
      <c r="V539" s="19">
        <v>316</v>
      </c>
      <c r="W539" s="19">
        <v>44</v>
      </c>
      <c r="X539" s="19">
        <v>1496</v>
      </c>
      <c r="Y539" s="19">
        <v>164</v>
      </c>
      <c r="Z539" s="19">
        <v>244</v>
      </c>
      <c r="AA539" s="14">
        <v>1</v>
      </c>
    </row>
    <row r="540" spans="1:27">
      <c r="A540" s="16">
        <v>46218.604166666664</v>
      </c>
      <c r="B540" s="17">
        <v>46218</v>
      </c>
      <c r="C540" s="18">
        <v>0.60416666666666663</v>
      </c>
      <c r="D540" t="s">
        <v>78</v>
      </c>
      <c r="E540" t="s">
        <v>143</v>
      </c>
      <c r="F540">
        <v>3</v>
      </c>
      <c r="G540" s="4">
        <v>78.64</v>
      </c>
      <c r="H540" s="4">
        <v>78.64</v>
      </c>
      <c r="I540" s="4">
        <v>65.23</v>
      </c>
      <c r="J540" s="4">
        <v>71.83</v>
      </c>
      <c r="K540" s="4">
        <v>71.83</v>
      </c>
      <c r="L540" s="4">
        <v>59.62</v>
      </c>
      <c r="M540" s="4">
        <v>103.9</v>
      </c>
      <c r="N540" s="4">
        <v>103.9</v>
      </c>
      <c r="O540" s="4">
        <v>88.97</v>
      </c>
      <c r="P540" s="4">
        <v>99.62</v>
      </c>
      <c r="Q540" s="4">
        <v>99.62</v>
      </c>
      <c r="R540" s="4">
        <v>83.27</v>
      </c>
      <c r="S540" s="19">
        <v>256</v>
      </c>
      <c r="T540" s="19">
        <v>1636</v>
      </c>
      <c r="U540" s="19">
        <v>80</v>
      </c>
      <c r="V540" s="19">
        <v>336</v>
      </c>
      <c r="W540" s="19">
        <v>76</v>
      </c>
      <c r="X540" s="19">
        <v>1500</v>
      </c>
      <c r="Y540" s="19">
        <v>224</v>
      </c>
      <c r="Z540" s="19">
        <v>216</v>
      </c>
      <c r="AA540" s="14">
        <v>1</v>
      </c>
    </row>
    <row r="541" spans="1:27">
      <c r="A541" s="16">
        <v>46218.614583333336</v>
      </c>
      <c r="B541" s="17">
        <v>46218</v>
      </c>
      <c r="C541" s="18">
        <v>0.61458333333333337</v>
      </c>
      <c r="D541" t="s">
        <v>78</v>
      </c>
      <c r="E541" t="s">
        <v>143</v>
      </c>
      <c r="F541">
        <v>3</v>
      </c>
      <c r="G541" s="4">
        <v>70.83</v>
      </c>
      <c r="H541" s="4">
        <v>70.83</v>
      </c>
      <c r="I541" s="4">
        <v>77.2</v>
      </c>
      <c r="J541" s="4">
        <v>73.709999999999994</v>
      </c>
      <c r="K541" s="4">
        <v>73.709999999999994</v>
      </c>
      <c r="L541" s="4">
        <v>66.52</v>
      </c>
      <c r="M541" s="4">
        <v>97.43</v>
      </c>
      <c r="N541" s="4">
        <v>97.43</v>
      </c>
      <c r="O541" s="4">
        <v>87.2</v>
      </c>
      <c r="P541" s="4">
        <v>68.16</v>
      </c>
      <c r="Q541" s="4">
        <v>68.16</v>
      </c>
      <c r="R541" s="4">
        <v>85.32</v>
      </c>
      <c r="S541" s="19">
        <v>224</v>
      </c>
      <c r="T541" s="19">
        <v>1680</v>
      </c>
      <c r="U541" s="19">
        <v>84</v>
      </c>
      <c r="V541" s="19">
        <v>368</v>
      </c>
      <c r="W541" s="19">
        <v>68</v>
      </c>
      <c r="X541" s="19">
        <v>1376</v>
      </c>
      <c r="Y541" s="19">
        <v>256</v>
      </c>
      <c r="Z541" s="19">
        <v>236</v>
      </c>
      <c r="AA541" s="14">
        <v>1</v>
      </c>
    </row>
    <row r="542" spans="1:27">
      <c r="A542" s="16">
        <v>46218.625</v>
      </c>
      <c r="B542" s="17">
        <v>46218</v>
      </c>
      <c r="C542" s="18">
        <v>0.625</v>
      </c>
      <c r="D542" t="s">
        <v>78</v>
      </c>
      <c r="E542" t="s">
        <v>143</v>
      </c>
      <c r="F542">
        <v>3</v>
      </c>
      <c r="G542" s="4">
        <v>92.46</v>
      </c>
      <c r="H542" s="4">
        <v>92.46</v>
      </c>
      <c r="I542" s="4">
        <v>68.099999999999994</v>
      </c>
      <c r="J542" s="4">
        <v>58.59</v>
      </c>
      <c r="K542" s="4">
        <v>58.59</v>
      </c>
      <c r="L542" s="4">
        <v>70.97</v>
      </c>
      <c r="M542" s="4">
        <v>88.7</v>
      </c>
      <c r="N542" s="4">
        <v>88.7</v>
      </c>
      <c r="O542" s="4">
        <v>75.150000000000006</v>
      </c>
      <c r="P542" s="4">
        <v>85.63</v>
      </c>
      <c r="Q542" s="4">
        <v>85.63</v>
      </c>
      <c r="R542" s="4">
        <v>92.48</v>
      </c>
      <c r="S542" s="19">
        <v>124</v>
      </c>
      <c r="T542" s="19">
        <v>1776</v>
      </c>
      <c r="U542" s="19">
        <v>88</v>
      </c>
      <c r="V542" s="19">
        <v>316</v>
      </c>
      <c r="W542" s="19">
        <v>88</v>
      </c>
      <c r="X542" s="19">
        <v>1560</v>
      </c>
      <c r="Y542" s="19">
        <v>328</v>
      </c>
      <c r="Z542" s="19">
        <v>268</v>
      </c>
      <c r="AA542" s="14">
        <v>1</v>
      </c>
    </row>
    <row r="543" spans="1:27">
      <c r="A543" s="16">
        <v>46218.635416666664</v>
      </c>
      <c r="B543" s="17">
        <v>46218</v>
      </c>
      <c r="C543" s="18">
        <v>0.63541666666666663</v>
      </c>
      <c r="D543" t="s">
        <v>78</v>
      </c>
      <c r="E543" t="s">
        <v>143</v>
      </c>
      <c r="F543">
        <v>3</v>
      </c>
      <c r="G543" s="4">
        <v>95.48</v>
      </c>
      <c r="H543" s="4">
        <v>95.48</v>
      </c>
      <c r="I543" s="4">
        <v>84.47</v>
      </c>
      <c r="J543" s="4">
        <v>94.88</v>
      </c>
      <c r="K543" s="4">
        <v>94.88</v>
      </c>
      <c r="L543" s="4">
        <v>71.540000000000006</v>
      </c>
      <c r="M543" s="4">
        <v>119.42</v>
      </c>
      <c r="N543" s="4">
        <v>119.42</v>
      </c>
      <c r="O543" s="4">
        <v>85.35</v>
      </c>
      <c r="P543" s="4">
        <v>61.65</v>
      </c>
      <c r="Q543" s="4">
        <v>61.65</v>
      </c>
      <c r="R543" s="4">
        <v>98.9</v>
      </c>
      <c r="S543" s="19">
        <v>152</v>
      </c>
      <c r="T543" s="19">
        <v>1768</v>
      </c>
      <c r="U543" s="19">
        <v>112</v>
      </c>
      <c r="V543" s="19">
        <v>328</v>
      </c>
      <c r="W543" s="19">
        <v>96</v>
      </c>
      <c r="X543" s="19">
        <v>1464</v>
      </c>
      <c r="Y543" s="19">
        <v>156</v>
      </c>
      <c r="Z543" s="19">
        <v>256</v>
      </c>
      <c r="AA543" s="14">
        <v>1</v>
      </c>
    </row>
    <row r="544" spans="1:27">
      <c r="A544" s="16">
        <v>46218.645833333336</v>
      </c>
      <c r="B544" s="17">
        <v>46218</v>
      </c>
      <c r="C544" s="18">
        <v>0.64583333333333337</v>
      </c>
      <c r="D544" t="s">
        <v>78</v>
      </c>
      <c r="E544" t="s">
        <v>143</v>
      </c>
      <c r="F544">
        <v>3</v>
      </c>
      <c r="G544" s="4">
        <v>120.2</v>
      </c>
      <c r="H544" s="4">
        <v>120.2</v>
      </c>
      <c r="I544" s="4">
        <v>89.35</v>
      </c>
      <c r="J544" s="4">
        <v>90</v>
      </c>
      <c r="K544" s="4">
        <v>90</v>
      </c>
      <c r="L544" s="4">
        <v>74.72</v>
      </c>
      <c r="M544" s="4">
        <v>114.85</v>
      </c>
      <c r="N544" s="4">
        <v>114.85</v>
      </c>
      <c r="O544" s="4">
        <v>89.17</v>
      </c>
      <c r="P544" s="4">
        <v>100.28</v>
      </c>
      <c r="Q544" s="4">
        <v>100.28</v>
      </c>
      <c r="R544" s="4">
        <v>86.56</v>
      </c>
      <c r="S544" s="19">
        <v>104</v>
      </c>
      <c r="T544" s="19">
        <v>1552</v>
      </c>
      <c r="U544" s="19">
        <v>128</v>
      </c>
      <c r="V544" s="19">
        <v>316</v>
      </c>
      <c r="W544" s="19">
        <v>64</v>
      </c>
      <c r="X544" s="19">
        <v>1860</v>
      </c>
      <c r="Y544" s="19">
        <v>140</v>
      </c>
      <c r="Z544" s="19">
        <v>280</v>
      </c>
      <c r="AA544" s="14">
        <v>1</v>
      </c>
    </row>
    <row r="545" spans="1:27">
      <c r="A545" s="16">
        <v>46218.65625</v>
      </c>
      <c r="B545" s="17">
        <v>46218</v>
      </c>
      <c r="C545" s="18">
        <v>0.65625</v>
      </c>
      <c r="D545" t="s">
        <v>78</v>
      </c>
      <c r="E545" t="s">
        <v>143</v>
      </c>
      <c r="F545">
        <v>3</v>
      </c>
      <c r="G545" s="4">
        <v>102.06</v>
      </c>
      <c r="H545" s="4">
        <v>102.06</v>
      </c>
      <c r="I545" s="4">
        <v>84.73</v>
      </c>
      <c r="J545" s="4">
        <v>92.75</v>
      </c>
      <c r="K545" s="4">
        <v>92.75</v>
      </c>
      <c r="L545" s="4">
        <v>95.82</v>
      </c>
      <c r="M545" s="4">
        <v>189.45</v>
      </c>
      <c r="N545" s="4">
        <v>189.45</v>
      </c>
      <c r="O545" s="4">
        <v>94.4</v>
      </c>
      <c r="P545" s="4">
        <v>84.64</v>
      </c>
      <c r="Q545" s="4">
        <v>84.64</v>
      </c>
      <c r="R545" s="4">
        <v>101.83</v>
      </c>
      <c r="S545" s="19">
        <v>140</v>
      </c>
      <c r="T545" s="19">
        <v>1864</v>
      </c>
      <c r="U545" s="19">
        <v>116</v>
      </c>
      <c r="V545" s="19">
        <v>356</v>
      </c>
      <c r="W545" s="19">
        <v>96</v>
      </c>
      <c r="X545" s="19">
        <v>1816</v>
      </c>
      <c r="Y545" s="19">
        <v>124</v>
      </c>
      <c r="Z545" s="19">
        <v>264</v>
      </c>
      <c r="AA545" s="14">
        <v>1</v>
      </c>
    </row>
    <row r="546" spans="1:27">
      <c r="A546" s="16">
        <v>46218.666666666664</v>
      </c>
      <c r="B546" s="17">
        <v>46218</v>
      </c>
      <c r="C546" s="18">
        <v>0.66666666666666663</v>
      </c>
      <c r="D546" t="s">
        <v>78</v>
      </c>
      <c r="E546" t="s">
        <v>143</v>
      </c>
      <c r="F546">
        <v>3</v>
      </c>
      <c r="G546" s="4">
        <v>93.48</v>
      </c>
      <c r="H546" s="4">
        <v>93.48</v>
      </c>
      <c r="I546" s="4">
        <v>82.4</v>
      </c>
      <c r="J546" s="4">
        <v>104.32</v>
      </c>
      <c r="K546" s="4">
        <v>104.32</v>
      </c>
      <c r="L546" s="4">
        <v>84.85</v>
      </c>
      <c r="M546" s="4">
        <v>108.5</v>
      </c>
      <c r="N546" s="4">
        <v>108.5</v>
      </c>
      <c r="O546" s="4">
        <v>89.03</v>
      </c>
      <c r="P546" s="4">
        <v>81.27</v>
      </c>
      <c r="Q546" s="4">
        <v>81.27</v>
      </c>
      <c r="R546" s="4">
        <v>103.07</v>
      </c>
      <c r="S546" s="19">
        <v>152</v>
      </c>
      <c r="T546" s="19">
        <v>1868</v>
      </c>
      <c r="U546" s="19">
        <v>100</v>
      </c>
      <c r="V546" s="19">
        <v>320</v>
      </c>
      <c r="W546" s="19">
        <v>92</v>
      </c>
      <c r="X546" s="19">
        <v>1628</v>
      </c>
      <c r="Y546" s="19">
        <v>168</v>
      </c>
      <c r="Z546" s="19">
        <v>280</v>
      </c>
      <c r="AA546" s="14">
        <v>1</v>
      </c>
    </row>
    <row r="547" spans="1:27">
      <c r="A547" s="16">
        <v>46218.677083333336</v>
      </c>
      <c r="B547" s="17">
        <v>46218</v>
      </c>
      <c r="C547" s="18">
        <v>0.67708333333333337</v>
      </c>
      <c r="D547" t="s">
        <v>78</v>
      </c>
      <c r="E547" t="s">
        <v>143</v>
      </c>
      <c r="F547">
        <v>3</v>
      </c>
      <c r="G547" s="4">
        <v>104.75</v>
      </c>
      <c r="H547" s="4">
        <v>104.75</v>
      </c>
      <c r="I547" s="4">
        <v>83.7</v>
      </c>
      <c r="J547" s="4">
        <v>118.03</v>
      </c>
      <c r="K547" s="4">
        <v>118.03</v>
      </c>
      <c r="L547" s="4">
        <v>92.9</v>
      </c>
      <c r="M547" s="4">
        <v>111.1</v>
      </c>
      <c r="N547" s="4">
        <v>111.1</v>
      </c>
      <c r="O547" s="4">
        <v>95.75</v>
      </c>
      <c r="P547" s="4">
        <v>57.76</v>
      </c>
      <c r="Q547" s="4">
        <v>57.76</v>
      </c>
      <c r="R547" s="4">
        <v>103.98</v>
      </c>
      <c r="S547" s="19">
        <v>200</v>
      </c>
      <c r="T547" s="19">
        <v>1548</v>
      </c>
      <c r="U547" s="19">
        <v>132</v>
      </c>
      <c r="V547" s="19">
        <v>432</v>
      </c>
      <c r="W547" s="19">
        <v>104</v>
      </c>
      <c r="X547" s="19">
        <v>1652</v>
      </c>
      <c r="Y547" s="19">
        <v>376</v>
      </c>
      <c r="Z547" s="19">
        <v>292</v>
      </c>
      <c r="AA547" s="14">
        <v>1</v>
      </c>
    </row>
    <row r="548" spans="1:27">
      <c r="A548" s="16">
        <v>46218.6875</v>
      </c>
      <c r="B548" s="17">
        <v>46218</v>
      </c>
      <c r="C548" s="18">
        <v>0.6875</v>
      </c>
      <c r="D548" t="s">
        <v>78</v>
      </c>
      <c r="E548" t="s">
        <v>143</v>
      </c>
      <c r="F548">
        <v>3</v>
      </c>
      <c r="G548" s="4">
        <v>98.62</v>
      </c>
      <c r="H548" s="4">
        <v>98.62</v>
      </c>
      <c r="I548" s="4">
        <v>87</v>
      </c>
      <c r="J548" s="4">
        <v>135.4</v>
      </c>
      <c r="K548" s="4">
        <v>135.4</v>
      </c>
      <c r="L548" s="4">
        <v>71.7</v>
      </c>
      <c r="M548" s="4">
        <v>112.27</v>
      </c>
      <c r="N548" s="4">
        <v>112.27</v>
      </c>
      <c r="O548" s="4">
        <v>85.13</v>
      </c>
      <c r="P548" s="4">
        <v>97.28</v>
      </c>
      <c r="Q548" s="4">
        <v>97.28</v>
      </c>
      <c r="R548" s="4">
        <v>103.5</v>
      </c>
      <c r="S548" s="19">
        <v>248</v>
      </c>
      <c r="T548" s="19">
        <v>1640</v>
      </c>
      <c r="U548" s="19">
        <v>192</v>
      </c>
      <c r="V548" s="19">
        <v>360</v>
      </c>
      <c r="W548" s="19">
        <v>104</v>
      </c>
      <c r="X548" s="19">
        <v>1884</v>
      </c>
      <c r="Y548" s="19">
        <v>176</v>
      </c>
      <c r="Z548" s="19">
        <v>248</v>
      </c>
      <c r="AA548" s="14">
        <v>1</v>
      </c>
    </row>
    <row r="549" spans="1:27">
      <c r="A549" s="16">
        <v>46218.697916666664</v>
      </c>
      <c r="B549" s="17">
        <v>46218</v>
      </c>
      <c r="C549" s="18">
        <v>0.69791666666666663</v>
      </c>
      <c r="D549" t="s">
        <v>78</v>
      </c>
      <c r="E549" t="s">
        <v>143</v>
      </c>
      <c r="F549">
        <v>3</v>
      </c>
      <c r="G549" s="4">
        <v>113.44</v>
      </c>
      <c r="H549" s="4">
        <v>113.44</v>
      </c>
      <c r="I549" s="4">
        <v>0</v>
      </c>
      <c r="J549" s="4">
        <v>80.400000000000006</v>
      </c>
      <c r="K549" s="4">
        <v>80.400000000000006</v>
      </c>
      <c r="L549" s="4">
        <v>92.6</v>
      </c>
      <c r="M549" s="4">
        <v>108.67</v>
      </c>
      <c r="N549" s="4">
        <v>108.67</v>
      </c>
      <c r="O549" s="4">
        <v>94.17</v>
      </c>
      <c r="P549" s="4">
        <v>76.959999999999994</v>
      </c>
      <c r="Q549" s="4">
        <v>76.959999999999994</v>
      </c>
      <c r="R549" s="4">
        <v>95.4</v>
      </c>
      <c r="S549" s="19">
        <v>220</v>
      </c>
      <c r="T549" s="19">
        <v>1676</v>
      </c>
      <c r="U549" s="19">
        <v>132</v>
      </c>
      <c r="V549" s="19">
        <v>356</v>
      </c>
      <c r="W549" s="19">
        <v>84</v>
      </c>
      <c r="X549" s="19">
        <v>1800</v>
      </c>
      <c r="Y549" s="19">
        <v>160</v>
      </c>
      <c r="Z549" s="19">
        <v>312</v>
      </c>
      <c r="AA549" s="14">
        <v>1</v>
      </c>
    </row>
    <row r="550" spans="1:27">
      <c r="A550" s="16">
        <v>46218.708333333336</v>
      </c>
      <c r="B550" s="17">
        <v>46218</v>
      </c>
      <c r="C550" s="18">
        <v>0.70833333333333337</v>
      </c>
      <c r="D550" t="s">
        <v>78</v>
      </c>
      <c r="E550" t="s">
        <v>143</v>
      </c>
      <c r="F550">
        <v>3</v>
      </c>
      <c r="G550" s="4">
        <v>100.85</v>
      </c>
      <c r="H550" s="4">
        <v>100.85</v>
      </c>
      <c r="I550" s="4">
        <v>92.03</v>
      </c>
      <c r="J550" s="4">
        <v>75.84</v>
      </c>
      <c r="K550" s="4">
        <v>75.84</v>
      </c>
      <c r="L550" s="4">
        <v>93.24</v>
      </c>
      <c r="M550" s="4">
        <v>114.12</v>
      </c>
      <c r="N550" s="4">
        <v>114.12</v>
      </c>
      <c r="O550" s="4">
        <v>98.7</v>
      </c>
      <c r="P550" s="4">
        <v>128.72999999999999</v>
      </c>
      <c r="Q550" s="4">
        <v>128.72999999999999</v>
      </c>
      <c r="R550" s="4">
        <v>55.35</v>
      </c>
      <c r="S550" s="19">
        <v>208</v>
      </c>
      <c r="T550" s="19">
        <v>1908</v>
      </c>
      <c r="U550" s="19">
        <v>100</v>
      </c>
      <c r="V550" s="19">
        <v>388</v>
      </c>
      <c r="W550" s="19">
        <v>116</v>
      </c>
      <c r="X550" s="19">
        <v>1584</v>
      </c>
      <c r="Y550" s="19">
        <v>184</v>
      </c>
      <c r="Z550" s="19">
        <v>244</v>
      </c>
      <c r="AA550" s="14">
        <v>1</v>
      </c>
    </row>
    <row r="551" spans="1:27">
      <c r="A551" s="16">
        <v>46218.71875</v>
      </c>
      <c r="B551" s="17">
        <v>46218</v>
      </c>
      <c r="C551" s="18">
        <v>0.71875</v>
      </c>
      <c r="D551" t="s">
        <v>78</v>
      </c>
      <c r="E551" t="s">
        <v>143</v>
      </c>
      <c r="F551">
        <v>3</v>
      </c>
      <c r="G551" s="4">
        <v>96.93</v>
      </c>
      <c r="H551" s="4">
        <v>96.93</v>
      </c>
      <c r="I551" s="4">
        <v>91.95</v>
      </c>
      <c r="J551" s="4">
        <v>121.15</v>
      </c>
      <c r="K551" s="4">
        <v>121.15</v>
      </c>
      <c r="L551" s="4">
        <v>98.08</v>
      </c>
      <c r="M551" s="4">
        <v>106.13</v>
      </c>
      <c r="N551" s="4">
        <v>106.13</v>
      </c>
      <c r="O551" s="4">
        <v>95.4</v>
      </c>
      <c r="P551" s="4">
        <v>72.819999999999993</v>
      </c>
      <c r="Q551" s="4">
        <v>72.819999999999993</v>
      </c>
      <c r="R551" s="4">
        <v>0</v>
      </c>
      <c r="S551" s="19">
        <v>108</v>
      </c>
      <c r="T551" s="19">
        <v>1748</v>
      </c>
      <c r="U551" s="19">
        <v>64</v>
      </c>
      <c r="V551" s="19">
        <v>404</v>
      </c>
      <c r="W551" s="19">
        <v>64</v>
      </c>
      <c r="X551" s="19">
        <v>1836</v>
      </c>
      <c r="Y551" s="19">
        <v>168</v>
      </c>
      <c r="Z551" s="19">
        <v>276</v>
      </c>
      <c r="AA551" s="14">
        <v>1</v>
      </c>
    </row>
    <row r="552" spans="1:27">
      <c r="A552" s="16">
        <v>46218.729166666664</v>
      </c>
      <c r="B552" s="17">
        <v>46218</v>
      </c>
      <c r="C552" s="18">
        <v>0.72916666666666663</v>
      </c>
      <c r="D552" t="s">
        <v>78</v>
      </c>
      <c r="E552" t="s">
        <v>143</v>
      </c>
      <c r="F552">
        <v>3</v>
      </c>
      <c r="G552" s="4">
        <v>99.73</v>
      </c>
      <c r="H552" s="4">
        <v>99.73</v>
      </c>
      <c r="I552" s="4">
        <v>90.65</v>
      </c>
      <c r="J552" s="4">
        <v>103.06</v>
      </c>
      <c r="K552" s="4">
        <v>103.06</v>
      </c>
      <c r="L552" s="4">
        <v>83.46</v>
      </c>
      <c r="M552" s="4">
        <v>111.43</v>
      </c>
      <c r="N552" s="4">
        <v>111.43</v>
      </c>
      <c r="O552" s="4">
        <v>97.28</v>
      </c>
      <c r="P552" s="4">
        <v>131.30000000000001</v>
      </c>
      <c r="Q552" s="4">
        <v>131.30000000000001</v>
      </c>
      <c r="R552" s="4">
        <v>99.63</v>
      </c>
      <c r="S552" s="19">
        <v>308</v>
      </c>
      <c r="T552" s="19">
        <v>1784</v>
      </c>
      <c r="U552" s="19">
        <v>84</v>
      </c>
      <c r="V552" s="19">
        <v>332</v>
      </c>
      <c r="W552" s="19">
        <v>80</v>
      </c>
      <c r="X552" s="19">
        <v>1920</v>
      </c>
      <c r="Y552" s="19">
        <v>132</v>
      </c>
      <c r="Z552" s="19">
        <v>268</v>
      </c>
      <c r="AA552" s="14">
        <v>1</v>
      </c>
    </row>
    <row r="553" spans="1:27">
      <c r="A553" s="16">
        <v>46218.739583333336</v>
      </c>
      <c r="B553" s="17">
        <v>46218</v>
      </c>
      <c r="C553" s="18">
        <v>0.73958333333333337</v>
      </c>
      <c r="D553" t="s">
        <v>78</v>
      </c>
      <c r="E553" t="s">
        <v>143</v>
      </c>
      <c r="F553">
        <v>3</v>
      </c>
      <c r="G553" s="4">
        <v>115.02</v>
      </c>
      <c r="H553" s="4">
        <v>115.02</v>
      </c>
      <c r="I553" s="4">
        <v>91.88</v>
      </c>
      <c r="J553" s="4">
        <v>87.3</v>
      </c>
      <c r="K553" s="4">
        <v>87.3</v>
      </c>
      <c r="L553" s="4">
        <v>96.7</v>
      </c>
      <c r="M553" s="4">
        <v>60.45</v>
      </c>
      <c r="N553" s="4">
        <v>60.45</v>
      </c>
      <c r="O553" s="4">
        <v>91.17</v>
      </c>
      <c r="P553" s="4">
        <v>43.35</v>
      </c>
      <c r="Q553" s="4">
        <v>43.35</v>
      </c>
      <c r="R553" s="4">
        <v>102.35</v>
      </c>
      <c r="S553" s="19">
        <v>120</v>
      </c>
      <c r="T553" s="19">
        <v>1624</v>
      </c>
      <c r="U553" s="19">
        <v>116</v>
      </c>
      <c r="V553" s="19">
        <v>380</v>
      </c>
      <c r="W553" s="19">
        <v>80</v>
      </c>
      <c r="X553" s="19">
        <v>1764</v>
      </c>
      <c r="Y553" s="19">
        <v>300</v>
      </c>
      <c r="Z553" s="19">
        <v>276</v>
      </c>
      <c r="AA553" s="14">
        <v>1</v>
      </c>
    </row>
    <row r="554" spans="1:27">
      <c r="A554" s="16">
        <v>46218.75</v>
      </c>
      <c r="B554" s="17">
        <v>46218</v>
      </c>
      <c r="C554" s="18">
        <v>0.75</v>
      </c>
      <c r="D554" t="s">
        <v>78</v>
      </c>
      <c r="E554" t="s">
        <v>143</v>
      </c>
      <c r="F554">
        <v>3</v>
      </c>
      <c r="G554" s="4">
        <v>111.22</v>
      </c>
      <c r="H554" s="4">
        <v>111.22</v>
      </c>
      <c r="I554" s="4">
        <v>81.099999999999994</v>
      </c>
      <c r="J554" s="4">
        <v>75.2</v>
      </c>
      <c r="K554" s="4">
        <v>75.2</v>
      </c>
      <c r="L554" s="4">
        <v>100.88</v>
      </c>
      <c r="M554" s="4">
        <v>87.83</v>
      </c>
      <c r="N554" s="4">
        <v>87.83</v>
      </c>
      <c r="O554" s="4">
        <v>106.93</v>
      </c>
      <c r="P554" s="4">
        <v>49.24</v>
      </c>
      <c r="Q554" s="4">
        <v>49.24</v>
      </c>
      <c r="R554" s="4">
        <v>95.93</v>
      </c>
      <c r="S554" s="19">
        <v>232</v>
      </c>
      <c r="T554" s="19">
        <v>1656</v>
      </c>
      <c r="U554" s="19">
        <v>132</v>
      </c>
      <c r="V554" s="19">
        <v>464</v>
      </c>
      <c r="W554" s="19">
        <v>108</v>
      </c>
      <c r="X554" s="19">
        <v>2012</v>
      </c>
      <c r="Y554" s="19">
        <v>192</v>
      </c>
      <c r="Z554" s="19">
        <v>256</v>
      </c>
      <c r="AA554" s="14">
        <v>1</v>
      </c>
    </row>
    <row r="555" spans="1:27">
      <c r="A555" s="16">
        <v>46218.760416666664</v>
      </c>
      <c r="B555" s="17">
        <v>46218</v>
      </c>
      <c r="C555" s="18">
        <v>0.76041666666666663</v>
      </c>
      <c r="D555" t="s">
        <v>78</v>
      </c>
      <c r="E555" t="s">
        <v>143</v>
      </c>
      <c r="F555">
        <v>3</v>
      </c>
      <c r="G555" s="4">
        <v>99.25</v>
      </c>
      <c r="H555" s="4">
        <v>99.25</v>
      </c>
      <c r="I555" s="4">
        <v>74.3</v>
      </c>
      <c r="J555" s="4">
        <v>88.5</v>
      </c>
      <c r="K555" s="4">
        <v>88.5</v>
      </c>
      <c r="L555" s="4">
        <v>68.430000000000007</v>
      </c>
      <c r="M555" s="4">
        <v>109.78</v>
      </c>
      <c r="N555" s="4">
        <v>109.78</v>
      </c>
      <c r="O555" s="4">
        <v>97.93</v>
      </c>
      <c r="P555" s="4">
        <v>92.75</v>
      </c>
      <c r="Q555" s="4">
        <v>92.75</v>
      </c>
      <c r="R555" s="4">
        <v>103.8</v>
      </c>
      <c r="S555" s="19">
        <v>268</v>
      </c>
      <c r="T555" s="19">
        <v>1776</v>
      </c>
      <c r="U555" s="19">
        <v>108</v>
      </c>
      <c r="V555" s="19">
        <v>396</v>
      </c>
      <c r="W555" s="19">
        <v>104</v>
      </c>
      <c r="X555" s="19">
        <v>1824</v>
      </c>
      <c r="Y555" s="19">
        <v>180</v>
      </c>
      <c r="Z555" s="19">
        <v>192</v>
      </c>
      <c r="AA555" s="14">
        <v>1</v>
      </c>
    </row>
    <row r="556" spans="1:27">
      <c r="A556" s="16">
        <v>46218.770833333336</v>
      </c>
      <c r="B556" s="17">
        <v>46218</v>
      </c>
      <c r="C556" s="18">
        <v>0.77083333333333337</v>
      </c>
      <c r="D556" t="s">
        <v>78</v>
      </c>
      <c r="E556" t="s">
        <v>143</v>
      </c>
      <c r="F556">
        <v>3</v>
      </c>
      <c r="G556" s="4">
        <v>104.63</v>
      </c>
      <c r="H556" s="4">
        <v>104.63</v>
      </c>
      <c r="I556" s="4">
        <v>97.6</v>
      </c>
      <c r="J556" s="4">
        <v>102.15</v>
      </c>
      <c r="K556" s="4">
        <v>102.15</v>
      </c>
      <c r="L556" s="4">
        <v>75.38</v>
      </c>
      <c r="M556" s="4">
        <v>116</v>
      </c>
      <c r="N556" s="4">
        <v>116</v>
      </c>
      <c r="O556" s="4">
        <v>89.35</v>
      </c>
      <c r="P556" s="4">
        <v>112.15</v>
      </c>
      <c r="Q556" s="4">
        <v>112.15</v>
      </c>
      <c r="R556" s="4">
        <v>106.1</v>
      </c>
      <c r="S556" s="19">
        <v>160</v>
      </c>
      <c r="T556" s="19">
        <v>1828</v>
      </c>
      <c r="U556" s="19">
        <v>116</v>
      </c>
      <c r="V556" s="19">
        <v>264</v>
      </c>
      <c r="W556" s="19">
        <v>56</v>
      </c>
      <c r="X556" s="19">
        <v>1688</v>
      </c>
      <c r="Y556" s="19">
        <v>92</v>
      </c>
      <c r="Z556" s="19">
        <v>208</v>
      </c>
      <c r="AA556" s="14">
        <v>0</v>
      </c>
    </row>
    <row r="557" spans="1:27">
      <c r="A557" s="16">
        <v>46218.78125</v>
      </c>
      <c r="B557" s="17">
        <v>46218</v>
      </c>
      <c r="C557" s="18">
        <v>0.78125</v>
      </c>
      <c r="D557" t="s">
        <v>78</v>
      </c>
      <c r="E557" t="s">
        <v>143</v>
      </c>
      <c r="F557">
        <v>3</v>
      </c>
      <c r="G557" s="4">
        <v>116.05</v>
      </c>
      <c r="H557" s="4">
        <v>116.05</v>
      </c>
      <c r="I557" s="4">
        <v>83.83</v>
      </c>
      <c r="J557" s="4">
        <v>101.1</v>
      </c>
      <c r="K557" s="4">
        <v>101.1</v>
      </c>
      <c r="L557" s="4">
        <v>94.65</v>
      </c>
      <c r="M557" s="4">
        <v>92.43</v>
      </c>
      <c r="N557" s="4">
        <v>92.43</v>
      </c>
      <c r="O557" s="4">
        <v>83.27</v>
      </c>
      <c r="P557" s="4">
        <v>154.68</v>
      </c>
      <c r="Q557" s="4">
        <v>154.68</v>
      </c>
      <c r="R557" s="4">
        <v>87.98</v>
      </c>
      <c r="S557" s="19">
        <v>144</v>
      </c>
      <c r="T557" s="19">
        <v>1804</v>
      </c>
      <c r="U557" s="19">
        <v>144</v>
      </c>
      <c r="V557" s="19">
        <v>360</v>
      </c>
      <c r="W557" s="19">
        <v>60</v>
      </c>
      <c r="X557" s="19">
        <v>1812</v>
      </c>
      <c r="Y557" s="19">
        <v>332</v>
      </c>
      <c r="Z557" s="19">
        <v>304</v>
      </c>
      <c r="AA557" s="14">
        <v>1</v>
      </c>
    </row>
    <row r="558" spans="1:27">
      <c r="A558" s="16">
        <v>46218.791666666664</v>
      </c>
      <c r="B558" s="17">
        <v>46218</v>
      </c>
      <c r="C558" s="18">
        <v>0.79166666666666663</v>
      </c>
      <c r="D558" t="s">
        <v>78</v>
      </c>
      <c r="E558" t="s">
        <v>143</v>
      </c>
      <c r="F558">
        <v>3</v>
      </c>
      <c r="G558" s="4">
        <v>110.53</v>
      </c>
      <c r="H558" s="4">
        <v>110.53</v>
      </c>
      <c r="I558" s="4">
        <v>91.7</v>
      </c>
      <c r="J558" s="4">
        <v>73.42</v>
      </c>
      <c r="K558" s="4">
        <v>73.42</v>
      </c>
      <c r="L558" s="4">
        <v>78.77</v>
      </c>
      <c r="M558" s="4">
        <v>111.5</v>
      </c>
      <c r="N558" s="4">
        <v>111.5</v>
      </c>
      <c r="O558" s="4">
        <v>90</v>
      </c>
      <c r="P558" s="4">
        <v>61.12</v>
      </c>
      <c r="Q558" s="4">
        <v>61.12</v>
      </c>
      <c r="R558" s="4">
        <v>75.349999999999994</v>
      </c>
      <c r="S558" s="19">
        <v>156</v>
      </c>
      <c r="T558" s="19">
        <v>1716</v>
      </c>
      <c r="U558" s="19">
        <v>84</v>
      </c>
      <c r="V558" s="19">
        <v>356</v>
      </c>
      <c r="W558" s="19">
        <v>80</v>
      </c>
      <c r="X558" s="19">
        <v>1792</v>
      </c>
      <c r="Y558" s="19">
        <v>292</v>
      </c>
      <c r="Z558" s="19">
        <v>216</v>
      </c>
      <c r="AA558" s="14">
        <v>1</v>
      </c>
    </row>
    <row r="559" spans="1:27">
      <c r="A559" s="16">
        <v>46218.802083333336</v>
      </c>
      <c r="B559" s="17">
        <v>46218</v>
      </c>
      <c r="C559" s="18">
        <v>0.80208333333333337</v>
      </c>
      <c r="D559" t="s">
        <v>78</v>
      </c>
      <c r="E559" t="s">
        <v>143</v>
      </c>
      <c r="F559">
        <v>3</v>
      </c>
      <c r="G559" s="4">
        <v>121.63</v>
      </c>
      <c r="H559" s="4">
        <v>121.63</v>
      </c>
      <c r="I559" s="4">
        <v>57.9</v>
      </c>
      <c r="J559" s="4">
        <v>192.9</v>
      </c>
      <c r="K559" s="4">
        <v>192.9</v>
      </c>
      <c r="L559" s="4">
        <v>48.1</v>
      </c>
      <c r="M559" s="4">
        <v>88.7</v>
      </c>
      <c r="N559" s="4">
        <v>88.7</v>
      </c>
      <c r="O559" s="4">
        <v>101.63</v>
      </c>
      <c r="P559" s="4">
        <v>102.43</v>
      </c>
      <c r="Q559" s="4">
        <v>102.43</v>
      </c>
      <c r="R559" s="4">
        <v>66.2</v>
      </c>
      <c r="S559" s="19">
        <v>160</v>
      </c>
      <c r="T559" s="19">
        <v>1768</v>
      </c>
      <c r="U559" s="19">
        <v>132</v>
      </c>
      <c r="V559" s="19">
        <v>368</v>
      </c>
      <c r="W559" s="19">
        <v>80</v>
      </c>
      <c r="X559" s="19">
        <v>1884</v>
      </c>
      <c r="Y559" s="19">
        <v>168</v>
      </c>
      <c r="Z559" s="19">
        <v>268</v>
      </c>
      <c r="AA559" s="14">
        <v>1</v>
      </c>
    </row>
    <row r="560" spans="1:27">
      <c r="A560" s="16">
        <v>46218.8125</v>
      </c>
      <c r="B560" s="17">
        <v>46218</v>
      </c>
      <c r="C560" s="18">
        <v>0.8125</v>
      </c>
      <c r="D560" t="s">
        <v>78</v>
      </c>
      <c r="E560" t="s">
        <v>143</v>
      </c>
      <c r="F560">
        <v>3</v>
      </c>
      <c r="G560" s="4">
        <v>87.77</v>
      </c>
      <c r="H560" s="4">
        <v>87.77</v>
      </c>
      <c r="I560" s="4">
        <v>70.38</v>
      </c>
      <c r="J560" s="4">
        <v>87.6</v>
      </c>
      <c r="K560" s="4">
        <v>87.6</v>
      </c>
      <c r="L560" s="4">
        <v>50.88</v>
      </c>
      <c r="M560" s="4">
        <v>95.41</v>
      </c>
      <c r="N560" s="4">
        <v>95.41</v>
      </c>
      <c r="O560" s="4">
        <v>83.02</v>
      </c>
      <c r="P560" s="4">
        <v>61.08</v>
      </c>
      <c r="Q560" s="4">
        <v>61.08</v>
      </c>
      <c r="R560" s="4">
        <v>89.6</v>
      </c>
      <c r="S560" s="19">
        <v>144</v>
      </c>
      <c r="T560" s="19">
        <v>1620</v>
      </c>
      <c r="U560" s="19">
        <v>184</v>
      </c>
      <c r="V560" s="19">
        <v>332</v>
      </c>
      <c r="W560" s="19">
        <v>72</v>
      </c>
      <c r="X560" s="19">
        <v>1788</v>
      </c>
      <c r="Y560" s="19">
        <v>152</v>
      </c>
      <c r="Z560" s="19">
        <v>236</v>
      </c>
      <c r="AA560" s="14">
        <v>1</v>
      </c>
    </row>
    <row r="561" spans="1:27">
      <c r="A561" s="16">
        <v>46218.822916666664</v>
      </c>
      <c r="B561" s="17">
        <v>46218</v>
      </c>
      <c r="C561" s="18">
        <v>0.82291666666666663</v>
      </c>
      <c r="D561" t="s">
        <v>78</v>
      </c>
      <c r="E561" t="s">
        <v>143</v>
      </c>
      <c r="F561">
        <v>3</v>
      </c>
      <c r="G561" s="4">
        <v>101.82</v>
      </c>
      <c r="H561" s="4">
        <v>101.82</v>
      </c>
      <c r="I561" s="4">
        <v>75.3</v>
      </c>
      <c r="J561" s="4">
        <v>77.36</v>
      </c>
      <c r="K561" s="4">
        <v>77.36</v>
      </c>
      <c r="L561" s="4">
        <v>62.02</v>
      </c>
      <c r="M561" s="4">
        <v>118.6</v>
      </c>
      <c r="N561" s="4">
        <v>118.6</v>
      </c>
      <c r="O561" s="4">
        <v>79.13</v>
      </c>
      <c r="P561" s="4">
        <v>67.86</v>
      </c>
      <c r="Q561" s="4">
        <v>67.86</v>
      </c>
      <c r="R561" s="4">
        <v>70.849999999999994</v>
      </c>
      <c r="S561" s="19">
        <v>216</v>
      </c>
      <c r="T561" s="19">
        <v>1692</v>
      </c>
      <c r="U561" s="19">
        <v>164</v>
      </c>
      <c r="V561" s="19">
        <v>452</v>
      </c>
      <c r="W561" s="19">
        <v>60</v>
      </c>
      <c r="X561" s="19">
        <v>1540</v>
      </c>
      <c r="Y561" s="19">
        <v>236</v>
      </c>
      <c r="Z561" s="19">
        <v>168</v>
      </c>
      <c r="AA561" s="14">
        <v>1</v>
      </c>
    </row>
    <row r="562" spans="1:27">
      <c r="A562" s="16">
        <v>46218.833333333336</v>
      </c>
      <c r="B562" s="17">
        <v>46218</v>
      </c>
      <c r="C562" s="18">
        <v>0.83333333333333337</v>
      </c>
      <c r="D562" t="s">
        <v>78</v>
      </c>
      <c r="E562" t="s">
        <v>143</v>
      </c>
      <c r="F562">
        <v>3</v>
      </c>
      <c r="G562" s="4">
        <v>62.22</v>
      </c>
      <c r="H562" s="4">
        <v>62.22</v>
      </c>
      <c r="I562" s="4">
        <v>49.7</v>
      </c>
      <c r="J562" s="4">
        <v>46.3</v>
      </c>
      <c r="K562" s="4">
        <v>46.3</v>
      </c>
      <c r="L562" s="4">
        <v>81.349999999999994</v>
      </c>
      <c r="M562" s="4">
        <v>87.22</v>
      </c>
      <c r="N562" s="4">
        <v>87.22</v>
      </c>
      <c r="O562" s="4">
        <v>76.599999999999994</v>
      </c>
      <c r="P562" s="4">
        <v>37.770000000000003</v>
      </c>
      <c r="Q562" s="4">
        <v>37.770000000000003</v>
      </c>
      <c r="R562" s="4">
        <v>89.92</v>
      </c>
      <c r="S562" s="19">
        <v>184</v>
      </c>
      <c r="T562" s="19">
        <v>1884</v>
      </c>
      <c r="U562" s="19">
        <v>192</v>
      </c>
      <c r="V562" s="19">
        <v>332</v>
      </c>
      <c r="W562" s="19">
        <v>104</v>
      </c>
      <c r="X562" s="19">
        <v>1672</v>
      </c>
      <c r="Y562" s="19">
        <v>240</v>
      </c>
      <c r="Z562" s="19">
        <v>208</v>
      </c>
      <c r="AA562" s="14">
        <v>1</v>
      </c>
    </row>
    <row r="563" spans="1:27">
      <c r="A563" s="16">
        <v>46218.84375</v>
      </c>
      <c r="B563" s="17">
        <v>46218</v>
      </c>
      <c r="C563" s="18">
        <v>0.84375</v>
      </c>
      <c r="D563" t="s">
        <v>78</v>
      </c>
      <c r="E563" t="s">
        <v>143</v>
      </c>
      <c r="F563">
        <v>3</v>
      </c>
      <c r="G563" s="4">
        <v>90.18</v>
      </c>
      <c r="H563" s="4">
        <v>90.18</v>
      </c>
      <c r="I563" s="4">
        <v>73.77</v>
      </c>
      <c r="J563" s="4">
        <v>63.67</v>
      </c>
      <c r="K563" s="4">
        <v>63.67</v>
      </c>
      <c r="L563" s="4">
        <v>46.37</v>
      </c>
      <c r="M563" s="4">
        <v>100.46</v>
      </c>
      <c r="N563" s="4">
        <v>100.46</v>
      </c>
      <c r="O563" s="4">
        <v>85.57</v>
      </c>
      <c r="P563" s="4">
        <v>67.83</v>
      </c>
      <c r="Q563" s="4">
        <v>67.83</v>
      </c>
      <c r="R563" s="4">
        <v>80.33</v>
      </c>
      <c r="S563" s="19">
        <v>192</v>
      </c>
      <c r="T563" s="19">
        <v>1680</v>
      </c>
      <c r="U563" s="19">
        <v>184</v>
      </c>
      <c r="V563" s="19">
        <v>256</v>
      </c>
      <c r="W563" s="19">
        <v>60</v>
      </c>
      <c r="X563" s="19">
        <v>1656</v>
      </c>
      <c r="Y563" s="19">
        <v>364</v>
      </c>
      <c r="Z563" s="19">
        <v>276</v>
      </c>
      <c r="AA563" s="14">
        <v>1</v>
      </c>
    </row>
    <row r="564" spans="1:27">
      <c r="A564" s="16">
        <v>46218.854166666664</v>
      </c>
      <c r="B564" s="17">
        <v>46218</v>
      </c>
      <c r="C564" s="18">
        <v>0.85416666666666663</v>
      </c>
      <c r="D564" t="s">
        <v>78</v>
      </c>
      <c r="E564" t="s">
        <v>143</v>
      </c>
      <c r="F564">
        <v>3</v>
      </c>
      <c r="G564" s="4">
        <v>90.6</v>
      </c>
      <c r="H564" s="4">
        <v>90.6</v>
      </c>
      <c r="I564" s="4">
        <v>75.38</v>
      </c>
      <c r="J564" s="4">
        <v>96.61</v>
      </c>
      <c r="K564" s="4">
        <v>96.61</v>
      </c>
      <c r="L564" s="4">
        <v>36.5</v>
      </c>
      <c r="M564" s="4">
        <v>94.2</v>
      </c>
      <c r="N564" s="4">
        <v>94.2</v>
      </c>
      <c r="O564" s="4">
        <v>87.8</v>
      </c>
      <c r="P564" s="4">
        <v>64.7</v>
      </c>
      <c r="Q564" s="4">
        <v>64.7</v>
      </c>
      <c r="R564" s="4">
        <v>77.64</v>
      </c>
      <c r="S564" s="19">
        <v>244</v>
      </c>
      <c r="T564" s="19">
        <v>1696</v>
      </c>
      <c r="U564" s="19">
        <v>156</v>
      </c>
      <c r="V564" s="19">
        <v>288</v>
      </c>
      <c r="W564" s="19">
        <v>52</v>
      </c>
      <c r="X564" s="19">
        <v>1644</v>
      </c>
      <c r="Y564" s="19">
        <v>168</v>
      </c>
      <c r="Z564" s="19">
        <v>232</v>
      </c>
      <c r="AA564" s="14">
        <v>1</v>
      </c>
    </row>
    <row r="565" spans="1:27">
      <c r="A565" s="16">
        <v>46218.864583333336</v>
      </c>
      <c r="B565" s="17">
        <v>46218</v>
      </c>
      <c r="C565" s="18">
        <v>0.86458333333333337</v>
      </c>
      <c r="D565" t="s">
        <v>78</v>
      </c>
      <c r="E565" t="s">
        <v>143</v>
      </c>
      <c r="F565">
        <v>3</v>
      </c>
      <c r="G565" s="4">
        <v>88.47</v>
      </c>
      <c r="H565" s="4">
        <v>88.47</v>
      </c>
      <c r="I565" s="4">
        <v>79.8</v>
      </c>
      <c r="J565" s="4">
        <v>65.849999999999994</v>
      </c>
      <c r="K565" s="4">
        <v>65.849999999999994</v>
      </c>
      <c r="L565" s="4">
        <v>60.87</v>
      </c>
      <c r="M565" s="4">
        <v>72.37</v>
      </c>
      <c r="N565" s="4">
        <v>72.37</v>
      </c>
      <c r="O565" s="4">
        <v>83.94</v>
      </c>
      <c r="P565" s="4">
        <v>76.27</v>
      </c>
      <c r="Q565" s="4">
        <v>76.27</v>
      </c>
      <c r="R565" s="4">
        <v>71.599999999999994</v>
      </c>
      <c r="S565" s="19">
        <v>268</v>
      </c>
      <c r="T565" s="19">
        <v>1584</v>
      </c>
      <c r="U565" s="19">
        <v>136</v>
      </c>
      <c r="V565" s="19">
        <v>212</v>
      </c>
      <c r="W565" s="19">
        <v>76</v>
      </c>
      <c r="X565" s="19">
        <v>1692</v>
      </c>
      <c r="Y565" s="19">
        <v>224</v>
      </c>
      <c r="Z565" s="19">
        <v>200</v>
      </c>
      <c r="AA565" s="14">
        <v>1</v>
      </c>
    </row>
    <row r="566" spans="1:27">
      <c r="A566" s="16">
        <v>46218.875</v>
      </c>
      <c r="B566" s="17">
        <v>46218</v>
      </c>
      <c r="C566" s="18">
        <v>0.875</v>
      </c>
      <c r="D566" t="s">
        <v>78</v>
      </c>
      <c r="E566" t="s">
        <v>143</v>
      </c>
      <c r="F566">
        <v>3</v>
      </c>
      <c r="G566" s="4">
        <v>57.82</v>
      </c>
      <c r="H566" s="4">
        <v>57.82</v>
      </c>
      <c r="I566" s="4">
        <v>64.47</v>
      </c>
      <c r="J566" s="4">
        <v>81.37</v>
      </c>
      <c r="K566" s="4">
        <v>81.37</v>
      </c>
      <c r="L566" s="4">
        <v>72.34</v>
      </c>
      <c r="M566" s="4">
        <v>103.82</v>
      </c>
      <c r="N566" s="4">
        <v>103.82</v>
      </c>
      <c r="O566" s="4">
        <v>77.540000000000006</v>
      </c>
      <c r="P566" s="4">
        <v>85.53</v>
      </c>
      <c r="Q566" s="4">
        <v>85.53</v>
      </c>
      <c r="R566" s="4">
        <v>80.95</v>
      </c>
      <c r="S566" s="19">
        <v>260</v>
      </c>
      <c r="T566" s="19">
        <v>1660</v>
      </c>
      <c r="U566" s="19">
        <v>128</v>
      </c>
      <c r="V566" s="19">
        <v>212</v>
      </c>
      <c r="W566" s="19">
        <v>88</v>
      </c>
      <c r="X566" s="19">
        <v>1772</v>
      </c>
      <c r="Y566" s="19">
        <v>168</v>
      </c>
      <c r="Z566" s="19">
        <v>192</v>
      </c>
      <c r="AA566" s="14">
        <v>1</v>
      </c>
    </row>
    <row r="567" spans="1:27">
      <c r="A567" s="16">
        <v>46218.885416666664</v>
      </c>
      <c r="B567" s="17">
        <v>46218</v>
      </c>
      <c r="C567" s="18">
        <v>0.88541666666666663</v>
      </c>
      <c r="D567" t="s">
        <v>78</v>
      </c>
      <c r="E567" t="s">
        <v>143</v>
      </c>
      <c r="F567">
        <v>3</v>
      </c>
      <c r="G567" s="4">
        <v>95.7</v>
      </c>
      <c r="H567" s="4">
        <v>95.7</v>
      </c>
      <c r="I567" s="4">
        <v>48.45</v>
      </c>
      <c r="J567" s="4">
        <v>84.88</v>
      </c>
      <c r="K567" s="4">
        <v>84.88</v>
      </c>
      <c r="L567" s="4">
        <v>61.79</v>
      </c>
      <c r="M567" s="4">
        <v>99.56</v>
      </c>
      <c r="N567" s="4">
        <v>99.56</v>
      </c>
      <c r="O567" s="4">
        <v>71.33</v>
      </c>
      <c r="P567" s="4">
        <v>87.19</v>
      </c>
      <c r="Q567" s="4">
        <v>87.19</v>
      </c>
      <c r="R567" s="4">
        <v>89.05</v>
      </c>
      <c r="S567" s="19">
        <v>268</v>
      </c>
      <c r="T567" s="19">
        <v>1476</v>
      </c>
      <c r="U567" s="19">
        <v>80</v>
      </c>
      <c r="V567" s="19">
        <v>160</v>
      </c>
      <c r="W567" s="19">
        <v>64</v>
      </c>
      <c r="X567" s="19">
        <v>1748</v>
      </c>
      <c r="Y567" s="19">
        <v>176</v>
      </c>
      <c r="Z567" s="19">
        <v>260</v>
      </c>
      <c r="AA567" s="14">
        <v>1</v>
      </c>
    </row>
    <row r="568" spans="1:27">
      <c r="A568" s="16">
        <v>46218.895833333336</v>
      </c>
      <c r="B568" s="17">
        <v>46218</v>
      </c>
      <c r="C568" s="18">
        <v>0.89583333333333337</v>
      </c>
      <c r="D568" t="s">
        <v>78</v>
      </c>
      <c r="E568" t="s">
        <v>143</v>
      </c>
      <c r="F568">
        <v>3</v>
      </c>
      <c r="G568" s="4">
        <v>60.97</v>
      </c>
      <c r="H568" s="4">
        <v>60.97</v>
      </c>
      <c r="I568" s="4">
        <v>49.68</v>
      </c>
      <c r="J568" s="4">
        <v>87.32</v>
      </c>
      <c r="K568" s="4">
        <v>87.32</v>
      </c>
      <c r="L568" s="4">
        <v>81.52</v>
      </c>
      <c r="M568" s="4">
        <v>84.74</v>
      </c>
      <c r="N568" s="4">
        <v>84.74</v>
      </c>
      <c r="O568" s="4">
        <v>73.98</v>
      </c>
      <c r="P568" s="4">
        <v>86.45</v>
      </c>
      <c r="Q568" s="4">
        <v>86.45</v>
      </c>
      <c r="R568" s="4">
        <v>76.86</v>
      </c>
      <c r="S568" s="19">
        <v>80</v>
      </c>
      <c r="T568" s="19">
        <v>1512</v>
      </c>
      <c r="U568" s="19">
        <v>172</v>
      </c>
      <c r="V568" s="19">
        <v>156</v>
      </c>
      <c r="W568" s="19">
        <v>68</v>
      </c>
      <c r="X568" s="19">
        <v>1696</v>
      </c>
      <c r="Y568" s="19">
        <v>108</v>
      </c>
      <c r="Z568" s="19">
        <v>176</v>
      </c>
      <c r="AA568" s="14">
        <v>1</v>
      </c>
    </row>
    <row r="569" spans="1:27">
      <c r="A569" s="16">
        <v>46218.90625</v>
      </c>
      <c r="B569" s="17">
        <v>46218</v>
      </c>
      <c r="C569" s="18">
        <v>0.90625</v>
      </c>
      <c r="D569" t="s">
        <v>78</v>
      </c>
      <c r="E569" t="s">
        <v>143</v>
      </c>
      <c r="F569">
        <v>3</v>
      </c>
      <c r="G569" s="4">
        <v>81.75</v>
      </c>
      <c r="H569" s="4">
        <v>81.75</v>
      </c>
      <c r="I569" s="4">
        <v>67.02</v>
      </c>
      <c r="J569" s="4">
        <v>80.58</v>
      </c>
      <c r="K569" s="4">
        <v>80.58</v>
      </c>
      <c r="L569" s="4">
        <v>65.89</v>
      </c>
      <c r="M569" s="4">
        <v>100.4</v>
      </c>
      <c r="N569" s="4">
        <v>100.4</v>
      </c>
      <c r="O569" s="4">
        <v>76.900000000000006</v>
      </c>
      <c r="P569" s="4">
        <v>77.2</v>
      </c>
      <c r="Q569" s="4">
        <v>77.2</v>
      </c>
      <c r="R569" s="4">
        <v>87.45</v>
      </c>
      <c r="S569" s="19">
        <v>248</v>
      </c>
      <c r="T569" s="19">
        <v>1252</v>
      </c>
      <c r="U569" s="19">
        <v>204</v>
      </c>
      <c r="V569" s="19">
        <v>224</v>
      </c>
      <c r="W569" s="19">
        <v>52</v>
      </c>
      <c r="X569" s="19">
        <v>1584</v>
      </c>
      <c r="Y569" s="19">
        <v>108</v>
      </c>
      <c r="Z569" s="19">
        <v>136</v>
      </c>
      <c r="AA569" s="14">
        <v>1</v>
      </c>
    </row>
    <row r="570" spans="1:27">
      <c r="A570" s="16">
        <v>46218.916666666664</v>
      </c>
      <c r="B570" s="17">
        <v>46218</v>
      </c>
      <c r="C570" s="18">
        <v>0.91666666666666663</v>
      </c>
      <c r="D570" t="s">
        <v>78</v>
      </c>
      <c r="E570" t="s">
        <v>143</v>
      </c>
      <c r="F570">
        <v>3</v>
      </c>
      <c r="G570" s="4">
        <v>50.99</v>
      </c>
      <c r="H570" s="4">
        <v>50.99</v>
      </c>
      <c r="I570" s="4">
        <v>51.88</v>
      </c>
      <c r="J570" s="4">
        <v>36.28</v>
      </c>
      <c r="K570" s="4">
        <v>36.28</v>
      </c>
      <c r="L570" s="4">
        <v>72.150000000000006</v>
      </c>
      <c r="M570" s="4">
        <v>62.28</v>
      </c>
      <c r="N570" s="4">
        <v>62.28</v>
      </c>
      <c r="O570" s="4">
        <v>68.22</v>
      </c>
      <c r="P570" s="4">
        <v>72.459999999999994</v>
      </c>
      <c r="Q570" s="4">
        <v>72.459999999999994</v>
      </c>
      <c r="R570" s="4">
        <v>88.52</v>
      </c>
      <c r="S570" s="19">
        <v>312</v>
      </c>
      <c r="T570" s="19">
        <v>1276</v>
      </c>
      <c r="U570" s="19">
        <v>88</v>
      </c>
      <c r="V570" s="19">
        <v>288</v>
      </c>
      <c r="W570" s="19">
        <v>64</v>
      </c>
      <c r="X570" s="19">
        <v>1468</v>
      </c>
      <c r="Y570" s="19">
        <v>144</v>
      </c>
      <c r="Z570" s="19">
        <v>136</v>
      </c>
      <c r="AA570" s="14">
        <v>1</v>
      </c>
    </row>
    <row r="571" spans="1:27">
      <c r="A571" s="16">
        <v>46218.927083333336</v>
      </c>
      <c r="B571" s="17">
        <v>46218</v>
      </c>
      <c r="C571" s="18">
        <v>0.92708333333333337</v>
      </c>
      <c r="D571" t="s">
        <v>78</v>
      </c>
      <c r="E571" t="s">
        <v>143</v>
      </c>
      <c r="F571">
        <v>3</v>
      </c>
      <c r="G571" s="4">
        <v>34.270000000000003</v>
      </c>
      <c r="H571" s="4">
        <v>34.270000000000003</v>
      </c>
      <c r="I571" s="4">
        <v>44.95</v>
      </c>
      <c r="J571" s="4">
        <v>47.72</v>
      </c>
      <c r="K571" s="4">
        <v>47.72</v>
      </c>
      <c r="L571" s="4">
        <v>37.17</v>
      </c>
      <c r="M571" s="4">
        <v>60.23</v>
      </c>
      <c r="N571" s="4">
        <v>60.23</v>
      </c>
      <c r="O571" s="4">
        <v>53.18</v>
      </c>
      <c r="P571" s="4">
        <v>44.76</v>
      </c>
      <c r="Q571" s="4">
        <v>44.76</v>
      </c>
      <c r="R571" s="4">
        <v>42.13</v>
      </c>
      <c r="S571" s="19">
        <v>156</v>
      </c>
      <c r="T571" s="19">
        <v>1068</v>
      </c>
      <c r="U571" s="19">
        <v>68</v>
      </c>
      <c r="V571" s="19">
        <v>240</v>
      </c>
      <c r="W571" s="19">
        <v>92</v>
      </c>
      <c r="X571" s="19">
        <v>1448</v>
      </c>
      <c r="Y571" s="19">
        <v>184</v>
      </c>
      <c r="Z571" s="19">
        <v>124</v>
      </c>
      <c r="AA571" s="14">
        <v>0</v>
      </c>
    </row>
    <row r="572" spans="1:27">
      <c r="A572" s="16">
        <v>46218.9375</v>
      </c>
      <c r="B572" s="17">
        <v>46218</v>
      </c>
      <c r="C572" s="18">
        <v>0.9375</v>
      </c>
      <c r="D572" t="s">
        <v>78</v>
      </c>
      <c r="E572" t="s">
        <v>143</v>
      </c>
      <c r="F572">
        <v>3</v>
      </c>
      <c r="G572" s="4">
        <v>34.33</v>
      </c>
      <c r="H572" s="4">
        <v>34.33</v>
      </c>
      <c r="I572" s="4">
        <v>24.35</v>
      </c>
      <c r="J572" s="4">
        <v>29.07</v>
      </c>
      <c r="K572" s="4">
        <v>29.07</v>
      </c>
      <c r="L572" s="4">
        <v>22.29</v>
      </c>
      <c r="M572" s="4">
        <v>41.99</v>
      </c>
      <c r="N572" s="4">
        <v>41.99</v>
      </c>
      <c r="O572" s="4">
        <v>33.409999999999997</v>
      </c>
      <c r="P572" s="4">
        <v>30.63</v>
      </c>
      <c r="Q572" s="4">
        <v>30.63</v>
      </c>
      <c r="R572" s="4">
        <v>23.84</v>
      </c>
      <c r="S572" s="19">
        <v>132</v>
      </c>
      <c r="T572" s="19">
        <v>996</v>
      </c>
      <c r="U572" s="19">
        <v>52</v>
      </c>
      <c r="V572" s="19">
        <v>220</v>
      </c>
      <c r="W572" s="19">
        <v>72</v>
      </c>
      <c r="X572" s="19">
        <v>1120</v>
      </c>
      <c r="Y572" s="19">
        <v>172</v>
      </c>
      <c r="Z572" s="19">
        <v>156</v>
      </c>
      <c r="AA572" s="14">
        <v>1</v>
      </c>
    </row>
    <row r="573" spans="1:27">
      <c r="A573" s="16">
        <v>46218.947916666664</v>
      </c>
      <c r="B573" s="17">
        <v>46218</v>
      </c>
      <c r="C573" s="18">
        <v>0.94791666666666663</v>
      </c>
      <c r="D573" t="s">
        <v>78</v>
      </c>
      <c r="E573" t="s">
        <v>143</v>
      </c>
      <c r="F573">
        <v>3</v>
      </c>
      <c r="G573" s="4">
        <v>29.21</v>
      </c>
      <c r="H573" s="4">
        <v>29.21</v>
      </c>
      <c r="I573" s="4">
        <v>27.06</v>
      </c>
      <c r="J573" s="4">
        <v>33</v>
      </c>
      <c r="K573" s="4">
        <v>33</v>
      </c>
      <c r="L573" s="4">
        <v>32.200000000000003</v>
      </c>
      <c r="M573" s="4">
        <v>38.9</v>
      </c>
      <c r="N573" s="4">
        <v>38.9</v>
      </c>
      <c r="O573" s="4">
        <v>38.090000000000003</v>
      </c>
      <c r="P573" s="4">
        <v>39.64</v>
      </c>
      <c r="Q573" s="4">
        <v>39.64</v>
      </c>
      <c r="R573" s="4">
        <v>41.42</v>
      </c>
      <c r="S573" s="19">
        <v>60</v>
      </c>
      <c r="T573" s="19">
        <v>796</v>
      </c>
      <c r="U573" s="19">
        <v>52</v>
      </c>
      <c r="V573" s="19">
        <v>220</v>
      </c>
      <c r="W573" s="19">
        <v>48</v>
      </c>
      <c r="X573" s="19">
        <v>1032</v>
      </c>
      <c r="Y573" s="19">
        <v>112</v>
      </c>
      <c r="Z573" s="19">
        <v>116</v>
      </c>
      <c r="AA573" s="14">
        <v>1</v>
      </c>
    </row>
    <row r="574" spans="1:27">
      <c r="A574" s="16">
        <v>46218.958333333336</v>
      </c>
      <c r="B574" s="17">
        <v>46218</v>
      </c>
      <c r="C574" s="18">
        <v>0.95833333333333337</v>
      </c>
      <c r="D574" t="s">
        <v>78</v>
      </c>
      <c r="E574" t="s">
        <v>143</v>
      </c>
      <c r="F574">
        <v>3</v>
      </c>
      <c r="G574" s="4">
        <v>47.53</v>
      </c>
      <c r="H574" s="4">
        <v>47.53</v>
      </c>
      <c r="I574" s="4">
        <v>26.22</v>
      </c>
      <c r="J574" s="4">
        <v>28.82</v>
      </c>
      <c r="K574" s="4">
        <v>28.82</v>
      </c>
      <c r="L574" s="4">
        <v>25.96</v>
      </c>
      <c r="M574" s="4">
        <v>36.43</v>
      </c>
      <c r="N574" s="4">
        <v>36.43</v>
      </c>
      <c r="O574" s="4">
        <v>30.67</v>
      </c>
      <c r="P574" s="4">
        <v>29.7</v>
      </c>
      <c r="Q574" s="4">
        <v>29.7</v>
      </c>
      <c r="R574" s="4">
        <v>20.49</v>
      </c>
      <c r="S574" s="19">
        <v>28</v>
      </c>
      <c r="T574" s="19">
        <v>984</v>
      </c>
      <c r="U574" s="19">
        <v>36</v>
      </c>
      <c r="V574" s="19">
        <v>132</v>
      </c>
      <c r="W574" s="19">
        <v>48</v>
      </c>
      <c r="X574" s="19">
        <v>984</v>
      </c>
      <c r="Y574" s="19">
        <v>80</v>
      </c>
      <c r="Z574" s="19">
        <v>120</v>
      </c>
      <c r="AA574" s="14">
        <v>1</v>
      </c>
    </row>
    <row r="575" spans="1:27">
      <c r="A575" s="16">
        <v>46218.96875</v>
      </c>
      <c r="B575" s="17">
        <v>46218</v>
      </c>
      <c r="C575" s="18">
        <v>0.96875</v>
      </c>
      <c r="D575" t="s">
        <v>78</v>
      </c>
      <c r="E575" t="s">
        <v>143</v>
      </c>
      <c r="F575">
        <v>3</v>
      </c>
      <c r="G575" s="4">
        <v>55</v>
      </c>
      <c r="H575" s="4">
        <v>55</v>
      </c>
      <c r="I575" s="4">
        <v>20.27</v>
      </c>
      <c r="J575" s="4">
        <v>24.5</v>
      </c>
      <c r="K575" s="4">
        <v>24.5</v>
      </c>
      <c r="L575" s="4">
        <v>18.07</v>
      </c>
      <c r="M575" s="4">
        <v>46.26</v>
      </c>
      <c r="N575" s="4">
        <v>46.26</v>
      </c>
      <c r="O575" s="4">
        <v>26.44</v>
      </c>
      <c r="P575" s="4">
        <v>20.62</v>
      </c>
      <c r="Q575" s="4">
        <v>20.62</v>
      </c>
      <c r="R575" s="4">
        <v>29.13</v>
      </c>
      <c r="S575" s="19">
        <v>44</v>
      </c>
      <c r="T575" s="19">
        <v>568</v>
      </c>
      <c r="U575" s="19">
        <v>32</v>
      </c>
      <c r="V575" s="19">
        <v>88</v>
      </c>
      <c r="W575" s="19">
        <v>112</v>
      </c>
      <c r="X575" s="19">
        <v>1096</v>
      </c>
      <c r="Y575" s="19">
        <v>152</v>
      </c>
      <c r="Z575" s="19">
        <v>100</v>
      </c>
      <c r="AA575" s="14">
        <v>0</v>
      </c>
    </row>
    <row r="576" spans="1:27">
      <c r="A576" s="16">
        <v>46218.979166666664</v>
      </c>
      <c r="B576" s="17">
        <v>46218</v>
      </c>
      <c r="C576" s="18">
        <v>0.97916666666666663</v>
      </c>
      <c r="D576" t="s">
        <v>78</v>
      </c>
      <c r="E576" t="s">
        <v>143</v>
      </c>
      <c r="F576">
        <v>3</v>
      </c>
      <c r="G576" s="4">
        <v>45.1</v>
      </c>
      <c r="H576" s="4">
        <v>45.1</v>
      </c>
      <c r="I576" s="4">
        <v>20.58</v>
      </c>
      <c r="J576" s="4">
        <v>23.25</v>
      </c>
      <c r="K576" s="4">
        <v>23.25</v>
      </c>
      <c r="L576" s="4">
        <v>22.39</v>
      </c>
      <c r="M576" s="4">
        <v>39.29</v>
      </c>
      <c r="N576" s="4">
        <v>39.29</v>
      </c>
      <c r="O576" s="4">
        <v>28.06</v>
      </c>
      <c r="P576" s="4">
        <v>32.840000000000003</v>
      </c>
      <c r="Q576" s="4">
        <v>32.840000000000003</v>
      </c>
      <c r="R576" s="4">
        <v>22.5</v>
      </c>
      <c r="S576" s="19">
        <v>64</v>
      </c>
      <c r="T576" s="19">
        <v>560</v>
      </c>
      <c r="U576" s="19">
        <v>32</v>
      </c>
      <c r="V576" s="19">
        <v>172</v>
      </c>
      <c r="W576" s="19">
        <v>60</v>
      </c>
      <c r="X576" s="19">
        <v>692</v>
      </c>
      <c r="Y576" s="19">
        <v>68</v>
      </c>
      <c r="Z576" s="19">
        <v>108</v>
      </c>
      <c r="AA576" s="14">
        <v>0</v>
      </c>
    </row>
    <row r="577" spans="1:27">
      <c r="A577" s="16">
        <v>46218.989583333336</v>
      </c>
      <c r="B577" s="17">
        <v>46218</v>
      </c>
      <c r="C577" s="18">
        <v>0.98958333333333337</v>
      </c>
      <c r="D577" t="s">
        <v>78</v>
      </c>
      <c r="E577" t="s">
        <v>143</v>
      </c>
      <c r="F577">
        <v>3</v>
      </c>
      <c r="G577" s="4">
        <v>15.48</v>
      </c>
      <c r="H577" s="4">
        <v>15.48</v>
      </c>
      <c r="I577" s="4">
        <v>23.15</v>
      </c>
      <c r="J577" s="4">
        <v>41.83</v>
      </c>
      <c r="K577" s="4">
        <v>41.83</v>
      </c>
      <c r="L577" s="4">
        <v>19.66</v>
      </c>
      <c r="M577" s="4">
        <v>25.73</v>
      </c>
      <c r="N577" s="4">
        <v>25.73</v>
      </c>
      <c r="O577" s="4">
        <v>24.08</v>
      </c>
      <c r="P577" s="4">
        <v>26.5</v>
      </c>
      <c r="Q577" s="4">
        <v>26.5</v>
      </c>
      <c r="R577" s="4">
        <v>26.44</v>
      </c>
      <c r="S577" s="19">
        <v>12</v>
      </c>
      <c r="T577" s="19">
        <v>408</v>
      </c>
      <c r="U577" s="19">
        <v>28</v>
      </c>
      <c r="V577" s="19">
        <v>128</v>
      </c>
      <c r="W577" s="19">
        <v>36</v>
      </c>
      <c r="X577" s="19">
        <v>628</v>
      </c>
      <c r="Y577" s="19">
        <v>84</v>
      </c>
      <c r="Z577" s="19">
        <v>64</v>
      </c>
      <c r="AA577" s="1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A9628B35E5F40BE24B648BEAA2EBF" ma:contentTypeVersion="12" ma:contentTypeDescription="Create a new document." ma:contentTypeScope="" ma:versionID="ac8d52d12b19c428d4e0bda27faee871">
  <xsd:schema xmlns:xsd="http://www.w3.org/2001/XMLSchema" xmlns:xs="http://www.w3.org/2001/XMLSchema" xmlns:p="http://schemas.microsoft.com/office/2006/metadata/properties" xmlns:ns2="078ee791-61fc-424a-9b60-e226fd1e2bfa" xmlns:ns3="b4cda705-43d4-43b2-8c4f-a7b2355fb90d" targetNamespace="http://schemas.microsoft.com/office/2006/metadata/properties" ma:root="true" ma:fieldsID="d3b046e6552c740e9cdc080a762f5a5e" ns2:_="" ns3:_="">
    <xsd:import namespace="078ee791-61fc-424a-9b60-e226fd1e2bfa"/>
    <xsd:import namespace="b4cda705-43d4-43b2-8c4f-a7b2355fb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ee791-61fc-424a-9b60-e226fd1e2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a56ddf-ff69-4683-87b5-0efbe01250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cda705-43d4-43b2-8c4f-a7b2355fb9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490a68-d692-491d-9d7c-1d31a5a7f84d}" ma:internalName="TaxCatchAll" ma:showField="CatchAllData" ma:web="b4cda705-43d4-43b2-8c4f-a7b2355fb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cda705-43d4-43b2-8c4f-a7b2355fb90d" xsi:nil="true"/>
    <lcf76f155ced4ddcb4097134ff3c332f xmlns="078ee791-61fc-424a-9b60-e226fd1e2b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7AC6B-BC88-46DF-B5D3-F5BCAB2D2851}"/>
</file>

<file path=customXml/itemProps2.xml><?xml version="1.0" encoding="utf-8"?>
<ds:datastoreItem xmlns:ds="http://schemas.openxmlformats.org/officeDocument/2006/customXml" ds:itemID="{FDBE01D3-4445-40D5-9F93-024C5C721352}"/>
</file>

<file path=customXml/itemProps3.xml><?xml version="1.0" encoding="utf-8"?>
<ds:datastoreItem xmlns:ds="http://schemas.openxmlformats.org/officeDocument/2006/customXml" ds:itemID="{BE781D66-A18C-4594-B36B-204F81ED8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Krumperman</cp:lastModifiedBy>
  <cp:revision/>
  <dcterms:created xsi:type="dcterms:W3CDTF">2026-06-16T17:41:02Z</dcterms:created>
  <dcterms:modified xsi:type="dcterms:W3CDTF">2026-08-04T17:47:49Z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0x010100B9EA9628B35E5F40BE24B648BEAA2EBF</vt:lpwstr>
  </property>
  <property fmtid="{D5CDD505-2E9C-101B-9397-08002B2CF9AE}" pid="3" name="MediaServiceImageTags">
    <vt:lpwstr/>
  </property>
</Properties>
</file>